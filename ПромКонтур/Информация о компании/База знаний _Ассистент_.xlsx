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  <sheet state="visible" name="Роль Ассистента" sheetId="2" r:id="rId6"/>
    <sheet state="visible" name="М и Х Bambu Lab" sheetId="3" r:id="rId7"/>
    <sheet state="visible" name="М и Х Dowell" sheetId="4" r:id="rId8"/>
    <sheet state="visible" name="Из наличия" sheetId="5" r:id="rId9"/>
    <sheet state="visible" name="Предзаказ" sheetId="6" r:id="rId10"/>
    <sheet state="visible" name="Доставка  самовывоз" sheetId="7" r:id="rId11"/>
    <sheet state="visible" name="Мой склад - Документы" sheetId="8" r:id="rId12"/>
    <sheet state="visible" name="Поставщик" sheetId="9" r:id="rId13"/>
    <sheet state="visible" name="Логистика" sheetId="10" r:id="rId14"/>
    <sheet state="visible" name="Avito" sheetId="11" r:id="rId15"/>
  </sheets>
  <definedNames/>
  <calcPr/>
</workbook>
</file>

<file path=xl/sharedStrings.xml><?xml version="1.0" encoding="utf-8"?>
<sst xmlns="http://schemas.openxmlformats.org/spreadsheetml/2006/main" count="1412" uniqueCount="998">
  <si>
    <t>ПромКонтур: База знаний ассистента</t>
  </si>
  <si>
    <t>Операционная база для онбординга, МойСклад, поставщиков, логистики, доставки и контроля процессов</t>
  </si>
  <si>
    <t>Версия: 1.0</t>
  </si>
  <si>
    <t>Ответственный: Александр</t>
  </si>
  <si>
    <t>Для роли: Ассистент</t>
  </si>
  <si>
    <t>Канал фиксации: amoCRM + МойСклад + рабочая группа</t>
  </si>
  <si>
    <t>БЫСТРАЯ НАВИГАЦИЯ</t>
  </si>
  <si>
    <t>Модели и характеристики</t>
  </si>
  <si>
    <t>Из наличия</t>
  </si>
  <si>
    <t>Предзаказ</t>
  </si>
  <si>
    <t>Доставка / самовывоз</t>
  </si>
  <si>
    <t>Модели, комплектации, характеристики, отличия</t>
  </si>
  <si>
    <t>Алгоритм ассистента при продаже товара из наличия</t>
  </si>
  <si>
    <t>Алгоритм ассистента после оплаты предзаказа</t>
  </si>
  <si>
    <t>Единый лист по доставке и самовывозу: сток/предзаказ</t>
  </si>
  <si>
    <t>Открыть →</t>
  </si>
  <si>
    <t>Мой склад - Документы</t>
  </si>
  <si>
    <t>Поставщики WeChat</t>
  </si>
  <si>
    <t>Логистика</t>
  </si>
  <si>
    <t>Avito</t>
  </si>
  <si>
    <t>Заказ клиента, платеж, заказ поставщику, отгрузка, дубли</t>
  </si>
  <si>
    <t>Цена, наличие, склад, упаковка, филамент, подтверждение заказа</t>
  </si>
  <si>
    <t>Передача груза логисту, транзит, отсрочка, статус</t>
  </si>
  <si>
    <t>Операционная поддержка Avito, товарной матрицы и отчетности</t>
  </si>
  <si>
    <t>ЧТО ДЕЛАТЬ В РАБОЧЕЙ СИТУАЦИИ</t>
  </si>
  <si>
    <t>КРИТИЧНЫЕ ПРАВИЛА АССИСТЕНТА</t>
  </si>
  <si>
    <t>Ситуация</t>
  </si>
  <si>
    <t>Куда перейти</t>
  </si>
  <si>
    <t>Что сделать</t>
  </si>
  <si>
    <t>Результат</t>
  </si>
  <si>
    <t>Менеджер передал оплаченный предзаказ</t>
  </si>
  <si>
    <t>Проверить данные, оплату, МойСклад и запустить закупку</t>
  </si>
  <si>
    <t>Есть полный операционный статус по заказу</t>
  </si>
  <si>
    <t>Все операционные действия фиксируются в amoCRM, МойСклад, таблице поставок или рабочей группе. Устная договоренность не считается завершением шага</t>
  </si>
  <si>
    <t>Нужно оформить заказ у поставщика</t>
  </si>
  <si>
    <t>Поставщики_WeChat</t>
  </si>
  <si>
    <t>Запросить цену, наличие, упаковку, склад, срок и филамент</t>
  </si>
  <si>
    <t>Поставщик подтвердил модель, цену и условия</t>
  </si>
  <si>
    <t>Ассистент не отправляет клиенту трек напрямую, если не назначен ответственным: трек клиенту передает менеджер.</t>
  </si>
  <si>
    <t>Поставщик подтвердил готовность товара</t>
  </si>
  <si>
    <t>Передать данные логисту и дождаться подтверждения приема</t>
  </si>
  <si>
    <t>Груз принят логистом / подготовлен к транзиту</t>
  </si>
  <si>
    <t xml:space="preserve"> По предзаказу ассистент отвечает за закупку, поставщика/логиста, контроль статусов, документов и передачу информации менеджеру.</t>
  </si>
  <si>
    <t>Логист сообщил о прибытии в Москву</t>
  </si>
  <si>
    <t>Приемка</t>
  </si>
  <si>
    <t>Проверить отчет, SN, упаковку и маршрут: клиенту или в шоурум</t>
  </si>
  <si>
    <t>Товар принят и готов к финальной выдаче/доставке</t>
  </si>
  <si>
    <t>По стоку менеджер ведет клиента, ассистент  оформляет СДЭК и подключается к проверке МойСклад, платежа, отгрузки и учетных данных.</t>
  </si>
  <si>
    <t>Клиент выбрал доставку по предзаказу</t>
  </si>
  <si>
    <t>Передать логисту данные ТК; товар не вести в шоурум без необходимости</t>
  </si>
  <si>
    <t>Товар отправлен напрямую клиенту</t>
  </si>
  <si>
    <t>Если цена, наличие, комплектация, упаковка или сроки изменились — не принимать решение самостоятельно, а эскалировать Александру/Дмитрию.</t>
  </si>
  <si>
    <t>Клиент выбрал самовывоз по предзаказу</t>
  </si>
  <si>
    <t>Организовать отправку товара в шоурум и дождаться подтверждения администратора</t>
  </si>
  <si>
    <t>Шоурум готов к выдаче</t>
  </si>
  <si>
    <t>Нужен трек-номер</t>
  </si>
  <si>
    <t>Логистика / Шаблоны</t>
  </si>
  <si>
    <t>Получить трек от логиста и передать менеджеру</t>
  </si>
  <si>
    <t>Менеджер получил трек, клиенту отправляет менеджер</t>
  </si>
  <si>
    <t>Возникла ошибка: цена, модель, упаковка, SN, срок</t>
  </si>
  <si>
    <t>FAQ Эскалации</t>
  </si>
  <si>
    <t>Зафиксировать проблему, не двигать процесс без решения</t>
  </si>
  <si>
    <t>Риск передан ответственному</t>
  </si>
  <si>
    <t>Шаблоны сообщений</t>
  </si>
  <si>
    <t>Готовые тексты для клиента, рабочей группы, администратора, ассистента и логиста</t>
  </si>
  <si>
    <t>Для роли: Менеджер</t>
  </si>
  <si>
    <t>Канал фиксации: amoCRM + рабочая группа</t>
  </si>
  <si>
    <t>ЦЕННЫЙ КОНЕЧНЫЙ ПРОДУКТ РОЛИ</t>
  </si>
  <si>
    <t>• Актуальная и управляемая операционная система по заказам, поставщикам, логистике, МойСклад, Avito/товарной матрице и внутренним данным.
 • Руководитель и менеджер в любой момент понимают, что происходит с заказом: оплачен, заказан у поставщика, передан логисту, в пути, прибыл, отправлен клиенту или готов к выдаче.
 • Новый сотрудник должен выполнять процесс по базе знаний, а не по постоянным устным объяснениям от руководителя.</t>
  </si>
  <si>
    <t>Шаблоны</t>
  </si>
  <si>
    <t>Блок роли</t>
  </si>
  <si>
    <t>Контрольная точка</t>
  </si>
  <si>
    <t>Операционная координация</t>
  </si>
  <si>
    <t>Проверяет задачи, статусы, блокеры, фиксирует договоренности</t>
  </si>
  <si>
    <t>Не меняет приоритеты и условия сделки самостоятельно</t>
  </si>
  <si>
    <t>Есть актуальный статус и следующий шаг</t>
  </si>
  <si>
    <t>МойСклад и документы</t>
  </si>
  <si>
    <t>Проверяет заказ клиента, входящий платеж, заказ поставщику, отгрузку, SN</t>
  </si>
  <si>
    <t>Не удаляет документы и не меняет структуру учета без согласования</t>
  </si>
  <si>
    <t>Документы связаны и нет дублей</t>
  </si>
  <si>
    <t>Поставщики</t>
  </si>
  <si>
    <t>Запрашивает цену, наличие, склад, упаковку, сроки, филамент</t>
  </si>
  <si>
    <t>Не утверждает поставщика и не берет финансовые обязательства</t>
  </si>
  <si>
    <t>Есть подтверждение цены/наличия/срока</t>
  </si>
  <si>
    <t>Передает данные логисту, контролирует транзит и трек</t>
  </si>
  <si>
    <t>Не обещает клиенту точные даты и не экономит на упаковке/страховке без решения руководства</t>
  </si>
  <si>
    <t>Есть подтверждение логиста и статус</t>
  </si>
  <si>
    <t>Поддержка менеджера</t>
  </si>
  <si>
    <t>Передает менеджеру статусы, треки, блокеры, готовые данные</t>
  </si>
  <si>
    <t>Не подменяет менеджера в продаже, если не поставлена отдельная задача</t>
  </si>
  <si>
    <t>Менеджер получил понятную информацию</t>
  </si>
  <si>
    <t>Avito/матрица</t>
  </si>
  <si>
    <t>Обновляет данные, собирает характеристики, фиксирует проблемы</t>
  </si>
  <si>
    <t>Не публикует неподтвержденные цены/условия/характеристики</t>
  </si>
  <si>
    <t>Данные актуальны и имеют источник</t>
  </si>
  <si>
    <t>Главный лист</t>
  </si>
  <si>
    <t>Прайс-лист 
Bambu Lab</t>
  </si>
  <si>
    <t>Версия</t>
  </si>
  <si>
    <t>Модель (Комплектация)</t>
  </si>
  <si>
    <t>Статус (Выпадающий список)</t>
  </si>
  <si>
    <t>Доступно (шт.)</t>
  </si>
  <si>
    <t>Срок доставки / ETA</t>
  </si>
  <si>
    <t>Розничная цена (₽)</t>
  </si>
  <si>
    <t>Цена безналичный расчет (+7%)</t>
  </si>
  <si>
    <t>EU</t>
  </si>
  <si>
    <t>A1</t>
  </si>
  <si>
    <t>-</t>
  </si>
  <si>
    <t>25-27 дней</t>
  </si>
  <si>
    <t>A1 Combo</t>
  </si>
  <si>
    <t xml:space="preserve">P2S Combo </t>
  </si>
  <si>
    <t>H2S Laser 10W</t>
  </si>
  <si>
    <t>H2S Combo AMS 2 PRO</t>
  </si>
  <si>
    <t>CN</t>
  </si>
  <si>
    <t>H2D Laser 10W</t>
  </si>
  <si>
    <t>H2D Laser 40W</t>
  </si>
  <si>
    <t>H2D Combo AMS 2 Pro</t>
  </si>
  <si>
    <t>H2D PRO Combo AMS</t>
  </si>
  <si>
    <t>H2C Laser 10W</t>
  </si>
  <si>
    <t>H2C Laser 40W</t>
  </si>
  <si>
    <t>H2C Combo</t>
  </si>
  <si>
    <t>Техническая матрица</t>
  </si>
  <si>
    <t>Параметр / Модель</t>
  </si>
  <si>
    <t>P2S Combo</t>
  </si>
  <si>
    <t>H2S Combo</t>
  </si>
  <si>
    <t>H2D Laser 10W/40W</t>
  </si>
  <si>
    <t>Целевой сегмент</t>
  </si>
  <si>
    <t>Новички, мейкеры, хобби</t>
  </si>
  <si>
    <t>Энтузиасты, крупные детали</t>
  </si>
  <si>
    <t>Продвинутые, инженеры</t>
  </si>
  <si>
    <t>Мастерские (резка/гравировка)</t>
  </si>
  <si>
    <t>Промышленность, B2B</t>
  </si>
  <si>
    <t>Ключевая особенность</t>
  </si>
  <si>
    <t>Надежная база</t>
  </si>
  <si>
    <t>Крупный формат печати</t>
  </si>
  <si>
    <t>Гибрид «3-в-1» (Два независимых экструдера)</t>
  </si>
  <si>
    <t>Максимальная гибридная станция со всеми модулями</t>
  </si>
  <si>
    <t>Система Vortek (до 6 материалов без отходов на очистку)</t>
  </si>
  <si>
    <t>Камера печати</t>
  </si>
  <si>
    <t>Закрытая (пластиковый корпус)</t>
  </si>
  <si>
    <t>Закрытая (активный подогрев)</t>
  </si>
  <si>
    <t>Закрытая (промышленная термокамера)</t>
  </si>
  <si>
    <t>Температура стола</t>
  </si>
  <si>
    <t>до 110°C</t>
  </si>
  <si>
    <t>до 120°C</t>
  </si>
  <si>
    <t>Материалы (Филаменты)</t>
  </si>
  <si>
    <t>PLA, PETG, ABS, TPU</t>
  </si>
  <si>
    <t>PLA, PETG, ABS, ASA</t>
  </si>
  <si>
    <t>+ Carbon (PA-CF), PC, Nylon</t>
  </si>
  <si>
    <t>Инженерные (PEEK, PEI, PPS)</t>
  </si>
  <si>
    <t>Система AMS</t>
  </si>
  <si>
    <t>✅ В комплекте (базовая)</t>
  </si>
  <si>
    <t>✅ В комплекте (AMS 2 Pro)</t>
  </si>
  <si>
    <t>✅ В комплекте (инженерная) + Независимые хотэнды (Vortek)</t>
  </si>
  <si>
    <t>Гравировка / Лазер</t>
  </si>
  <si>
    <t>❌ Нет</t>
  </si>
  <si>
    <t>⚠️ Опционально (модуль 10W)</t>
  </si>
  <si>
    <t>⚠️ Опционально (модули 10/40W)</t>
  </si>
  <si>
    <t>✅ Лазер 10W/40W в комплекте</t>
  </si>
  <si>
    <t>⚠️ КРИТИЧЕСКИЙ КРАСНЫЙ ФЛАГ</t>
  </si>
  <si>
    <t>Не подходит под филаменты PPS и PPA-CF/GF.</t>
  </si>
  <si>
    <t>Не поддерживает лазер 40W. Не подходит под PEEK.</t>
  </si>
  <si>
    <t>Базовая комплектация идет БЕЗ лазера (докупается отдельно).</t>
  </si>
  <si>
    <t>Не обещать резку металлов.</t>
  </si>
  <si>
    <t>Избыточен и дорог для простой сувенирки.</t>
  </si>
  <si>
    <t>Модель</t>
  </si>
  <si>
    <t>Характеристика</t>
  </si>
  <si>
    <t>Характеристика 2</t>
  </si>
  <si>
    <t>Bambu Lab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</si>
  <si>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1 шт.
Температура экструдера: до 300°С
Температура стола: до 110°С
Температура камеры печати: до 60°С
Область печати: 256 × 256 × 256 мм
Калибровка: Автоматическая
Скорость печати / выращивания: до 600 мм/с
Подогреваемый стол: Да
Видеокамера: Да
Принудительный подогрев камеры: Нет
Контроль наличия пластика: Да
Система возобновления печати: Да
Сопло: 0.4 мм (0.2 мм, 0.6 мм, 0.8 мм — опционально)
Поддерживаемые материалы: PLA, PETG, TPU, ABS, ASA, PA, PC, композитные</t>
  </si>
  <si>
    <t>Программное обеспечение
Поддерживаемые форматы файлов: .STL, .OBJ, .3MF
Совместимые ОС: Windows, Mac OS, Linux
Программное обеспечение: Bambu Studio, Bambu Handy
Дополнительная информация
Интерфейс подключения: Wi-Fi, LAN, USB
Электропитание: 100–120 VAC / 200–240 VAC, 50/60 Гц
Рабочая температура среды: 10°C – 35°C
Габаритные и вес
Габариты товара: около 392 × 406 × 478 мм
Габариты упаковки: около 467 × 403 × 720 мм
Вес нетто: около 21 кг
Вес брутто: около 27 кг</t>
  </si>
  <si>
    <t>H2S Combo 
AMS 2 PRO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</si>
  <si>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1 шт.
Температура экструдера: до 300°С
Температура стола: до 110°С
Температура камеры печати: до 60°С
Область печати: 256 × 256 × 256 мм
Калибровка: Автоматическая
Скорость печати / выращивания: до 600 мм/с
Подогреваемый стол: Да
Видеокамера: Да
Принудительный подогрев камеры: Нет
Контроль наличия пластика: Да
Система возобновления печати: Да
Сопло: 0.4 мм (0.2 мм, 0.6 мм, 0.8 мм — опционально)
Поддерживаемые материалы: PLA, PETG, TPU, ABS, ASA, PA, PC</t>
  </si>
  <si>
    <t>Система AMS
Тип: AMS 2 Pro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
Совместимые ОС: Windows, Mac OS, Linux
Программное обеспечение: Bambu Studio, Bambu Handy
Дополнительная информация
Интерфейс подключения: Wi-Fi, LAN, USB
Электропитание: 100–120 VAC / 200–240 VAC, 50/60 Гц
Рабочая температура среды: 10°C – 35°C
Габаритные и вес
Габариты товара: около 389 × 389 × 458 мм
Габариты упаковки: около 485 × 480 × 530 мм
Вес нетто: около 21 кг
Вес брутто: около 27 кг</t>
  </si>
  <si>
    <t>H2D Combo AMS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</si>
  <si>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</t>
  </si>
  <si>
    <t>Система AMS
Тип: AMS (Full Combo)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
Совместимые ОС: Windows, Mac OS
Программное обеспечение: Bambu Studio, Bambu Suite, Bambu Handy, Super Slicer, PrusaSlicer, Cura
Дополнительная информация
Интерфейс подключения: Wi-Fi, Bambu-Bus
Электропитание: 100–120 VAC / 200–240 VAC, 50/60 Гц
Рабочая температура среды: 0°C – 35°C
Габаритные и вес
Габариты товара: 492 × 514 × 626 мм
Габариты упаковки: 620 × 620 × 770 мм
Вес нетто: 31 кг
Вес брутто: 46.2 кг</t>
  </si>
  <si>
    <t>H2D + Laser 10W</t>
  </si>
  <si>
    <t>Характеристики
Основные
Материал печати: Пластиковая нить
Технология печати: FDM / FFF + лазерная обработка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
Лазерный модуль
Тип лазера: Диодный
Мощность лазера: 10 Вт
Длина волны: 455 нм
Рабочая область лазера: до 350 × 320 мм
Материалы для гравировки/резки: дерево, фанера, кожа, картон, пластик, анодированный алюминий
Система безопасности: защитный кожух, датчики открытия, аварийная остановка</t>
  </si>
  <si>
    <t>Система AMS
Тип: AMS (Full Combo)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.3MF, .SVG
Совместимые ОС: Windows, Mac OS
Программное обеспечение: Bambu Studio, Bambu Suite, Bambu Handy
Дополнительная информация
Интерфейс подключения: Wi-Fi, Bambu-Bus
Электропитание: 100–120 VAC / 200–240 VAC, 50/60 Гц
Рабочая температура среды: 0°C – 35°C
Габаритные и вес
Габариты товара: 492 × 514 × 626 мм
Габариты упаковки: 620 × 620 × 770 мм
Вес нетто: 31 кг
Вес брутто: 46.2 кг</t>
  </si>
  <si>
    <t>H2D + Laser 40W</t>
  </si>
  <si>
    <t>Характеристики
Основные
Материал печати: Пластиковая нить
Технология печати: FDM / FFF + лазерная обработка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
Лазерный модуль
Тип лазера: Диодный
Мощность лазера: 40 Вт
Длина волны: 455 нм
Рабочая область лазера: до 350 × 320 мм
Материалы для гравировки/резки: дерево, фанера, кожа, картон, пластик, анодированный алюминий
Система безопасности: защитный кожух, датчики открытия, аварийная остановка</t>
  </si>
  <si>
    <t>Основные
Материал печати: Пластиковая нить
Технология печати: FDM / FFF + лазерная обработка
DIY (набор для сборки): Нет
Корпус принтера: Закрытый (огнестойкие материалы стандарта UL94 V-0)
Диаметр нити: 1.75 мм
Кол-во печатающих сопел: 2 шт. (одно фиксированное + система бесконтактной смены хотэндов Vortek на 6 слотов)
Температура экструдера: 350°С
Температура стола: 120°С
Температура камеры печати: 65°С (активный принудительный подогрев)
Область печати: 330 × 320 × 325 мм
Калибровка: Автоматическая (на базе ИИ, лидара и оптического энкодера с точностью 50 мкм)
Скорость печати / выращивания: до 1000 мм/с (ускорение до 20 000 мм/с²)
Подогреваемый стол: Да
Видеокамера: Да (встроенная квадро-камера с распознаванием ошибок)
Принудительный подогрев камеры: Да
Контроль наличия пластика: Да (и контроль по всей линии подачи филамента)
Система возобновления печати: Да
Сопло: 0.4 мм (0.2 мм, 0.6 мм, 0.8 мм — опционально)
Поддерживаемые материалы: PLA, PETG, TPU, ABS, ASA, PVA, PET, PA, PC, а также стекло- и угленаполненные полимеры
Лазерный модуль (для версии Laser Full Combo)
Тип лазера: Диодный
Мощность лазера: 40 Вт (10 Вт — опционально)
Длина волны: 455 нм (рабочий лазер) / 850 нм (инфракрасный для измерения высоты)
Рабочая область лазера: до 330 × 320 мм
Материалы для гравировки/резки: дерево, фанера, кожа, картон, пластик, анодированный алюминий, темный акрил
Система безопасности: защитный кожух, датчики открытия двери, аварийная остановка, 3-ступенчатая система фильтрации (предфильтр G3, HEPA H12, активированный уголь)</t>
  </si>
  <si>
    <t>Система AMS
Тип: AMS 2 Pro
Количество катушек: до 4 (возможность расширения до 24 катушек при подключении доп. модулей)
Поддержка многоцветной печати: Да (благодаря системе Vortek печать идет без отходов на очистку сопла)
Контроль окончания филамента: Да
Автосмена материала: Да
Программное обеспечение
Поддерживаемые форматы файлов: .STL, .OBJ, .3MF, .SVG (для лазера)
Совместимые ОС: Windows, Mac OS
Программное обеспечение: Bambu Studio, Bambu Handy
Дополнительная информация
Интерфейс подключения: Wi-Fi, Ethernet, USB
Электропитание: 100–120 VAC / 200–240 VAC, 50/60 Гц
Рабочая температура среды: 10°C – 30°C
Габариты и вес
Габариты товара: 492 × 514 × 626 мм
Габариты упаковки: 620 × 620 × 775 мм
Вес нетто: 32.5 кг
Вес брутто: 41.75 кг (до 46.2 кг в зависимости от точной комплектации модулей)</t>
  </si>
  <si>
    <t xml:space="preserve">Серия DM Plus </t>
  </si>
  <si>
    <t>ID</t>
  </si>
  <si>
    <t>Навзвание модели</t>
  </si>
  <si>
    <t>Ссылка на товар</t>
  </si>
  <si>
    <t>Стоимость</t>
  </si>
  <si>
    <t>Размер печати</t>
  </si>
  <si>
    <t>Вес товара</t>
  </si>
  <si>
    <t>Размеры с упаковкой</t>
  </si>
  <si>
    <t>Сроки доставки</t>
  </si>
  <si>
    <r>
      <rPr>
        <rFont val="Arial"/>
        <b/>
        <color theme="1"/>
        <sz val="12.0"/>
      </rPr>
      <t>Характеристики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• Основные</t>
    </r>
    <r>
      <rPr>
        <rFont val="Arial"/>
        <color theme="1"/>
        <sz val="12.0"/>
      </rPr>
      <t xml:space="preserve">
    ◦ Материал печати: Пластиковая нить (филамент).
    ◦ Технология печати: FDM Industrial.
    ◦ DIY (набор для сборки): Нет.
    ◦ Корпус принтера: Открытый; Закрытый (опция 60°C Enclosure).
    ◦ Диаметр нити: 1.75 мм.
    ◦ Кол-во печатающих сопел: 1 шт. (стандарт); 2 шт. (опция).
    ◦ Температура экструдера: до 380°С.
    ◦ Температура стола: до 100°С (опционально до 150°С).
    ◦ Температура камеры печати: до 60°С (при установке опционального корпуса).
    ◦ Область печати: от 600×600×600 мм до 1950×1200×1600 мм.
    ◦ Калибровка: Автоматическая (100-точечное или 64-точечное сканирование).
    ◦ Скорость печати: 150–500 мм/с.
    ◦ Подогреваемый стол: Да (закаленное стекло 6 мм).
    ◦ Видеокамера: Да (опция).
    ◦ Принудительный подогрев камеры: Нет.
    ◦ Контроль наличия пластика: Да.
    ◦ Система возобновления печати: Да.
    ◦ Сопло: 0.4 / 0.6 / 0.8 мм.
    ◦ Поддерживаемые материалы: PLA, PETG, ABS, ASA, TPU, PVA, Wood, Carbon Fiber и др..
</t>
    </r>
    <r>
      <rPr>
        <rFont val="Arial"/>
        <b/>
        <color theme="1"/>
        <sz val="12.0"/>
      </rPr>
      <t>• Программное обеспечение</t>
    </r>
    <r>
      <rPr>
        <rFont val="Arial"/>
        <color theme="1"/>
        <sz val="12.0"/>
      </rPr>
      <t xml:space="preserve">
    ◦ Форматы файлов: STL, OBJ, G-code.
    ◦ Совместимые ОС: Windows.
    ◦ ПО: Cura, Dowell3D, Orca, PrusaSlicer.
</t>
    </r>
    <r>
      <rPr>
        <rFont val="Arial"/>
        <b/>
        <color theme="1"/>
        <sz val="12.0"/>
      </rPr>
      <t>• Дополнительная информация</t>
    </r>
    <r>
      <rPr>
        <rFont val="Arial"/>
        <color theme="1"/>
        <sz val="12.0"/>
      </rPr>
      <t xml:space="preserve">
    ◦ Интерфейс подключения: SD-карта, USB, Wi-Fi.
    ◦ Электропитание: 110 / 220 VAC.</t>
    </r>
  </si>
  <si>
    <t>DM6plus</t>
  </si>
  <si>
    <t>352 544,4 ₽</t>
  </si>
  <si>
    <t>600×600×600</t>
  </si>
  <si>
    <t>180.000 кг</t>
  </si>
  <si>
    <t>DM6plus (enclosed)</t>
  </si>
  <si>
    <t>437 618,7 ₽</t>
  </si>
  <si>
    <t>600×600×601</t>
  </si>
  <si>
    <t>DM6-8Plus</t>
  </si>
  <si>
    <t>https://www.alibaba.com/product-detail/DM6-8Plus-Cheap-High-Precision-Strong_1600198772086.html</t>
  </si>
  <si>
    <t xml:space="preserve">430 292,3 ₽                </t>
  </si>
  <si>
    <t>600×600×800</t>
  </si>
  <si>
    <t>320.000 кг</t>
  </si>
  <si>
    <t>138X109X80 см</t>
  </si>
  <si>
    <t>DM6-10Plus</t>
  </si>
  <si>
    <t>https://www.alibaba.com/product-detail/Dowell3D-DM6-10Plus-High-Speed-Large_1600336308534.html</t>
  </si>
  <si>
    <t xml:space="preserve">446 257,4 ₽                </t>
  </si>
  <si>
    <t>600×600×1000</t>
  </si>
  <si>
    <t>350.000 кг</t>
  </si>
  <si>
    <t>95X93X95 см</t>
  </si>
  <si>
    <t>DM6-12Plus</t>
  </si>
  <si>
    <t xml:space="preserve">462 222,5 ₽                </t>
  </si>
  <si>
    <t>600×600×1200</t>
  </si>
  <si>
    <t>360.000 кг</t>
  </si>
  <si>
    <t>150X150X155 см</t>
  </si>
  <si>
    <t xml:space="preserve">DM6-12plus (enclosed)                </t>
  </si>
  <si>
    <t xml:space="preserve">525 645,5 ₽                </t>
  </si>
  <si>
    <t>DM6-16Plus</t>
  </si>
  <si>
    <t>https://www.alibaba.com/product-detail/DM6-16Plus-Large-Industrial-Dowell-Big_1600192489022.html</t>
  </si>
  <si>
    <t xml:space="preserve">494 043,3 ₽                </t>
  </si>
  <si>
    <t>600×600×1600</t>
  </si>
  <si>
    <t>380.000 кг</t>
  </si>
  <si>
    <t>158X193X50 см</t>
  </si>
  <si>
    <t>DM8Plus</t>
  </si>
  <si>
    <t>https://dwdz.en.alibaba.com/search/product?SearchText=DM8Plus</t>
  </si>
  <si>
    <t xml:space="preserve">461 129,0 ₽                </t>
  </si>
  <si>
    <t>800×800×800</t>
  </si>
  <si>
    <t>180X180X116 см</t>
  </si>
  <si>
    <t xml:space="preserve">DM8plus (enclosed)                </t>
  </si>
  <si>
    <t xml:space="preserve">527 723,1 ₽                </t>
  </si>
  <si>
    <t xml:space="preserve">DM8-12plus                </t>
  </si>
  <si>
    <t xml:space="preserve">524 880,0 ₽                </t>
  </si>
  <si>
    <t>DM8-16Plus</t>
  </si>
  <si>
    <t>https://www.alibaba.com/product-detail/Large-Print-Size-800-800-1600mm_1600288706290.html</t>
  </si>
  <si>
    <t xml:space="preserve">550 139,9 ₽                </t>
  </si>
  <si>
    <t>800×800×1600</t>
  </si>
  <si>
    <t>210X180X160 см</t>
  </si>
  <si>
    <t xml:space="preserve">DM8-16plus (enclosed)                </t>
  </si>
  <si>
    <t xml:space="preserve">635 760,9 ₽                </t>
  </si>
  <si>
    <t>DM10-6Plus</t>
  </si>
  <si>
    <t>https://www.alibaba.com/product-detail/DM10-6Plus-Home-Industrial-3d-Printer_1601043796708.html</t>
  </si>
  <si>
    <t xml:space="preserve">458 942,0 ₽                </t>
  </si>
  <si>
    <t>1000×1000×600</t>
  </si>
  <si>
    <t>180X180X130 см</t>
  </si>
  <si>
    <t>DM10-8Plus</t>
  </si>
  <si>
    <t>https://www.alibaba.com/product-detail/DM10-8Plus-1000mm-Automatic-FDM-3D_1600722278271.html</t>
  </si>
  <si>
    <t xml:space="preserve">468 236,7 ₽                </t>
  </si>
  <si>
    <t>1000*1000*800mm</t>
  </si>
  <si>
    <t>340.000 кг</t>
  </si>
  <si>
    <t>153X142X110 см</t>
  </si>
  <si>
    <t>DM1016-10Plus</t>
  </si>
  <si>
    <t>https://www.alibaba.com/product-detail/DM1016-10Plus-Fast-Printing-Large-Format_1600193159916.html</t>
  </si>
  <si>
    <t xml:space="preserve">624 825,9 ₽                </t>
  </si>
  <si>
    <t>1000×1600×1000</t>
  </si>
  <si>
    <t>197X139X57 см</t>
  </si>
  <si>
    <t xml:space="preserve">DM1016-10plus (enclosed)                </t>
  </si>
  <si>
    <t>https://www.alibaba.com/product-detail/Dowell-DM1016-12Plus-Fast-3d-Printing_1600415561143.html</t>
  </si>
  <si>
    <t xml:space="preserve">751 562,6 ₽                </t>
  </si>
  <si>
    <t>1000×1600×1200</t>
  </si>
  <si>
    <t>230X210X160 см</t>
  </si>
  <si>
    <t>DM1016-12Plus</t>
  </si>
  <si>
    <t xml:space="preserve">644 837,0 ₽                </t>
  </si>
  <si>
    <t xml:space="preserve">DM1018-10plus                </t>
  </si>
  <si>
    <t xml:space="preserve">810 830,3 ₽                </t>
  </si>
  <si>
    <t xml:space="preserve">DM1018-16plus                </t>
  </si>
  <si>
    <t xml:space="preserve">757 686,2 ₽                </t>
  </si>
  <si>
    <t>DM1020-10Plus</t>
  </si>
  <si>
    <t>https://www.alibaba.com/product-detail/DM1020-10Plus-High-Precision-Impresora-3d_1600666308860.html</t>
  </si>
  <si>
    <t xml:space="preserve">777 041,1 ₽                </t>
  </si>
  <si>
    <t>1000×2000×1000</t>
  </si>
  <si>
    <t>440.000 кг</t>
  </si>
  <si>
    <t>230X210X198 см</t>
  </si>
  <si>
    <t>DM12Plus</t>
  </si>
  <si>
    <t>https://www.alibaba.com/product-detail/DM12Plus-Precision-Auto-Leveling-Imprimante-3d_1601197175515.html</t>
  </si>
  <si>
    <t xml:space="preserve">569 932,2 ₽                </t>
  </si>
  <si>
    <t>1200×1200×1200</t>
  </si>
  <si>
    <t>220X190X160 см</t>
  </si>
  <si>
    <t>DM1216-12Plus</t>
  </si>
  <si>
    <t>https://www.alibaba.com/product-detail/DOWELL3D-DM1216-12Plus-Large-Format-Industrial_1601089723389.html</t>
  </si>
  <si>
    <t xml:space="preserve">944 893,4 ₽                </t>
  </si>
  <si>
    <t>1200×1600×1200</t>
  </si>
  <si>
    <t>480.000 кг</t>
  </si>
  <si>
    <t>Для кого</t>
  </si>
  <si>
    <t>Для чего</t>
  </si>
  <si>
    <t>Зачем</t>
  </si>
  <si>
    <t>DM1216-16Plus</t>
  </si>
  <si>
    <t>https://www.alibaba.com/product-detail/DM1216-16Plus-Imprimante-3d-Printer-Large_1600677978386.html</t>
  </si>
  <si>
    <t xml:space="preserve">836 199,5 ₽                </t>
  </si>
  <si>
    <t>1200×1600×1600</t>
  </si>
  <si>
    <t>Для сервисных бюро 3D-печати, дизайнерских студий, профессионалов и энтузиастов, которым важен темп</t>
  </si>
  <si>
    <t>Создание прототипов и конечных изделий в максимально короткие сроки.</t>
  </si>
  <si>
    <t>Печатает на 50% быстрее других крупных принтеров (до 500 мм/с), что критически важно для быстрой итерации моделей.</t>
  </si>
  <si>
    <t xml:space="preserve">DM1218-16plus                </t>
  </si>
  <si>
    <t xml:space="preserve">999 459,0 ₽                </t>
  </si>
  <si>
    <t>DM1220-8Plus</t>
  </si>
  <si>
    <t>https://www.alibaba.com/product-detail/DM1220-8Plus-Large-Big-Size-3D_1601014980308.html</t>
  </si>
  <si>
    <t xml:space="preserve">861 021,9 ₽                </t>
  </si>
  <si>
    <t>1200×1950×800</t>
  </si>
  <si>
    <t>410.000 кг</t>
  </si>
  <si>
    <t>230X210X180 см</t>
  </si>
  <si>
    <t xml:space="preserve">DM1220-10plus                </t>
  </si>
  <si>
    <t xml:space="preserve">910 448,1 ₽                </t>
  </si>
  <si>
    <t xml:space="preserve">DM1220-16plus                </t>
  </si>
  <si>
    <t xml:space="preserve">1 174 309,7 ₽                </t>
  </si>
  <si>
    <t>Серия DM Pro</t>
  </si>
  <si>
    <t>Характеристики
• Основные
    ◦ Материал печати: Пластиковая нить (филамент).
    ◦ Технология печати: FDM Industrial.
    ◦ DIY (набор для сборки): Нет.
    ◦ Корпус принтера: Открытый; Закрытый (опция 60°C Enclosure).
    ◦ Диаметр нити: 2.85 мм.
    ◦ Кол-во печатающих сопел: 1 шт. (стандарт); 2 шт. (опция).
    ◦ Температура экструдера: до 420°С.
    ◦ Температура стола: до 100°С (опционально до 150°С).
    ◦ Температура камеры печати: до 60°С (при установке опционального корпуса).
    ◦ Область печати: до 1200×2000×2000 мм.
    ◦ Калибровка: Автоматическая.
    ◦ Скорость печати: 250–500 мм/с.
    ◦ Подогреваемый стол: Да (закаленное стекло + силиконовый нагреватель).
    ◦ Видеокамера: Да (стандартно или опция в зависимости от комплектации).
    ◦ Принудительный подогрев камеры: Нет.
    ◦ Контроль наличия пластика: Да.
    ◦ Система возобновления печати: Да.
    ◦ Сопло: 0.4 / 0.8 / 1.2 / 1.6 / 2.0 мм.
    ◦ Поддерживаемые материалы: 2.85мм PLA, PETG, ABS, ASA, TPU, Wood, Nylon, Carbon Fiber и др..
• Программное обеспечение
    ◦ Форматы файлов: STL, OBJ, G-code, JPG.
    ◦ Совместимые ОС: Windows.
    ◦ ПО: Cura, Dowell3D, Simplify3D, Slic3r.
• Дополнительная информация
    ◦ Интерфейс подключения: SD-карта, USB, Wi-Fi.
    ◦ Электропитание: 110 / 220 VAC.
    ◦ Особенности: 10-дюймовый сенсорный экран, система анти-коллизии сопла.</t>
  </si>
  <si>
    <t xml:space="preserve">DM8-6pro                </t>
  </si>
  <si>
    <t xml:space="preserve">542 704,1 ₽                </t>
  </si>
  <si>
    <t xml:space="preserve">DM8pro                </t>
  </si>
  <si>
    <t xml:space="preserve">565 230,2 ₽                </t>
  </si>
  <si>
    <t xml:space="preserve">DM8-10pro                </t>
  </si>
  <si>
    <t xml:space="preserve">603 174,6 ₽                </t>
  </si>
  <si>
    <t xml:space="preserve">DM8-12pro                </t>
  </si>
  <si>
    <t xml:space="preserve">609 188,9 ₽                </t>
  </si>
  <si>
    <t xml:space="preserve">DM10-8pro                </t>
  </si>
  <si>
    <t xml:space="preserve">595 301,4 ₽                </t>
  </si>
  <si>
    <t>DM-10Pro</t>
  </si>
  <si>
    <t>https://www.alibaba.com/product-detail/DM8-6Pro-Large-3d-Printer-PLA_1600830212315.html</t>
  </si>
  <si>
    <t xml:space="preserve">598 035,2 ₽                </t>
  </si>
  <si>
    <t>800×800×600</t>
  </si>
  <si>
    <t>140X140X90 см</t>
  </si>
  <si>
    <t xml:space="preserve">DM10-12pro                </t>
  </si>
  <si>
    <t xml:space="preserve">636 089,0 ₽                </t>
  </si>
  <si>
    <t xml:space="preserve">DM1014-6pro                </t>
  </si>
  <si>
    <t xml:space="preserve">656 865,5 ₽                </t>
  </si>
  <si>
    <t xml:space="preserve">DM1014-16pro                </t>
  </si>
  <si>
    <t>https://www.alibaba.com/product-detail/DM1014-6pro-High-Precision-Impresora-3d_1601566303606.html</t>
  </si>
  <si>
    <t xml:space="preserve">753 093,5 ₽                </t>
  </si>
  <si>
    <t>1000×1400×600</t>
  </si>
  <si>
    <t>240X240X110 см</t>
  </si>
  <si>
    <t xml:space="preserve">DM1016-6pro                </t>
  </si>
  <si>
    <t xml:space="preserve">717 773,4 ₽                </t>
  </si>
  <si>
    <t xml:space="preserve"> DM1016-8Pro</t>
  </si>
  <si>
    <t>https://www.alibaba.com/product-detail/DM1016-8pro-High-Precision-Large-Format_1601562293685.html</t>
  </si>
  <si>
    <t xml:space="preserve">880 048,8 ₽                </t>
  </si>
  <si>
    <t>1000×1600×800</t>
  </si>
  <si>
    <t>392.000 кг</t>
  </si>
  <si>
    <t>170X280X91 см</t>
  </si>
  <si>
    <t>DM1016-10Pro</t>
  </si>
  <si>
    <t>https://www.alibaba.com/product-detail/Dowell-DM1016-10Pro-1600mm-1000mm-Big_1601227603765.html</t>
  </si>
  <si>
    <t xml:space="preserve">754 187,0 ₽                </t>
  </si>
  <si>
    <t>210X190X100 см</t>
  </si>
  <si>
    <t xml:space="preserve">DM1016-12pro                </t>
  </si>
  <si>
    <t xml:space="preserve">780 759,0 ₽                </t>
  </si>
  <si>
    <t xml:space="preserve">DM1016-16pro                </t>
  </si>
  <si>
    <t xml:space="preserve">825 920,6 ₽                </t>
  </si>
  <si>
    <t>DM1020-10Pro</t>
  </si>
  <si>
    <t>https://www.alibaba.com/product-detail/1000-2000-1000mm-Large-Printing-Size_1601566746951.html</t>
  </si>
  <si>
    <t xml:space="preserve">926 085,2 ₽                </t>
  </si>
  <si>
    <t>213X180X121 см</t>
  </si>
  <si>
    <t xml:space="preserve">DM1220-6pro                </t>
  </si>
  <si>
    <t xml:space="preserve">983 712,6 ₽                </t>
  </si>
  <si>
    <t>DM1216-12Pro</t>
  </si>
  <si>
    <t>https://www.alibaba.com/product-detail/Dowell-DM1216-12pro-Fdm-Carbon-Fiber_1601564627472.html</t>
  </si>
  <si>
    <t>511.000 кг</t>
  </si>
  <si>
    <t>230X242X181 см</t>
  </si>
  <si>
    <t>DM1216-16Pro</t>
  </si>
  <si>
    <t xml:space="preserve">919 305,5 ₽                </t>
  </si>
  <si>
    <t>DM1218-12Pro</t>
  </si>
  <si>
    <t>https://www.alibaba.com/product-detail/DM1218-12pro-Large-Format-FDM-Multimaterial_1601567141368.html</t>
  </si>
  <si>
    <t xml:space="preserve">957 140,6 ₽                </t>
  </si>
  <si>
    <t>1200×1800×1200</t>
  </si>
  <si>
    <t>412.000 кг</t>
  </si>
  <si>
    <t>240X210X180 см</t>
  </si>
  <si>
    <t>DM1220-16Pro</t>
  </si>
  <si>
    <t>https://www.alibaba.com/product-detail/DM1220-16pro-Industrial-Large-Format-3d_1601564492670.html</t>
  </si>
  <si>
    <t>1200×2000×1600</t>
  </si>
  <si>
    <t>633.000 кг</t>
  </si>
  <si>
    <t>192X264X112 см</t>
  </si>
  <si>
    <t>DM10-20Pro</t>
  </si>
  <si>
    <t>https://www.alibaba.com/product-detail/1000-1000-2000mm-Large-Format-3d_1601563120093.html</t>
  </si>
  <si>
    <t>1000×1000×2000</t>
  </si>
  <si>
    <t>583.000 кг</t>
  </si>
  <si>
    <t>210X198X91 см</t>
  </si>
  <si>
    <t>DM12-16Pro</t>
  </si>
  <si>
    <t>https://www.alibaba.com/product-detail/DM12-16pro-Industrial-Grade-Automatic-Fdm_1601567216860.html</t>
  </si>
  <si>
    <t>1200×1200×1600</t>
  </si>
  <si>
    <t>610.000 кг</t>
  </si>
  <si>
    <t>240X240X160 см</t>
  </si>
  <si>
    <t>DM1218-16Pro</t>
  </si>
  <si>
    <t>https://www.alibaba.com/product-detail/Printer-1200x1800x1600mm-Large-FDM-Multiple-Materials_1601563839751.html</t>
  </si>
  <si>
    <t>1200×1800×1600</t>
  </si>
  <si>
    <t>586.000 кг</t>
  </si>
  <si>
    <t>210X273X142 см</t>
  </si>
  <si>
    <t>DM1220-12Pro</t>
  </si>
  <si>
    <t>https://www.alibaba.com/product-detail/DM1220-12pro-Fully-Automatic-Leveling-Impresora_1601566763703.html</t>
  </si>
  <si>
    <t>1200×2000×1200</t>
  </si>
  <si>
    <t>510.000 кг</t>
  </si>
  <si>
    <t>260X210X210 см</t>
  </si>
  <si>
    <t>Для предприятий тяжелого машиностроения и производства литейной оснастки.</t>
  </si>
  <si>
    <t>Изготовление массивных, цельнолитых промышленных моделей и крупных форм.</t>
  </si>
  <si>
    <t>Благодаря использованию филамента 2,85 мм и потоку до 1000 г/час, время печати огромных объектов сокращается в 2–3 раза.</t>
  </si>
  <si>
    <t>Серия DL (Advanced, filament)</t>
  </si>
  <si>
    <r>
      <rPr>
        <rFont val="Arial"/>
        <b/>
        <color theme="1"/>
      </rPr>
      <t>Характеристики 
Основные</t>
    </r>
    <r>
      <rPr>
        <rFont val="Arial"/>
        <color theme="1"/>
      </rPr>
      <t xml:space="preserve">
• Материал печати: Пластиковая нить (филамент).
• Технология печати: FDM Industrial (промышленная FDM).
• DIY (набор для сборки): Нет (поставляется в собранном виде, готовность около 85%).
• Корпус принтера: Открытый (стандарт); Закрытый (опционально — 60°C Enclosure).
• Диаметр нити: 2.85 мм (для обеспечения высокого потока).
• Кол-во печатающих сопел: 1 шт. (стандарт); возможна установка Dual Extruder (опция).
• Температура экструдера: до 420°С (высокотемпературная головка собственной разработки).
• Температура стола: до 100°С (стандартно); до 150°С (под заказ).
• Температура камеры печати: до 60°С (при наличии опционального корпуса).
• Область печати: от 1000 × 1000 × 1000 мм (DL10) до 1600 × 2400 × 1600 мм (DL1624-16).
• Калибровка: Автоматическая (двухуровневая: независимая регулировка 4 углов + матричное сканирование поверхности до 100 точек).
• Скорость печати / выращивания: до 350 мм/с (акцент сделан на стабильность и высокий поток).
• Подогреваемый стол: Да (закаленное стекло 6 мм + силиконовый нагреватель).
• Видеокамера: Да (стандартно для продвинутых моделей серии DL).
• Принудительный подогрев камеры: Нет (термостабилизация до 60°С за счет корпуса).
• Контроль наличия пластика: Да (Filament Run-out Sensor).
• Система возобновления печати: Да (Auto resume from power off).
• Сопло: 0.4 / 0.8 / 1.2 / 1.6 / 2.0 мм (используется 4-шестеренчатый механизм подачи для высокого потока до 1000 г/ч).
• Поддерживаемые материалы: PLA, PETG, ABS, ASA, PVA, TPU, WOOD, Nylon, Carbon Fiber (CF), PEEK, PEI и другие инженерные композиты.
</t>
    </r>
    <r>
      <rPr>
        <rFont val="Arial"/>
        <b/>
        <color theme="1"/>
      </rPr>
      <t>Программное обеспечение</t>
    </r>
    <r>
      <rPr>
        <rFont val="Arial"/>
        <color theme="1"/>
      </rPr>
      <t xml:space="preserve">
• Поддерживаемые форматы файлов: STL, OBJ, G-code, JPG.
• Совместимые ОС: Windows.
• Программное обеспечение: Cura, Dowell3D, Simplify3D, Slic3r, Orca.
</t>
    </r>
    <r>
      <rPr>
        <rFont val="Arial"/>
        <b/>
        <color theme="1"/>
      </rPr>
      <t>Дополнительная информация</t>
    </r>
    <r>
      <rPr>
        <rFont val="Arial"/>
        <color theme="1"/>
      </rPr>
      <t xml:space="preserve">
• Интерфейс управления: 10-дюймовый цветной сенсорный экран (мультиязычный).
• Интерфейс подключения: USB, Wi-Fi (удаленное управление), SD-карта.
• Электропитание: 110 / 220 VAC.
• Рабочая температура среды: 5°C – 35°C.</t>
    </r>
  </si>
  <si>
    <t>DL10</t>
  </si>
  <si>
    <t>https://www.alibaba.com/product-detail/DL10-Industrial-3d-Printer-Sculpture-Stampante_1601574626486.html</t>
  </si>
  <si>
    <t>1000×1000×1000</t>
  </si>
  <si>
    <t>580.000 кг</t>
  </si>
  <si>
    <t>267X228X198 см</t>
  </si>
  <si>
    <t>DL10-16</t>
  </si>
  <si>
    <t>https://www.alibaba.com/product-detail/Dowell-DL10-16-Large-Faster-Diy_1601575402512.html</t>
  </si>
  <si>
    <t xml:space="preserve">791 147,3 ₽                </t>
  </si>
  <si>
    <t>1000×1000×1600</t>
  </si>
  <si>
    <t>280X280X160 см</t>
  </si>
  <si>
    <t>DL1016-10</t>
  </si>
  <si>
    <t>https://www.alibaba.com/product-detail/DL1016-10-High-Precision-Industrial-3d_1601563992626.html</t>
  </si>
  <si>
    <t xml:space="preserve">1 098 311,4 ₽                </t>
  </si>
  <si>
    <t>673.000 кг</t>
  </si>
  <si>
    <t>281X263X215 см</t>
  </si>
  <si>
    <t xml:space="preserve">DL12-6                </t>
  </si>
  <si>
    <t xml:space="preserve">949 923,5 ₽                </t>
  </si>
  <si>
    <t>DL12-10</t>
  </si>
  <si>
    <t>https://www.alibaba.com/product-detail/DL12-10-Industrial-Large-Format-Impresora_1601566186724.html</t>
  </si>
  <si>
    <t xml:space="preserve">998 802,9 ₽                </t>
  </si>
  <si>
    <t>1200×1200×1000</t>
  </si>
  <si>
    <t>260X246X213 см</t>
  </si>
  <si>
    <t>DL1216-12</t>
  </si>
  <si>
    <t>https://www.alibaba.com/product-detail/Dowell-DL1216-12-High-Flow-Large_1601565632555.html</t>
  </si>
  <si>
    <t xml:space="preserve">1 274 911,7 ₽                </t>
  </si>
  <si>
    <t>780.000 кг</t>
  </si>
  <si>
    <t>280X260X220 см</t>
  </si>
  <si>
    <t>DL1220-12</t>
  </si>
  <si>
    <t>https://www.alibaba.com/product-detail/DL1220-12-Large-High-Accuracy-3d_1601566410214.html</t>
  </si>
  <si>
    <t xml:space="preserve">1 268 788,1 ₽                </t>
  </si>
  <si>
    <t>710.000 кг</t>
  </si>
  <si>
    <t>278X261X220 см</t>
  </si>
  <si>
    <t>DL1220-16</t>
  </si>
  <si>
    <t>https://www.alibaba.com/product-detail/DL1220-16-Large-3D-Printer-Industrial_1600666600676.html</t>
  </si>
  <si>
    <t xml:space="preserve">1 321 713,5 ₽                </t>
  </si>
  <si>
    <t>600.000 кг</t>
  </si>
  <si>
    <t>280X240X180 см</t>
  </si>
  <si>
    <t>DL1220-20</t>
  </si>
  <si>
    <t>https://www.alibaba.com/product-detail/Dowell-3d-Printing-Machine-DL1220-20_1601574774833.html</t>
  </si>
  <si>
    <t xml:space="preserve">1 413 348,8 ₽                </t>
  </si>
  <si>
    <t>1200×2000×2000</t>
  </si>
  <si>
    <t>588.000 кг</t>
  </si>
  <si>
    <t>320X320X240 см</t>
  </si>
  <si>
    <t>DL12</t>
  </si>
  <si>
    <t>https://www.alibaba.com/product-detail/DL12-Industrial-Large-3d-Printer-Machine_1601575488444.html</t>
  </si>
  <si>
    <t xml:space="preserve">884 860,2 ₽                </t>
  </si>
  <si>
    <t>286X260X198 см</t>
  </si>
  <si>
    <t>DL12-16</t>
  </si>
  <si>
    <t>https://www.alibaba.com/product-detail/DL12-16-Professional-3d-Printer-Industrial_1601574658665.html</t>
  </si>
  <si>
    <t xml:space="preserve">986 446,4 ₽                </t>
  </si>
  <si>
    <t>280X267X186 см</t>
  </si>
  <si>
    <t>DL1616-16</t>
  </si>
  <si>
    <t>https://www.alibaba.com/product-detail/Factory-Sale-High-Speed-Impresora-3d_1601567057679.html</t>
  </si>
  <si>
    <t xml:space="preserve">1 373 764,1 ₽                </t>
  </si>
  <si>
    <t>1600×1600×1600</t>
  </si>
  <si>
    <t>910.000 кг</t>
  </si>
  <si>
    <t>298X250X198 см</t>
  </si>
  <si>
    <t>DL1620-16</t>
  </si>
  <si>
    <t>https://www.alibaba.com/product-detail/DL1620-16-Thickened-80-Aluminum-Frame_1601033069142.html</t>
  </si>
  <si>
    <t xml:space="preserve">1 881 804,2 ₽                </t>
  </si>
  <si>
    <t>1600×2000×1600</t>
  </si>
  <si>
    <t>730.000 кг</t>
  </si>
  <si>
    <t>290X280X213 см</t>
  </si>
  <si>
    <t>DL1624-16</t>
  </si>
  <si>
    <t>https://www.alibaba.com/product-detail/Dowell-FDM-Plastic-Home-Ues-High_1601564937460.html</t>
  </si>
  <si>
    <t xml:space="preserve">1 701 376,7 ₽                </t>
  </si>
  <si>
    <t>1600×2400×1600</t>
  </si>
  <si>
    <t>737.000 кг</t>
  </si>
  <si>
    <t>276X254X213 см</t>
  </si>
  <si>
    <t>Серия DL</t>
  </si>
  <si>
    <t>Для аэрокосмического сектора, судостроения и автомобильной промышленности.</t>
  </si>
  <si>
    <t>Печать сверхкрупных деталей (бамперы, части лодок), огромных скульптур (например, динозавров) и мебели.</t>
  </si>
  <si>
    <t>Единственная серия с усиленной рамой 80 мм, позволяющая создавать цельные модели длиной до 2,4 метра с высокой надежностью.</t>
  </si>
  <si>
    <t>Серия DP-A (Pellet / FGF)</t>
  </si>
  <si>
    <r>
      <rPr>
        <rFont val="Arial"/>
        <b/>
        <color theme="1"/>
      </rPr>
      <t>Характеристики
Основные</t>
    </r>
    <r>
      <rPr>
        <rFont val="Arial"/>
        <color theme="1"/>
      </rPr>
      <t xml:space="preserve">
• Материал печати: Полимерные гранулы (Pellets / Granule material) размером до 4 мм.
• Технология печати: FGF (Fused Granulate Fabrication) / 3-ступенчатая шнековая экструзия.
• DIY (набор для сборки): Нет (промышленная установка, поставляется собранной на 85%).
• Корпус принтера: Открытый на базе 80-мм сверхпрочной рамы (стандарт); Закрытый (опция — 60°C Enclosure).
• Диаметр сопла: 1.0 / 2.0 / 3.0 / 4.0 мм.
• Кол-во печатающих сопел: 1 шт. (шнековый экструдер).
• Температура экструдера: до 420°С (с 3-зонным температурным контролем и системой водяного охлаждения).
• Температура стола: до 100°С.
• Температура камеры печати: до 60°С (при установке опционального корпуса).
• Область печати: от 1000 × 1000 × 1000 мм (DP-A10) до 1600 × 2400 × 1600 мм (DP-A1624-16).
• Калибровка: Автоматическая (двухуровневая система с датчиками высокой точности).
• Скорость печати / выращивания: до 250 мм/с.
• Поток экструзии: экстремально высокий — 4000–5000 г/час.
• Подогреваемый стол: Да (закаленное стекло 6 мм + силиконовый нагреватель).
• Видеокамера: Да (устанавливаемая внешняя камера как опция).
• Принудительный подогрев камеры: Да (до 60°С, если выбран вариант с Enclosure).
• Контроль наличия материала: Да (датчик подачи гранул).
• Система возобновления печати: Да.
• Поддерживаемые материалы: PLA, PETG, ABS, TPE и другие термопласты в гранулах.
</t>
    </r>
    <r>
      <rPr>
        <rFont val="Arial"/>
        <b/>
        <color theme="1"/>
      </rPr>
      <t>Программное обеспечение</t>
    </r>
    <r>
      <rPr>
        <rFont val="Arial"/>
        <color theme="1"/>
      </rPr>
      <t xml:space="preserve">
• Поддерживаемые форматы файлов: STL, OBJ, G-code, JPG.
• Совместимые ОС: Windows.
• Программное обеспечение: Dowell, Cura, Simplify3D, Slic3r.
</t>
    </r>
    <r>
      <rPr>
        <rFont val="Arial"/>
        <b/>
        <color theme="1"/>
      </rPr>
      <t>Дополнительная информация</t>
    </r>
    <r>
      <rPr>
        <rFont val="Arial"/>
        <color theme="1"/>
      </rPr>
      <t xml:space="preserve">
• Интерфейс управления: 10-дюймовый полноцветный сенсорный экран.
• Интерфейс подключения: USB, Wi-Fi (удаленное управление), SD-карта.
• Электропитание: 110 / 220 VAC.
• Особенности: Система сервоприводов и винтовых передач (Screw drive &amp; Servo Motor) для точного перемещения тяжелого экструдера.</t>
    </r>
  </si>
  <si>
    <t>DP-A1616-12</t>
  </si>
  <si>
    <t>https://www.alibaba.com/product-detail/DP-A1616-12-3D-Printer-Plastic_1601041123905.html</t>
  </si>
  <si>
    <t xml:space="preserve">1 900 175,0 ₽                </t>
  </si>
  <si>
    <t>1600×1600×1200</t>
  </si>
  <si>
    <t>920.000 кг</t>
  </si>
  <si>
    <t>340X280X210 см</t>
  </si>
  <si>
    <t xml:space="preserve">DP-A1220-12                </t>
  </si>
  <si>
    <t xml:space="preserve">1 880 382,6 ₽                </t>
  </si>
  <si>
    <t>DP-A1220-16</t>
  </si>
  <si>
    <t>https://www.alibaba.com/product-detail/Dowell3D-1200-2000-1600-Pellet-Granule_1601231297101.html</t>
  </si>
  <si>
    <t xml:space="preserve">1 913 406,3 ₽                </t>
  </si>
  <si>
    <t>1160.000 кг</t>
  </si>
  <si>
    <t>310X280X240 см</t>
  </si>
  <si>
    <t xml:space="preserve">DP-A1620-12                </t>
  </si>
  <si>
    <t xml:space="preserve">2 130 247,4 ₽                </t>
  </si>
  <si>
    <t>DP-A1620-16</t>
  </si>
  <si>
    <t>https://www.alibaba.com/product-detail/DP-A1620-16-3D-Printer-Manufacturing_1601043019352.html</t>
  </si>
  <si>
    <t xml:space="preserve">2 110 892,4 ₽                </t>
  </si>
  <si>
    <t>890.000 кг</t>
  </si>
  <si>
    <t>320X280X260 см</t>
  </si>
  <si>
    <t>DP-A10</t>
  </si>
  <si>
    <t>https://www.alibaba.com/product-detail/DP-A10-FGF-Industrial-Pellets-Extruder_1601563043094.html</t>
  </si>
  <si>
    <t xml:space="preserve">1 383 605,6 ₽                </t>
  </si>
  <si>
    <t>670.000 кг</t>
  </si>
  <si>
    <t>280X240X190 см</t>
  </si>
  <si>
    <t>DP-A10-16</t>
  </si>
  <si>
    <t>https://www.alibaba.com/product-detail/DP-A10-16-Large-Size-Granule_1601563008616.html</t>
  </si>
  <si>
    <t xml:space="preserve">1 610 178,8 ₽                </t>
  </si>
  <si>
    <t>723.000 кг</t>
  </si>
  <si>
    <t>298X246X163 см</t>
  </si>
  <si>
    <t>DP-A12</t>
  </si>
  <si>
    <t>https://www.alibaba.com/product-detail/DP-A12-Industrial-Large-Professional-FGF_1601575509218.html</t>
  </si>
  <si>
    <t xml:space="preserve">1 531 665,5 ₽                </t>
  </si>
  <si>
    <t>718.000 кг</t>
  </si>
  <si>
    <t>280X260X260 см</t>
  </si>
  <si>
    <t xml:space="preserve">DP-A12-16                </t>
  </si>
  <si>
    <t xml:space="preserve">1 525 323,2 ₽                </t>
  </si>
  <si>
    <t>DP-A1216-12</t>
  </si>
  <si>
    <t>https://www.alibaba.com/product-detail/Dowell-FGF-3D-Large-Scale-Granule_1600441247466.html</t>
  </si>
  <si>
    <t xml:space="preserve">1 692 956,7 ₽                </t>
  </si>
  <si>
    <t>1060.000 кг</t>
  </si>
  <si>
    <t>320X310X240 см</t>
  </si>
  <si>
    <t>DP-A1616-16</t>
  </si>
  <si>
    <t>https://www.alibaba.com/product-detail/DP-A1616-16-Enclosed-Auto-Leveling_1601566211407.html</t>
  </si>
  <si>
    <t xml:space="preserve">2 225 928,6 ₽                </t>
  </si>
  <si>
    <t>1200.000 кг</t>
  </si>
  <si>
    <t>320X290X210 см</t>
  </si>
  <si>
    <t xml:space="preserve">DP-A1624-12                </t>
  </si>
  <si>
    <t xml:space="preserve">2 291 538,6 ₽                </t>
  </si>
  <si>
    <t>DP-A1624-16</t>
  </si>
  <si>
    <t>https://www.alibaba.com/product-detail/Dowell-DP-A1624-16-Pellet-3d_1601575445825.html</t>
  </si>
  <si>
    <t xml:space="preserve">2 360 647,8 ₽                </t>
  </si>
  <si>
    <t>1250.000 кг</t>
  </si>
  <si>
    <t>340X320X260 см</t>
  </si>
  <si>
    <t>Серия DP</t>
  </si>
  <si>
    <t>Для производителей крупногабаритной мебели, элементов фасадного декора, больших скульптур и полномасштабных прототипов.</t>
  </si>
  <si>
    <t>Создание гигантских моделей при минимальной себестоимости</t>
  </si>
  <si>
    <t>Гранулы в 5–10 раз дешевле филамента, а производительность достигает 6 кг материала в час, что делает печать огромных объектов экономически выгодной.</t>
  </si>
  <si>
    <t>Из наличия — регламент ассистента</t>
  </si>
  <si>
    <t>Поддержка сделки из стока: МойСклад, платеж, отгрузка, серийный номер и контроль закрытия</t>
  </si>
  <si>
    <t>Смысл процесса</t>
  </si>
  <si>
    <t>Процесс продажи из наличия начинается с входящего лида/обращения клиента и заканчивается только после подтверждения получения товара клиентом. Менеджер отвечает за фиксацию данных в amoCRM, создание или проверку заказа клиента в МойСклад, формирование договора и счета, согласование самовывоза или доставки, передачу трека клиенту и корректное закрытие сделки.</t>
  </si>
  <si>
    <t>№</t>
  </si>
  <si>
    <t>Этап</t>
  </si>
  <si>
    <t>Условие запуска</t>
  </si>
  <si>
    <t>Что делает ассистент</t>
  </si>
  <si>
    <t>Откуда берет данные</t>
  </si>
  <si>
    <t>SLA/срок</t>
  </si>
  <si>
    <t>Где фиксирует</t>
  </si>
  <si>
    <t>Ошибка/исключение</t>
  </si>
  <si>
    <t>Получение сигнала по сделке из наличия</t>
  </si>
  <si>
    <t>Менеджер передал сделку / заказ появился в CRM</t>
  </si>
  <si>
    <t>Проверить, что есть модель, клиент, способ оплаты, способ получения, цена и комментарии</t>
  </si>
  <si>
    <t>amoCRM, сообщение менеджера</t>
  </si>
  <si>
    <t>В течение 30 минут после передачи</t>
  </si>
  <si>
    <t>amoCRM / рабочая группа</t>
  </si>
  <si>
    <t>Данных хватает для проверки учета</t>
  </si>
  <si>
    <t>Если данных не хватает — вернуть менеджеру на уточнение</t>
  </si>
  <si>
    <t>Проверка заказа клиента</t>
  </si>
  <si>
    <t>Клиент готов к оформлению / заказ создан API</t>
  </si>
  <si>
    <t>Проверить заказ клиента в МойСклад: связь со сделкой, модель, цена, клиент</t>
  </si>
  <si>
    <t>amoCRM / МойСклад</t>
  </si>
  <si>
    <t>До подготовки документов</t>
  </si>
  <si>
    <t>МойСклад</t>
  </si>
  <si>
    <t>Заказ клиента создан и не дублируется</t>
  </si>
  <si>
    <t>Не создавать дубль, если заказ уже пришел из CRM</t>
  </si>
  <si>
    <t>Проверка договора и счета</t>
  </si>
  <si>
    <t>Менеджер сформировал документы</t>
  </si>
  <si>
    <t>Проверить, что условия в учете не расходятся с договором: модель, сумма, клиент, способ получения</t>
  </si>
  <si>
    <t>Договор/счет, amoCRM</t>
  </si>
  <si>
    <t>До оплаты/отгрузки</t>
  </si>
  <si>
    <t>МойСклад / amoCRM</t>
  </si>
  <si>
    <t>Данные совпадают</t>
  </si>
  <si>
    <t>Не менять условия договора самостоятельно</t>
  </si>
  <si>
    <t>Контроль входящего платежа</t>
  </si>
  <si>
    <t>Оплата поступила / менеджер сообщил об оплате</t>
  </si>
  <si>
    <t>Проверить или создать документ «Входящий платеж», связать с заказом клиента</t>
  </si>
  <si>
    <t>МойСклад, подтверждение оплаты</t>
  </si>
  <si>
    <t>До физической передачи товара</t>
  </si>
  <si>
    <t>Платеж связан с заказом</t>
  </si>
  <si>
    <t>Не считать оплату подтвержденной только по словам клиента</t>
  </si>
  <si>
    <t>Подготовка отгрузки</t>
  </si>
  <si>
    <t>Оплата подтверждена</t>
  </si>
  <si>
    <t>Проверить или создать документ «Отгрузка» по заказу клиента</t>
  </si>
  <si>
    <t>До выдачи/передачи в ТК</t>
  </si>
  <si>
    <t>Отгрузка создана и связана с заказом</t>
  </si>
  <si>
    <t>Не закрывать сделку без отгрузки</t>
  </si>
  <si>
    <t>Контроль серийного номера</t>
  </si>
  <si>
    <t>Товар готовят к выдаче/отправке</t>
  </si>
  <si>
    <t>Проконтролировать, что администратор сфотографировал SN и отправил в рабочую группу</t>
  </si>
  <si>
    <t>Рабочая группа, администратор</t>
  </si>
  <si>
    <t>До передачи товара</t>
  </si>
  <si>
    <t>МойСклад / CRM / рабочая группа</t>
  </si>
  <si>
    <t>SN зафиксирован</t>
  </si>
  <si>
    <t>Не допускать отгрузку без серийного номера</t>
  </si>
  <si>
    <t>Если самовывоз</t>
  </si>
  <si>
    <t>Менеджер согласовал визит</t>
  </si>
  <si>
    <t>Проверить, что у администратора есть договор/данные клиента и что готовность подтверждена в группе</t>
  </si>
  <si>
    <t>Рабочая группа, CRM</t>
  </si>
  <si>
    <t>До визита клиента</t>
  </si>
  <si>
    <t>Рабочая группа</t>
  </si>
  <si>
    <t>Администратор подтвердил готовность</t>
  </si>
  <si>
    <t>Не звать клиента без подтверждения администратора</t>
  </si>
  <si>
    <t>Если доставка из наличия</t>
  </si>
  <si>
    <t>Менеджер передал данные клиента для доставки</t>
  </si>
  <si>
    <t>Оформить СДЭК/ТК по данным клиента, передать данные администратору шоурума</t>
  </si>
  <si>
    <t>СДЭК/ТК, рабочая группа</t>
  </si>
  <si>
    <t>До передачи коробки в ТК</t>
  </si>
  <si>
    <t>Доставка оформлена, данные у администратора</t>
  </si>
  <si>
    <t>Ассистент оформляет доставку; менеджер передает трек клиенту</t>
  </si>
  <si>
    <t>Передача трека</t>
  </si>
  <si>
    <t>Товар передан в ТК</t>
  </si>
  <si>
    <t>Проверить наличие трека и передать менеджеру</t>
  </si>
  <si>
    <t>ТК / рабочая группа</t>
  </si>
  <si>
    <t>В течение 30 минут после получения</t>
  </si>
  <si>
    <t>Менеджер получил трек</t>
  </si>
  <si>
    <t>Клиенту трек передает менеджер</t>
  </si>
  <si>
    <t>Закрытие учетного хвоста</t>
  </si>
  <si>
    <t>Клиент получил товар / сделка готова к закрытию</t>
  </si>
  <si>
    <t>Проверить связку: заказ клиента → платеж → отгрузка → SN → статус CRM</t>
  </si>
  <si>
    <t>После подтверждения получения</t>
  </si>
  <si>
    <t>Нет незакрытых документов и ошибок учета</t>
  </si>
  <si>
    <t>Не закрывать учет без подтверждения получения и документов</t>
  </si>
  <si>
    <t>Ассистент: предзаказ после оплаты</t>
  </si>
  <si>
    <t>От оплаченного заказа до получения товара клиентом: поставщик, МойСклад, логист, приемка, трек</t>
  </si>
  <si>
    <t>Источник: CRM / договор / менеджер</t>
  </si>
  <si>
    <t>Финал: товар получен клиентом</t>
  </si>
  <si>
    <t>Пошаговый алгоритм ассистента</t>
  </si>
  <si>
    <t>Что делается</t>
  </si>
  <si>
    <t>Получение данных от менеджера</t>
  </si>
  <si>
    <t>Проверить модель, клиента, оплату, способ получения, адрес/ПВЗ</t>
  </si>
  <si>
    <t>amoCRM, договор, сообщение менеджера</t>
  </si>
  <si>
    <t>Если не хватает данных — вернуть менеджеру</t>
  </si>
  <si>
    <t>Проверить данные в течение 30 минут после передачи менеджером; если данных не хватает — вернуть на уточнение сразу, не позднее 1 рабочего часа</t>
  </si>
  <si>
    <t>Данные полные для закупки</t>
  </si>
  <si>
    <t xml:space="preserve">Проверка МойСклад
</t>
  </si>
  <si>
    <t>Проверить заказ клиента, входящий платеж, будущую отгрузку</t>
  </si>
  <si>
    <t>Если нет заказа — создать/поставить задачу</t>
  </si>
  <si>
    <t>В течение 1 рабочего часа после получения полного пакета данных; обязательно до запуска заказа у поставщика</t>
  </si>
  <si>
    <t>Заказ и платеж связаны</t>
  </si>
  <si>
    <t>Заказ у поставщика</t>
  </si>
  <si>
    <t xml:space="preserve">Оформить заказ в WeChat + создание заказа поставщика в Мой склад
 </t>
  </si>
  <si>
    <t>Договор, CRM, таблица товара, Мой склад</t>
  </si>
  <si>
    <t>Если цена/наличие изменились — эскалация</t>
  </si>
  <si>
    <t>В день подтверждения оплаты и получения полных данных; если данные получены после окончания рабочего времени — до 12:00 следующего рабочего дня</t>
  </si>
  <si>
    <t>Поставщик подтвердил модель, цену и срок</t>
  </si>
  <si>
    <t>Передача логифсту</t>
  </si>
  <si>
    <t>Передать данные логисту после готовности товара у поставщика + ПОЛУЧИТЬ серийные номера (SN)</t>
  </si>
  <si>
    <t>Ответ поставщика</t>
  </si>
  <si>
    <t>Если логист не подтвердил — не ставить «в пути»</t>
  </si>
  <si>
    <t>В течение 1 рабочего часа после подтверждения готовности товара у поставщика / получения данных для передачи груза</t>
  </si>
  <si>
    <t>Логист принял груз/данные + есть данные по SN</t>
  </si>
  <si>
    <t>Старт транзита</t>
  </si>
  <si>
    <t xml:space="preserve">Зафиксировать дату старта, маркировку, ориентировочный срок
</t>
  </si>
  <si>
    <t>Логист</t>
  </si>
  <si>
    <t>Не сообщать клиенту неподтвержденные сроки</t>
  </si>
  <si>
    <t>Зафиксировать в день получения подтверждения от логиста; передать статус менеджеру в течение 30 минут после подтверждения</t>
  </si>
  <si>
    <t>Менеджер получил статус</t>
  </si>
  <si>
    <t>Прибытие в Москву</t>
  </si>
  <si>
    <r>
      <rPr>
        <rFont val="Google Sans Text"/>
        <color theme="1"/>
        <sz val="12.0"/>
      </rPr>
      <t>Проверить отчет: модель, упаковка</t>
    </r>
    <r>
      <rPr>
        <rFont val="Google Sans Text"/>
        <b/>
        <color theme="1"/>
        <sz val="12.0"/>
      </rPr>
      <t xml:space="preserve">
</t>
    </r>
  </si>
  <si>
    <t>При повреждении/несоответствии — эскалация</t>
  </si>
  <si>
    <t>Проверить отчет в день сообщения о прибытии; состояние упаковки должны быть получены/зафиксированы до конца рабочего дня</t>
  </si>
  <si>
    <t>Есть отчет</t>
  </si>
  <si>
    <t>Информирование клиента</t>
  </si>
  <si>
    <r>
      <rPr>
        <rFont val="Google Sans Text"/>
        <color theme="1"/>
        <sz val="12.0"/>
      </rPr>
      <t>Если доставка — передать логисту данные ТК (</t>
    </r>
    <r>
      <rPr>
        <rFont val="Google Sans Text"/>
        <b/>
        <color theme="1"/>
        <sz val="12.0"/>
      </rPr>
      <t>передать данные по серийным номерам SN, чтобы клиент получил свой принтер!</t>
    </r>
    <r>
      <rPr>
        <rFont val="Google Sans Text"/>
        <color theme="1"/>
        <sz val="12.0"/>
      </rPr>
      <t xml:space="preserve">); если самовывоз — организовать отправку в шоурум
</t>
    </r>
  </si>
  <si>
    <t>Договор / CRM / менеджер</t>
  </si>
  <si>
    <t>Не везти в шоурум при доставке клиенту</t>
  </si>
  <si>
    <t>В день прибытия товара в Москву: при доставке — передать логисту данные ТК; при самовывозе — организовать отправку товара в шоурум. Статус передать менеджеру в течение 30 минут после подтверждения действия</t>
  </si>
  <si>
    <t>Товар отправлен клиенту или в шоурум</t>
  </si>
  <si>
    <t xml:space="preserve">Трек-номер
</t>
  </si>
  <si>
    <t xml:space="preserve">Получить трек от логиста и передать менеджеру
</t>
  </si>
  <si>
    <t>Получить трек от логиста и передать менеджеру в течение 30 минут после получения; если трек не выдан — поставить контроль и запросить повторно до конца рабочего дня</t>
  </si>
  <si>
    <t>Разграничение самовывоза, СДЭК/ТК, стока и предзаказа</t>
  </si>
  <si>
    <t>Разделение ответственности</t>
  </si>
  <si>
    <t>Сценарий</t>
  </si>
  <si>
    <t>Кто оформляет</t>
  </si>
  <si>
    <t>Кто физически передает товар</t>
  </si>
  <si>
    <t>Куда едет товар</t>
  </si>
  <si>
    <t>Кто сообщает клиенту</t>
  </si>
  <si>
    <t>Запрет/нюанс</t>
  </si>
  <si>
    <t>Сток + самовывоз</t>
  </si>
  <si>
    <t>Менеджер согласует визит; ассистент проверяет учет при необходимости</t>
  </si>
  <si>
    <t>Администратор шоурума</t>
  </si>
  <si>
    <t>Остается в шоуруме/офисе для выдачи</t>
  </si>
  <si>
    <t>Менеджер</t>
  </si>
  <si>
    <t>Администратор подтвердил готовность и есть SN</t>
  </si>
  <si>
    <t>Не обещать визит без подтверждения администратора</t>
  </si>
  <si>
    <t>Сток + доставка</t>
  </si>
  <si>
    <t>Менеджер оформляет СДЭК/ТК по данным клиента</t>
  </si>
  <si>
    <t>Администратор передает курьеру/в ТК</t>
  </si>
  <si>
    <t>Из шоурума/офиса в ТК</t>
  </si>
  <si>
    <t>Есть трек, передача в ТК подтверждена</t>
  </si>
  <si>
    <t>Ассистент не подменяет оформление СДЭК без отдельной задачи</t>
  </si>
  <si>
    <t>Предзаказ + доставка</t>
  </si>
  <si>
    <t>Ассистент через логиста организует отправку по данным от менеджера/договора</t>
  </si>
  <si>
    <t>Логист / ТК</t>
  </si>
  <si>
    <t>Из Москвы напрямую клиенту через ТК</t>
  </si>
  <si>
    <t>Есть трек, логист подтвердил отправку</t>
  </si>
  <si>
    <t>Не отправлять в шоурум без необходимости</t>
  </si>
  <si>
    <t>Предзаказ + самовывоз</t>
  </si>
  <si>
    <t>Ассистент организует отправку товара в шоурум</t>
  </si>
  <si>
    <t>Логист → администратор шоурума</t>
  </si>
  <si>
    <t>Из логистики в шоурум</t>
  </si>
  <si>
    <t>Администратор подтвердил приемку и готовность к выдаче</t>
  </si>
  <si>
    <t>Клиента зовет менеджер только после подтверждения готовности</t>
  </si>
  <si>
    <t xml:space="preserve">Обязательные данные для доставки                                            </t>
  </si>
  <si>
    <t>Данные</t>
  </si>
  <si>
    <t>Обязательно</t>
  </si>
  <si>
    <t>Комментарий</t>
  </si>
  <si>
    <t>ФИО получателя</t>
  </si>
  <si>
    <t>Да</t>
  </si>
  <si>
    <t>Как в договоре/заказе</t>
  </si>
  <si>
    <t>Телефон</t>
  </si>
  <si>
    <t>Для ТК и связи</t>
  </si>
  <si>
    <t>Город</t>
  </si>
  <si>
    <t>Город получения</t>
  </si>
  <si>
    <t>Адрес или ПВЗ СДЭК</t>
  </si>
  <si>
    <t>Если ПВЗ — указать точный пункт</t>
  </si>
  <si>
    <t>Модель товара</t>
  </si>
  <si>
    <t>Полное название, версия, комплектация</t>
  </si>
  <si>
    <t>Комментарий для администратора/логиста</t>
  </si>
  <si>
    <t>Если нужно</t>
  </si>
  <si>
    <t>Срочность, особенности передачи</t>
  </si>
  <si>
    <t>ПОШАГОВЫЙ АЛГОРИТМ ДОСТАВКИ/ВЫДАЧИ</t>
  </si>
  <si>
    <t>Ответственный</t>
  </si>
  <si>
    <t>Определить способ получения</t>
  </si>
  <si>
    <t>Зафиксировать: доставка или самовывоз</t>
  </si>
  <si>
    <t>До запуска физической передачи</t>
  </si>
  <si>
    <t>Способ получения заполнен в CRM/договоре</t>
  </si>
  <si>
    <t>Не менять способ без фиксации</t>
  </si>
  <si>
    <t>Проверить оплату</t>
  </si>
  <si>
    <t>Менеджер/ассистент</t>
  </si>
  <si>
    <t>Убедиться, что оплата подтверждена</t>
  </si>
  <si>
    <t>Статус оплаты подтвержден</t>
  </si>
  <si>
    <t>Не передавать товар без оплаты</t>
  </si>
  <si>
    <t>Проверить SN</t>
  </si>
  <si>
    <t>Администратор / ассистент контролирует</t>
  </si>
  <si>
    <t>Фото серийного номера в рабочей группе</t>
  </si>
  <si>
    <t>До выдачи/отправки</t>
  </si>
  <si>
    <t>Без SN не отгружать</t>
  </si>
  <si>
    <t>Оформить/организовать ТК</t>
  </si>
  <si>
    <t>Менеджер по стоку, ассистент по предзаказу через логиста</t>
  </si>
  <si>
    <t>Оформить доставку или передать данные логисту</t>
  </si>
  <si>
    <t>До передачи в ТК</t>
  </si>
  <si>
    <t>Есть накладная/трек/подтверждение логиста</t>
  </si>
  <si>
    <t>Не отправлять с неполными данными</t>
  </si>
  <si>
    <t>Передать товар</t>
  </si>
  <si>
    <t>Администратор/логист</t>
  </si>
  <si>
    <t>Передать товар клиенту, курьеру или в ТК</t>
  </si>
  <si>
    <t>В согласованное время</t>
  </si>
  <si>
    <t>Факт передачи подтвержден</t>
  </si>
  <si>
    <t>Не передавать без документов</t>
  </si>
  <si>
    <t>Передать трек</t>
  </si>
  <si>
    <t>Отправить клиенту трек и статус</t>
  </si>
  <si>
    <t>Сразу после получения трека</t>
  </si>
  <si>
    <t>Клиент получил трек</t>
  </si>
  <si>
    <t>Ассистент передает трек менеджеру</t>
  </si>
  <si>
    <t>Подтвердить получение</t>
  </si>
  <si>
    <t>Менеджер / ассистент контролирует хвост</t>
  </si>
  <si>
    <t>Проверить статус СДЭК/ТК и сообщение клиента</t>
  </si>
  <si>
    <t>После доставки/выдачи</t>
  </si>
  <si>
    <t>Есть подтверждение получения</t>
  </si>
  <si>
    <t>Не закрывать процесс по факту отправки</t>
  </si>
  <si>
    <t>Проверка учетных документов, связей между сделкой, заказом клиента, платежом, закупкой и отгрузкой</t>
  </si>
  <si>
    <t>Документ/объект</t>
  </si>
  <si>
    <t>Когда нужен</t>
  </si>
  <si>
    <t>Кто отвечает</t>
  </si>
  <si>
    <t>Источник данных</t>
  </si>
  <si>
    <t>Что проверить</t>
  </si>
  <si>
    <t>Ошибка/запрет</t>
  </si>
  <si>
    <t>Заказ клиента</t>
  </si>
  <si>
    <t>После готовности клиента к оформлению / при создании сделки через API</t>
  </si>
  <si>
    <t>Менеджер / ассистент проверяет</t>
  </si>
  <si>
    <t>amoCRM, договор</t>
  </si>
  <si>
    <t>Клиент, модель, цена, способ получения, связь со сделкой</t>
  </si>
  <si>
    <t>Заказ создан и не дублируется</t>
  </si>
  <si>
    <t>Не создавать дубли при API-связке</t>
  </si>
  <si>
    <t>Договор и счет</t>
  </si>
  <si>
    <t>Когда клиент готов к оформлению</t>
  </si>
  <si>
    <t>Генератор договоров</t>
  </si>
  <si>
    <t>Реквизиты, модель, сумма, условия</t>
  </si>
  <si>
    <t>Документы отправлены клиенту</t>
  </si>
  <si>
    <t>Ассистент не меняет условия договора</t>
  </si>
  <si>
    <t>Входящий платеж</t>
  </si>
  <si>
    <t>После подтверждения оплаты</t>
  </si>
  <si>
    <t>Ассистент проверяет/создает</t>
  </si>
  <si>
    <t>Банк/МойСклад/сообщение менеджера</t>
  </si>
  <si>
    <t>Сумма, дата, заказ клиента, способ оплаты</t>
  </si>
  <si>
    <t>Не считать оплату по словам клиента</t>
  </si>
  <si>
    <t>Заказ поставщику</t>
  </si>
  <si>
    <t>По предзаказу после оплаты и подтверждения условий поставщика</t>
  </si>
  <si>
    <t>Ассистент</t>
  </si>
  <si>
    <t>WeChat, таблица товара, договор</t>
  </si>
  <si>
    <t>Поставщик, модель, цена, количество, срок</t>
  </si>
  <si>
    <t>Заказ поставщику создан корректно</t>
  </si>
  <si>
    <t>Не утверждать закупку при изменении условий без эскалации</t>
  </si>
  <si>
    <t>Отгрузка</t>
  </si>
  <si>
    <t>До физической передачи товара клиенту/ТК</t>
  </si>
  <si>
    <t>Заказ клиента, SN, способ получения</t>
  </si>
  <si>
    <t>Товар, количество, клиент, связь с заказом</t>
  </si>
  <si>
    <t>Отгрузка готова до передачи товара</t>
  </si>
  <si>
    <t>Серийный номер</t>
  </si>
  <si>
    <t>Администратор фиксирует, ассистент контролирует</t>
  </si>
  <si>
    <t>Фото SN, рабочая группа</t>
  </si>
  <si>
    <t>SN привязан к заказу/клиенту</t>
  </si>
  <si>
    <t>Не отгружать без SN</t>
  </si>
  <si>
    <t>Трек-номер</t>
  </si>
  <si>
    <t>После передачи в ТК</t>
  </si>
  <si>
    <t>Менеджер / ассистент получает от логиста по предзаказу</t>
  </si>
  <si>
    <t>ТК/логист</t>
  </si>
  <si>
    <t>Трек, дата отправки, ТК</t>
  </si>
  <si>
    <t>Поставщики / WeChat — регламент переговоров и закупки</t>
  </si>
  <si>
    <t>Как ассистент ведет поставщика: цена, наличие, комплектация, филамент, оплата, адрес карго, маркировка и отправка</t>
  </si>
  <si>
    <t>Что обязательно запросить/проверить</t>
  </si>
  <si>
    <t>Где фиксировать</t>
  </si>
  <si>
    <t>Ошибка/эскалация</t>
  </si>
  <si>
    <t>Подготовить запрос</t>
  </si>
  <si>
    <t>Собрать данные из CRM/договора/матрицы</t>
  </si>
  <si>
    <t>Полная модель, версия, комплектация, количество, доп.модули, филамент</t>
  </si>
  <si>
    <t>Таблица поставок</t>
  </si>
  <si>
    <t>До сообщения поставщику</t>
  </si>
  <si>
    <t>Запрос можно отправлять</t>
  </si>
  <si>
    <t>Если модель неполная — вернуть менеджеру</t>
  </si>
  <si>
    <t>Запросить наличие и цену</t>
  </si>
  <si>
    <t>Написать поставщику в WeChat</t>
  </si>
  <si>
    <t>Availability, final price, version, stock, preparation time, shipping to agent</t>
  </si>
  <si>
    <t>WeChat / таблица поставок</t>
  </si>
  <si>
    <t>В день оплаты клиента</t>
  </si>
  <si>
    <t>Поставщик дал цену и наличие</t>
  </si>
  <si>
    <t>Если ответ расплывчатый — запросить точное подтверждение</t>
  </si>
  <si>
    <r>
      <rPr>
        <rFont val="Google Sans Text"/>
        <color theme="1"/>
        <sz val="12.0"/>
      </rPr>
      <t>Провести торг (</t>
    </r>
    <r>
      <rPr>
        <rFont val="Google Sans Text"/>
        <b/>
        <color theme="1"/>
        <sz val="12.0"/>
      </rPr>
      <t>опционально</t>
    </r>
    <r>
      <rPr>
        <rFont val="Google Sans Text"/>
        <color theme="1"/>
        <sz val="12.0"/>
      </rPr>
      <t>)</t>
    </r>
  </si>
  <si>
    <t>Попросить цену ниже / бесплатную доставку / условия за объем</t>
  </si>
  <si>
    <t xml:space="preserve">Аргументы: оплата сегодня,  берем X штук, позже закажем еще
</t>
  </si>
  <si>
    <t>WeChat</t>
  </si>
  <si>
    <t>Сразу после цены</t>
  </si>
  <si>
    <t>Есть финальная цена</t>
  </si>
  <si>
    <t>Если цена выросла — эскалация</t>
  </si>
  <si>
    <r>
      <rPr>
        <rFont val="Google Sans Text"/>
        <color theme="1"/>
        <sz val="12.0"/>
      </rPr>
      <t>Запросить филамент/бонусы (</t>
    </r>
    <r>
      <rPr>
        <rFont val="Google Sans Text"/>
        <b/>
        <color theme="1"/>
        <sz val="12.0"/>
      </rPr>
      <t>опционально</t>
    </r>
    <r>
      <rPr>
        <rFont val="Google Sans Text"/>
        <color theme="1"/>
        <sz val="12.0"/>
      </rPr>
      <t>)</t>
    </r>
  </si>
  <si>
    <t>Запросить прайс и/или бонусный филамент</t>
  </si>
  <si>
    <t>Бренд, материал, цвет, кг/rolls; цель бонуса 1–2 кг на принтер</t>
  </si>
  <si>
    <t>До финальной суммы</t>
  </si>
  <si>
    <t>Филамент подтвержден</t>
  </si>
  <si>
    <t>Не обещать клиенту подарок без подтверждения</t>
  </si>
  <si>
    <t>Сверить итоговый состав</t>
  </si>
  <si>
    <t>Сделать итоговую сверку состава заказа и создать Заказ поставщика</t>
  </si>
  <si>
    <t>Модель × количество, филамент, доставка до агента, итоговая сумма, срок готовности</t>
  </si>
  <si>
    <t>Таблица поставок / МойСклад</t>
  </si>
  <si>
    <t>До оплаты поставщику</t>
  </si>
  <si>
    <t>Состав и сумма совпадают + создан Заказ в системе</t>
  </si>
  <si>
    <t>Если 16 кг vs 20 кг — исправить до оплаты</t>
  </si>
  <si>
    <t>Запросить реквизиты</t>
  </si>
  <si>
    <t>После согласования оплаты руководителем запросить реквизиты</t>
  </si>
  <si>
    <t>Alipay/другой способ, полное имя, телефон, разделение платежа при необходимости</t>
  </si>
  <si>
    <t>Рабочая группа / WeChat</t>
  </si>
  <si>
    <t>После согласования</t>
  </si>
  <si>
    <t>Реквизиты зафиксированы</t>
  </si>
  <si>
    <t>Не отправлять деньги по непроверенным реквизитам</t>
  </si>
  <si>
    <t>Проверить получение оплаты</t>
  </si>
  <si>
    <t>После оплаты финансистом отправить чек/скрин и запросить подтверждение + создать Исходящий платеж</t>
  </si>
  <si>
    <t>Received / OK / сумма получена</t>
  </si>
  <si>
    <t>WeChat / рабочая группа</t>
  </si>
  <si>
    <t>Сразу после оплаты</t>
  </si>
  <si>
    <t>Поставщик подтвердил получение</t>
  </si>
  <si>
    <t>Если не подтверждает — эскалация</t>
  </si>
  <si>
    <t>Передать адрес карго</t>
  </si>
  <si>
    <t>Дать поставщику адрес склада/агента и mark</t>
  </si>
  <si>
    <t>Адрес на китайском, получатель, телефон, CR/ADG mark, запрет отправки без mark</t>
  </si>
  <si>
    <t>До отправки</t>
  </si>
  <si>
    <t>Поставщик подтвердил адрес</t>
  </si>
  <si>
    <t>Без mark склад может не принять груз</t>
  </si>
  <si>
    <t>Уточнить готовность к отгрузке + запросить серийные номера</t>
  </si>
  <si>
    <t>Спросить, когда товар будет готов и когда отправят и дать запрос на фото серийных номеров (SN)</t>
  </si>
  <si>
    <t>Дата готовности, дата отправки, возможность разделить принтеры/филамент + наличие фото серийников</t>
  </si>
  <si>
    <t>WeChat + рабочая группа</t>
  </si>
  <si>
    <t>До передачи логисту</t>
  </si>
  <si>
    <t>Есть дата отправки</t>
  </si>
  <si>
    <t>Если праздники/задержка — передать менеджеру</t>
  </si>
  <si>
    <t>Получить трек до карго</t>
  </si>
  <si>
    <t>После отправки поставщиком</t>
  </si>
  <si>
    <t>Трек, количество мест, что именно отправлено</t>
  </si>
  <si>
    <t>Таблица поставок / рабочая группа</t>
  </si>
  <si>
    <t>В день отправки</t>
  </si>
  <si>
    <t>Есть номер отправления</t>
  </si>
  <si>
    <t>Не считать товар переданным без трека</t>
  </si>
  <si>
    <t>Передать логисту</t>
  </si>
  <si>
    <t>Передать данные логисту/в рабочую группу</t>
  </si>
  <si>
    <t>Модель, количество, трек, mark, поставщик, упаковка, требования к положению</t>
  </si>
  <si>
    <t>Таблица логистики</t>
  </si>
  <si>
    <t>1 рабочий час после трека</t>
  </si>
  <si>
    <t>Логист получил данные</t>
  </si>
  <si>
    <t>Не ставить статус «в пути» без приема логистом</t>
  </si>
  <si>
    <t>Обновить статус менеджеру</t>
  </si>
  <si>
    <t>Сообщить, что закупка оформлена/отправлена</t>
  </si>
  <si>
    <t>Актуальный статус и следующий контрольный шаг</t>
  </si>
  <si>
    <t>После ключевого события</t>
  </si>
  <si>
    <t>Менеджер понимает статус клиента</t>
  </si>
  <si>
    <t>Не сообщать клиенту напрямую без задачи</t>
  </si>
  <si>
    <t>Логистика — регламент ассистента</t>
  </si>
  <si>
    <t>Как вести логиста: прием груза, упаковка, маршрут, накладная, страховка, сроки, задержки, хранение, распределение и ТК</t>
  </si>
  <si>
    <t>Что запросить/передать</t>
  </si>
  <si>
    <t>Передача вводных логисту</t>
  </si>
  <si>
    <t>Передать данные по грузу от поставщика</t>
  </si>
  <si>
    <t>Модель, количество, трек до склада, mark, поставщик, контакт, упаковка, город/склад</t>
  </si>
  <si>
    <t>Таблица логистики / рабочая группа</t>
  </si>
  <si>
    <t>После трека поставщика — до 1 часа</t>
  </si>
  <si>
    <t>Нет подтверждения — не ставить «у логиста»</t>
  </si>
  <si>
    <t>Проверка приемки на складе</t>
  </si>
  <si>
    <t>Запросить, получил ли склад груз</t>
  </si>
  <si>
    <t>Получили/не получили, фото, количество мест, mark</t>
  </si>
  <si>
    <t>В день ожидаемого поступления и на следующий день</t>
  </si>
  <si>
    <t>Есть подтверждение приемки</t>
  </si>
  <si>
    <t>Если склад молчит &gt;1 рабочего дня — эскалация</t>
  </si>
  <si>
    <t>Требования к упаковке</t>
  </si>
  <si>
    <t>Передать требования до упаковки/паллетирования</t>
  </si>
  <si>
    <t>Не переворачивать; только вертикально; паллеты/отдельные места по распределению</t>
  </si>
  <si>
    <t>Рабочая группа / таблица</t>
  </si>
  <si>
    <t>До упаковки</t>
  </si>
  <si>
    <t>Логист подтвердил упаковку</t>
  </si>
  <si>
    <t>Не соглашаться на горизонтальное положение</t>
  </si>
  <si>
    <t>Маршрут и оформление</t>
  </si>
  <si>
    <t>Запросить маршрут, сроки, оформление и риски</t>
  </si>
  <si>
    <t>Маршрут: Забайкальск/Казахстан/другое, российское оформление, срок 20–25/до 30 дней</t>
  </si>
  <si>
    <t>До отправки/на старте</t>
  </si>
  <si>
    <t>Маршрут и срок зафиксированы</t>
  </si>
  <si>
    <t>Не обещать точный срок клиенту</t>
  </si>
  <si>
    <t>Накладная и старт транзита</t>
  </si>
  <si>
    <t>Получить номер места/накладную/рейс</t>
  </si>
  <si>
    <t>Номер места, рейс, дата отправки, ожидаемая дата прибытия</t>
  </si>
  <si>
    <t>Есть номер и дата</t>
  </si>
  <si>
    <t>Если прислали не наш номер — запросить исправление</t>
  </si>
  <si>
    <t>Страховка</t>
  </si>
  <si>
    <t>Запросить добавление страховки</t>
  </si>
  <si>
    <t>Объявленная сумма в $, стоимость страховки, подтверждение</t>
  </si>
  <si>
    <t>До или на старте отправки</t>
  </si>
  <si>
    <t>Страховка согласована</t>
  </si>
  <si>
    <t>Не экономить на страховке без решения руководителя</t>
  </si>
  <si>
    <t>Мониторинг в пути</t>
  </si>
  <si>
    <t>Пинговать логиста по контрольным датам</t>
  </si>
  <si>
    <t>Статус: на границе/в пути/ожидается прибытие/задержка</t>
  </si>
  <si>
    <t>1–2 раза в неделю или по контрольным датам</t>
  </si>
  <si>
    <t>Статус актуален</t>
  </si>
  <si>
    <t>Не спамить ежедневно без необходимости, если нет события</t>
  </si>
  <si>
    <t>Задержка и компенсация</t>
  </si>
  <si>
    <t>При отклонении от срока запросить перерасчет/компенсацию</t>
  </si>
  <si>
    <t>Сколько дней задержки, формула компенсации, новый срок</t>
  </si>
  <si>
    <t>При превышении заявленного срока</t>
  </si>
  <si>
    <t>Компенсация зафиксирована</t>
  </si>
  <si>
    <t>Не забыть пересмотр тарифа</t>
  </si>
  <si>
    <t>Уточнить дату, адрес склада/рынка, тарифы, сборы</t>
  </si>
  <si>
    <t>Место получения, итоговый тариф, рыночный сбор, хранение, паллетирование, кара</t>
  </si>
  <si>
    <t>В день сообщения о прибытии</t>
  </si>
  <si>
    <t>Сумма и место понятны</t>
  </si>
  <si>
    <t>Не оплачивать/не обещать без согласования</t>
  </si>
  <si>
    <t>Распределение мест</t>
  </si>
  <si>
    <t>Передать, какие места куда отправлять и отправить данные по серийным номерам - принтер привязан к определнному клиенту</t>
  </si>
  <si>
    <t>Сколько мест, какая ТК, получатель, адрес, телефон, отдельные коробки/паллета + серийный номер</t>
  </si>
  <si>
    <t>До платного хранения</t>
  </si>
  <si>
    <t>Распределение принято логистом</t>
  </si>
  <si>
    <t>Не оставлять груз без решения по хранению</t>
  </si>
  <si>
    <t>Выбор ТК</t>
  </si>
  <si>
    <t>Согласовать конкретную ТК и формат доставки</t>
  </si>
  <si>
    <t>СДЭК/Байкал/Желдор/Деловые, адресная доставка/ПВЗ/терминал, кто оплачивает</t>
  </si>
  <si>
    <t>ТК подтверждена письменно</t>
  </si>
  <si>
    <t>Не заменять СДЭК на Байкал без письменного согласия</t>
  </si>
  <si>
    <t>Получение трека</t>
  </si>
  <si>
    <t>Получить трек/накладную по финальной ТК</t>
  </si>
  <si>
    <t>ТК, трек, дата передачи, адрес/терминал</t>
  </si>
  <si>
    <t>После передачи в ТК — 30 минут</t>
  </si>
  <si>
    <t>Трек клиенту передает менеджер</t>
  </si>
  <si>
    <t>Контроль получения</t>
  </si>
  <si>
    <t>Проверить статус финальной доставки</t>
  </si>
  <si>
    <t>Статус ТК, сообщение менеджера/клиента</t>
  </si>
  <si>
    <t>amoCRM / таблица</t>
  </si>
  <si>
    <t>После прибытия/выдачи</t>
  </si>
  <si>
    <t>Клиент получил груз или принтер готов в шоуруме</t>
  </si>
  <si>
    <t>Avito и товарная матрица — зона поддержки ассистента</t>
  </si>
  <si>
    <t>Операционная поддержка объявлений, характеристик, карточек моделей и актуальности данных</t>
  </si>
  <si>
    <t>Исключения и действия</t>
  </si>
  <si>
    <t>Задача</t>
  </si>
  <si>
    <t>Ошибка/риск</t>
  </si>
  <si>
    <t>SLA/сроки</t>
  </si>
  <si>
    <t>Новая модель</t>
  </si>
  <si>
    <t>Собирает характеристики, комплектацию, фото/ссылки, цену, статус наличия</t>
  </si>
  <si>
    <t>Товарная матрица</t>
  </si>
  <si>
    <t>Карточка модели заполнена</t>
  </si>
  <si>
    <t>Логист / менеджер</t>
  </si>
  <si>
    <t>В шоурум отправлять только для самовывоза</t>
  </si>
  <si>
    <t>Обновление цены/наличия</t>
  </si>
  <si>
    <t>Фиксирует изменения, дату и источник</t>
  </si>
  <si>
    <t>Матрица / Avito / рабочая группа</t>
  </si>
  <si>
    <t>Цена/статус актуальны</t>
  </si>
  <si>
    <t>Александр / Дмитрий</t>
  </si>
  <si>
    <t>Клиенту не обещать изменения без решения</t>
  </si>
  <si>
    <t>Частые вопросы клиентов</t>
  </si>
  <si>
    <t>Собирает вопросы от менеджера и добавляет в FAQ</t>
  </si>
  <si>
    <t>FAQ / база знаний</t>
  </si>
  <si>
    <t>Есть готовый ответ</t>
  </si>
  <si>
    <t>Менеджер не сообщает клиенту трек без номера</t>
  </si>
  <si>
    <t>Анализ конкурентов</t>
  </si>
  <si>
    <t>Собирает данные по конкурентам, ценам, офферам</t>
  </si>
  <si>
    <t>Таблица конкурентов</t>
  </si>
  <si>
    <t>Есть вывод для руководителя</t>
  </si>
  <si>
    <t>Зафиксировать выбранную ТК</t>
  </si>
  <si>
    <t>Avito-ошибки</t>
  </si>
  <si>
    <t>Фиксирует проблемы с объявлениями, ценами, формулировками</t>
  </si>
  <si>
    <t>Таблица Avito / задачи</t>
  </si>
  <si>
    <t>Проблема передана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</si>
</sst>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₽]"/>
  </numFmts>
  <fonts count="61">
    <font>
      <sz val="10.0"/>
      <color rgb="FF000000"/>
      <name val="Arial"/>
      <scheme val="minor"/>
    </font>
    <font>
      <b/>
      <sz val="22.0"/>
      <color rgb="FFFFFFFF"/>
      <name val="Google Sans Text"/>
    </font>
    <font>
      <color theme="1"/>
      <name val="Arial"/>
      <scheme val="minor"/>
    </font>
    <font>
      <sz val="13.0"/>
      <color rgb="FFFFFFFF"/>
      <name val="Carlito"/>
    </font>
    <font>
      <sz val="9.0"/>
      <color rgb="FF1F2933"/>
      <name val="Carlito"/>
    </font>
    <font>
      <sz val="11.0"/>
      <color theme="1"/>
      <name val="Carlito"/>
    </font>
    <font>
      <b/>
      <sz val="12.0"/>
      <color rgb="FFFFFFFF"/>
      <name val="Carlito"/>
    </font>
    <font>
      <sz val="15.0"/>
      <color theme="1"/>
      <name val="Carlito"/>
    </font>
    <font/>
    <font>
      <sz val="13.0"/>
      <color theme="1"/>
      <name val="Carlito"/>
    </font>
    <font>
      <sz val="19.0"/>
      <color theme="1"/>
      <name val="Carlito"/>
    </font>
    <font>
      <u/>
      <sz val="15.0"/>
      <color rgb="FF274E13"/>
      <name val="Carlito"/>
    </font>
    <font>
      <u/>
      <sz val="15.0"/>
      <color rgb="FF274E13"/>
      <name val="Carlito"/>
    </font>
    <font>
      <b/>
      <sz val="12.0"/>
      <color rgb="FF000000"/>
      <name val="Carlito"/>
    </font>
    <font>
      <b/>
      <sz val="11.0"/>
      <color rgb="FFFFFFFF"/>
      <name val="Carlito"/>
    </font>
    <font>
      <sz val="11.0"/>
      <color rgb="FF1F2933"/>
      <name val="Carlito"/>
    </font>
    <font>
      <sz val="13.0"/>
      <color theme="1"/>
      <name val="Arial"/>
      <scheme val="minor"/>
    </font>
    <font>
      <b/>
      <sz val="11.0"/>
      <color rgb="FF1F2933"/>
      <name val="Carlito"/>
    </font>
    <font>
      <b/>
      <sz val="18.0"/>
      <color rgb="FFFFFFFF"/>
      <name val="Google Sans Text"/>
    </font>
    <font>
      <sz val="14.0"/>
      <color rgb="FF1F2933"/>
      <name val="Google Sans Text"/>
    </font>
    <font>
      <sz val="16.0"/>
      <color theme="1"/>
      <name val="Arial"/>
      <scheme val="minor"/>
    </font>
    <font>
      <sz val="12.0"/>
      <color rgb="FFFFFFFF"/>
      <name val="Arial"/>
      <scheme val="minor"/>
    </font>
    <font>
      <sz val="13.0"/>
      <color theme="1"/>
      <name val="Google Sans Text"/>
    </font>
    <font>
      <sz val="12.0"/>
      <color theme="1"/>
      <name val="Google Sans Text"/>
    </font>
    <font>
      <u/>
      <sz val="15.0"/>
      <color rgb="FF274E13"/>
      <name val="Carlito"/>
    </font>
    <font>
      <color rgb="FF1F2933"/>
      <name val="Carlito"/>
    </font>
    <font>
      <b/>
      <color rgb="FFFFFFFF"/>
      <name val="Carlito"/>
    </font>
    <font>
      <b/>
      <sz val="14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Roboto"/>
    </font>
    <font>
      <b/>
      <sz val="13.0"/>
      <color theme="1"/>
      <name val="Arial"/>
    </font>
    <font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2.0"/>
      <color theme="1"/>
      <name val="Arial"/>
    </font>
    <font>
      <u/>
      <color rgb="FF434343"/>
      <name val="Roboto"/>
    </font>
    <font>
      <sz val="13.0"/>
      <color theme="1"/>
      <name val="Arial"/>
    </font>
    <font>
      <sz val="11.0"/>
      <color rgb="FF222222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sz val="15.0"/>
      <color rgb="FF274E13"/>
      <name val="Carlito"/>
    </font>
    <font>
      <u/>
      <sz val="15.0"/>
      <color rgb="FF274E13"/>
      <name val="Carlito"/>
    </font>
    <font>
      <sz val="15.0"/>
      <color rgb="FFFFFFFF"/>
      <name val="Arial"/>
      <scheme val="minor"/>
    </font>
    <font>
      <sz val="14.0"/>
      <color theme="1"/>
      <name val="Arial"/>
      <scheme val="minor"/>
    </font>
    <font>
      <b/>
      <sz val="15.0"/>
      <color rgb="FFFFFFFF"/>
      <name val="Carlito"/>
    </font>
    <font>
      <sz val="12.0"/>
      <color rgb="FF1F2933"/>
      <name val="Consolas"/>
    </font>
    <font>
      <sz val="15.0"/>
      <color theme="1"/>
      <name val="Arial"/>
      <scheme val="minor"/>
    </font>
    <font>
      <sz val="15.0"/>
      <color rgb="FF1F2933"/>
      <name val="Carlito"/>
    </font>
  </fonts>
  <fills count="19">
    <fill>
      <patternFill patternType="none"/>
    </fill>
    <fill>
      <patternFill patternType="lightGray"/>
    </fill>
    <fill>
      <patternFill patternType="solid">
        <fgColor rgb="FF0B4F33"/>
        <bgColor rgb="FF0B4F33"/>
      </patternFill>
    </fill>
    <fill>
      <patternFill patternType="solid">
        <fgColor rgb="FFF7FBF4"/>
        <bgColor rgb="FFF7FBF4"/>
      </patternFill>
    </fill>
    <fill>
      <patternFill patternType="solid">
        <fgColor rgb="FFFFFFFF"/>
        <bgColor rgb="FFFFFFFF"/>
      </patternFill>
    </fill>
    <fill>
      <patternFill patternType="solid">
        <fgColor rgb="FFEDFFE6"/>
        <bgColor rgb="FFEDFFE6"/>
      </patternFill>
    </fill>
    <fill>
      <patternFill patternType="solid">
        <fgColor rgb="FFD9EAD3"/>
        <bgColor rgb="FFD9EAD3"/>
      </patternFill>
    </fill>
    <fill>
      <patternFill patternType="solid">
        <fgColor rgb="FFE9F4E8"/>
        <bgColor rgb="FFE9F4E8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232">
    <border/>
    <border>
      <left style="double">
        <color rgb="FF93C47D"/>
      </left>
      <top style="double">
        <color rgb="FF93C47D"/>
      </top>
    </border>
    <border>
      <top style="double">
        <color rgb="FF93C47D"/>
      </top>
    </border>
    <border>
      <right style="double">
        <color rgb="FF93C47D"/>
      </right>
      <top style="double">
        <color rgb="FF93C47D"/>
      </top>
    </border>
    <border>
      <left style="double">
        <color rgb="FF93C47D"/>
      </left>
    </border>
    <border>
      <right style="double">
        <color rgb="FF93C47D"/>
      </right>
    </border>
    <border>
      <left style="double">
        <color rgb="FF93C47D"/>
      </left>
      <bottom style="double">
        <color rgb="FF93C47D"/>
      </bottom>
    </border>
    <border>
      <bottom style="double">
        <color rgb="FF93C47D"/>
      </bottom>
    </border>
    <border>
      <right style="double">
        <color rgb="FF93C47D"/>
      </right>
      <bottom style="double">
        <color rgb="FF93C47D"/>
      </bottom>
    </border>
    <border>
      <left style="hair">
        <color rgb="FF93C47D"/>
      </left>
      <top style="hair">
        <color rgb="FF93C47D"/>
      </top>
      <bottom style="hair">
        <color rgb="FF93C47D"/>
      </bottom>
    </border>
    <border>
      <right style="hair">
        <color rgb="FF93C47D"/>
      </right>
      <top style="hair">
        <color rgb="FF93C47D"/>
      </top>
      <bottom style="hair">
        <color rgb="FF93C47D"/>
      </bottom>
    </border>
    <border>
      <right style="double">
        <color rgb="FF0E6B3C"/>
      </right>
      <top style="double">
        <color rgb="FF93C47D"/>
      </top>
    </border>
    <border>
      <right style="double">
        <color rgb="FF0E6B3C"/>
      </right>
    </border>
    <border>
      <right style="double">
        <color rgb="FF0E6B3C"/>
      </right>
      <bottom style="double">
        <color rgb="FF93C47D"/>
      </bottom>
    </border>
    <border>
      <left style="hair">
        <color rgb="FF93C47D"/>
      </left>
      <bottom style="hair">
        <color rgb="FF93C47D"/>
      </bottom>
    </border>
    <border>
      <right style="hair">
        <color rgb="FF93C47D"/>
      </right>
      <bottom style="hair">
        <color rgb="FF93C47D"/>
      </bottom>
    </border>
    <border>
      <left style="double">
        <color rgb="FF93C47D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double">
        <color rgb="FF93C47D"/>
      </right>
      <top style="thin">
        <color rgb="FF44B3E1"/>
      </top>
      <bottom style="thin">
        <color rgb="FF44B3E1"/>
      </bottom>
    </border>
    <border>
      <right style="hair">
        <color rgb="FF93C47D"/>
      </right>
      <top style="thin">
        <color rgb="FF44B3E1"/>
      </top>
      <bottom style="thin">
        <color rgb="FF44B3E1"/>
      </bottom>
    </border>
    <border>
      <left style="hair">
        <color rgb="FF93C47D"/>
      </left>
      <top style="thin">
        <color rgb="FF44B3E1"/>
      </top>
      <bottom style="thin">
        <color rgb="FF44B3E1"/>
      </bottom>
    </border>
    <border>
      <left style="double">
        <color rgb="FF93C47D"/>
      </left>
      <top style="double">
        <color rgb="FF93C47D"/>
      </top>
      <bottom style="dotted">
        <color rgb="FF93C47D"/>
      </bottom>
    </border>
    <border>
      <top style="double">
        <color rgb="FF93C47D"/>
      </top>
      <bottom style="dotted">
        <color rgb="FF93C47D"/>
      </bottom>
    </border>
    <border>
      <right style="double">
        <color rgb="FF93C47D"/>
      </right>
      <top style="double">
        <color rgb="FF93C47D"/>
      </top>
      <bottom style="dotted">
        <color rgb="FF93C47D"/>
      </bottom>
    </border>
    <border>
      <left style="double">
        <color rgb="FF93C47D"/>
      </left>
      <top style="dotted">
        <color rgb="FF93C47D"/>
      </top>
      <bottom style="dotted">
        <color rgb="FF93C47D"/>
      </bottom>
    </border>
    <border>
      <top style="dotted">
        <color rgb="FF93C47D"/>
      </top>
      <bottom style="dotted">
        <color rgb="FF93C47D"/>
      </bottom>
    </border>
    <border>
      <right style="double">
        <color rgb="FF93C47D"/>
      </right>
      <top style="dotted">
        <color rgb="FF93C47D"/>
      </top>
      <bottom style="dotted">
        <color rgb="FF93C47D"/>
      </bottom>
    </border>
    <border>
      <left style="double">
        <color rgb="FF93C47D"/>
      </left>
      <top style="dotted">
        <color rgb="FF93C47D"/>
      </top>
      <bottom style="double">
        <color rgb="FF0E6B3C"/>
      </bottom>
    </border>
    <border>
      <top style="dotted">
        <color rgb="FF93C47D"/>
      </top>
      <bottom style="double">
        <color rgb="FF0E6B3C"/>
      </bottom>
    </border>
    <border>
      <right style="double">
        <color rgb="FF93C47D"/>
      </right>
      <top style="dotted">
        <color rgb="FF93C47D"/>
      </top>
      <bottom style="double">
        <color rgb="FF0E6B3C"/>
      </bottom>
    </border>
    <border>
      <left style="double">
        <color rgb="FF93C47D"/>
      </left>
      <top style="thin">
        <color rgb="FF44B3E1"/>
      </top>
      <bottom style="double">
        <color rgb="FF93C47D"/>
      </bottom>
    </border>
    <border>
      <top style="thin">
        <color rgb="FF44B3E1"/>
      </top>
      <bottom style="double">
        <color rgb="FF93C47D"/>
      </bottom>
    </border>
    <border>
      <right style="hair">
        <color rgb="FF93C47D"/>
      </right>
      <top style="thin">
        <color rgb="FF44B3E1"/>
      </top>
      <bottom style="double">
        <color rgb="FF93C47D"/>
      </bottom>
    </border>
    <border>
      <left style="hair">
        <color rgb="FF93C47D"/>
      </left>
      <top style="thin">
        <color rgb="FF44B3E1"/>
      </top>
      <bottom style="double">
        <color rgb="FF93C47D"/>
      </bottom>
    </border>
    <border>
      <right style="double">
        <color rgb="FF93C47D"/>
      </right>
      <top style="thin">
        <color rgb="FF44B3E1"/>
      </top>
      <bottom style="double">
        <color rgb="FF93C47D"/>
      </bottom>
    </border>
    <border>
      <left style="thin">
        <color rgb="FFB7D7B1"/>
      </left>
      <top style="thin">
        <color rgb="FFB7D7B1"/>
      </top>
    </border>
    <border>
      <top style="thin">
        <color rgb="FFB7D7B1"/>
      </top>
    </border>
    <border>
      <right style="thin">
        <color rgb="FFB7D7B1"/>
      </right>
      <top style="thin">
        <color rgb="FFB7D7B1"/>
      </top>
    </border>
    <border>
      <left style="thin">
        <color rgb="FFB7D7B1"/>
      </left>
    </border>
    <border>
      <right style="thin">
        <color rgb="FFB7D7B1"/>
      </right>
    </border>
    <border>
      <left style="thin">
        <color rgb="FFB7D7B1"/>
      </left>
      <bottom style="thin">
        <color rgb="FFB7D7B1"/>
      </bottom>
    </border>
    <border>
      <bottom style="thin">
        <color rgb="FFB7D7B1"/>
      </bottom>
    </border>
    <border>
      <right style="thin">
        <color rgb="FFB7D7B1"/>
      </right>
      <bottom style="thin">
        <color rgb="FFB7D7B1"/>
      </bottom>
    </border>
    <border>
      <left style="double">
        <color rgb="FF34A853"/>
      </left>
      <top style="double">
        <color rgb="FF34A853"/>
      </top>
    </border>
    <border>
      <top style="double">
        <color rgb="FF34A853"/>
      </top>
    </border>
    <border>
      <right style="double">
        <color rgb="FF34A853"/>
      </right>
      <top style="double">
        <color rgb="FF34A853"/>
      </top>
    </border>
    <border>
      <left style="double">
        <color rgb="FF34A853"/>
      </left>
      <bottom style="double">
        <color rgb="FF93C47D"/>
      </bottom>
    </border>
    <border>
      <right style="double">
        <color rgb="FF34A853"/>
      </right>
      <bottom style="double">
        <color rgb="FF93C47D"/>
      </bottom>
    </border>
    <border>
      <left style="double">
        <color rgb="FF34A853"/>
      </left>
      <bottom style="dotted">
        <color rgb="FF93C47D"/>
      </bottom>
    </border>
    <border>
      <bottom style="dotted">
        <color rgb="FF93C47D"/>
      </bottom>
    </border>
    <border>
      <left style="double">
        <color rgb="FF34A853"/>
      </left>
      <bottom style="hair">
        <color rgb="FF34A853"/>
      </bottom>
    </border>
    <border>
      <bottom style="hair">
        <color rgb="FF34A853"/>
      </bottom>
    </border>
    <border>
      <right style="hair">
        <color rgb="FF34A853"/>
      </right>
      <bottom style="hair">
        <color rgb="FF34A853"/>
      </bottom>
    </border>
    <border>
      <left style="hair">
        <color rgb="FF34A853"/>
      </left>
      <bottom style="hair">
        <color rgb="FF34A853"/>
      </bottom>
    </border>
    <border>
      <left style="double">
        <color rgb="FF34A853"/>
      </left>
      <top style="hair">
        <color rgb="FF34A853"/>
      </top>
      <bottom style="hair">
        <color rgb="FF34A853"/>
      </bottom>
    </border>
    <border>
      <top style="hair">
        <color rgb="FF34A853"/>
      </top>
      <bottom style="hair">
        <color rgb="FF34A853"/>
      </bottom>
    </border>
    <border>
      <right style="hair">
        <color rgb="FF34A853"/>
      </right>
      <top style="hair">
        <color rgb="FF34A853"/>
      </top>
      <bottom style="hair">
        <color rgb="FF34A853"/>
      </bottom>
    </border>
    <border>
      <left style="hair">
        <color rgb="FF34A853"/>
      </left>
      <top style="hair">
        <color rgb="FF34A853"/>
      </top>
      <bottom style="hair">
        <color rgb="FF34A853"/>
      </bottom>
    </border>
    <border>
      <left style="double">
        <color rgb="FF34A853"/>
      </left>
      <top style="hair">
        <color rgb="FF34A853"/>
      </top>
      <bottom style="double">
        <color rgb="FF34A853"/>
      </bottom>
    </border>
    <border>
      <top style="hair">
        <color rgb="FF34A853"/>
      </top>
      <bottom style="double">
        <color rgb="FF34A853"/>
      </bottom>
    </border>
    <border>
      <right style="hair">
        <color rgb="FF34A853"/>
      </right>
      <top style="hair">
        <color rgb="FF34A853"/>
      </top>
      <bottom style="double">
        <color rgb="FF34A853"/>
      </bottom>
    </border>
    <border>
      <left style="hair">
        <color rgb="FF34A853"/>
      </left>
      <top style="hair">
        <color rgb="FF34A853"/>
      </top>
      <bottom style="double">
        <color rgb="FF34A853"/>
      </bottom>
    </border>
    <border>
      <left style="double">
        <color rgb="FF356854"/>
      </left>
      <top style="double">
        <color rgb="FF356854"/>
      </top>
      <bottom style="double">
        <color rgb="FF356854"/>
      </bottom>
    </border>
    <border>
      <top style="double">
        <color rgb="FF356854"/>
      </top>
      <bottom style="double">
        <color rgb="FF356854"/>
      </bottom>
    </border>
    <border>
      <right style="double">
        <color rgb="FF356854"/>
      </right>
      <top style="double">
        <color rgb="FF356854"/>
      </top>
      <bottom style="double">
        <color rgb="FF356854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medium">
        <color rgb="FF000000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284E3F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284E3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FFFFFF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F6F8F9"/>
      </right>
      <top style="thin">
        <color rgb="FFD9EAD3"/>
      </top>
      <bottom style="thin">
        <color rgb="FFF6F8F9"/>
      </bottom>
    </border>
    <border>
      <left style="thin">
        <color rgb="FFF6F8F9"/>
      </left>
      <right style="thin">
        <color rgb="FFD9EAD3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FFFFFF"/>
      </top>
      <bottom style="thin">
        <color rgb="FF442F65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442F65"/>
      </bottom>
    </border>
    <border>
      <left style="double">
        <color rgb="FF93C47D"/>
      </left>
      <bottom style="dotted">
        <color rgb="FF93C47D"/>
      </bottom>
    </border>
    <border>
      <right style="double">
        <color rgb="FF93C47D"/>
      </right>
      <bottom style="dotted">
        <color rgb="FF93C47D"/>
      </bottom>
    </border>
    <border>
      <left style="double">
        <color rgb="FF93C47D"/>
      </left>
      <right style="hair">
        <color rgb="FF93C47D"/>
      </right>
      <top style="dotted">
        <color rgb="FF93C47D"/>
      </top>
      <bottom style="dotted">
        <color rgb="FF93C47D"/>
      </bottom>
    </border>
    <border>
      <left style="hair">
        <color rgb="FF93C47D"/>
      </left>
      <top style="dotted">
        <color rgb="FF93C47D"/>
      </top>
      <bottom style="dotted">
        <color rgb="FF93C47D"/>
      </bottom>
    </border>
    <border>
      <right style="hair">
        <color rgb="FF93C47D"/>
      </right>
      <top style="dotted">
        <color rgb="FF93C47D"/>
      </top>
      <bottom style="dotted">
        <color rgb="FF93C47D"/>
      </bottom>
    </border>
    <border>
      <left style="hair">
        <color rgb="FF93C47D"/>
      </left>
      <right style="hair">
        <color rgb="FF93C47D"/>
      </right>
      <top style="dotted">
        <color rgb="FF93C47D"/>
      </top>
      <bottom style="dotted">
        <color rgb="FF93C47D"/>
      </bottom>
    </border>
    <border>
      <left style="double">
        <color rgb="FF93C47D"/>
      </left>
      <right style="hair">
        <color rgb="FF93C47D"/>
      </right>
      <top style="dotted">
        <color rgb="FF93C47D"/>
      </top>
      <bottom style="double">
        <color rgb="FF93C47D"/>
      </bottom>
    </border>
    <border>
      <left style="hair">
        <color rgb="FF93C47D"/>
      </left>
      <top style="dotted">
        <color rgb="FF93C47D"/>
      </top>
      <bottom style="double">
        <color rgb="FF93C47D"/>
      </bottom>
    </border>
    <border>
      <right style="hair">
        <color rgb="FF93C47D"/>
      </right>
      <top style="dotted">
        <color rgb="FF93C47D"/>
      </top>
      <bottom style="double">
        <color rgb="FF93C47D"/>
      </bottom>
    </border>
    <border>
      <top style="dotted">
        <color rgb="FF93C47D"/>
      </top>
      <bottom style="double">
        <color rgb="FF93C47D"/>
      </bottom>
    </border>
    <border>
      <left style="hair">
        <color rgb="FF93C47D"/>
      </left>
      <right style="hair">
        <color rgb="FF93C47D"/>
      </right>
      <top style="dotted">
        <color rgb="FF93C47D"/>
      </top>
      <bottom style="double">
        <color rgb="FF93C47D"/>
      </bottom>
    </border>
    <border>
      <right style="double">
        <color rgb="FF93C47D"/>
      </right>
      <top style="dotted">
        <color rgb="FF93C47D"/>
      </top>
      <bottom style="double">
        <color rgb="FF93C47D"/>
      </bottom>
    </border>
    <border>
      <left style="hair">
        <color rgb="FF93C47D"/>
      </left>
      <bottom style="dotted">
        <color rgb="FF93C47D"/>
      </bottom>
    </border>
    <border>
      <right style="hair">
        <color rgb="FF93C47D"/>
      </right>
      <bottom style="dotted">
        <color rgb="FF93C47D"/>
      </bottom>
    </border>
    <border>
      <left style="double">
        <color rgb="FF34A853"/>
      </left>
      <right style="dotted">
        <color rgb="FF34A853"/>
      </right>
      <top style="double">
        <color rgb="FF34A853"/>
      </top>
      <bottom style="dotted">
        <color rgb="FF34A853"/>
      </bottom>
    </border>
    <border>
      <left style="dotted">
        <color rgb="FF34A853"/>
      </left>
      <top style="double">
        <color rgb="FF34A853"/>
      </top>
      <bottom style="dotted">
        <color rgb="FF34A853"/>
      </bottom>
    </border>
    <border>
      <right style="dotted">
        <color rgb="FF34A853"/>
      </right>
      <top style="double">
        <color rgb="FF34A853"/>
      </top>
      <bottom style="dotted">
        <color rgb="FF34A853"/>
      </bottom>
    </border>
    <border>
      <top style="double">
        <color rgb="FF34A853"/>
      </top>
      <bottom style="dotted">
        <color rgb="FF34A853"/>
      </bottom>
    </border>
    <border>
      <right style="double">
        <color rgb="FF34A853"/>
      </right>
      <top style="double">
        <color rgb="FF34A853"/>
      </top>
      <bottom style="dotted">
        <color rgb="FF34A853"/>
      </bottom>
    </border>
    <border>
      <left style="double">
        <color rgb="FF34A853"/>
      </left>
      <right style="dotted">
        <color rgb="FF34A853"/>
      </right>
      <top style="dotted">
        <color rgb="FF34A853"/>
      </top>
      <bottom style="dotted">
        <color rgb="FF34A853"/>
      </bottom>
    </border>
    <border>
      <left style="dotted">
        <color rgb="FF34A853"/>
      </left>
      <top style="dotted">
        <color rgb="FF34A853"/>
      </top>
      <bottom style="dotted">
        <color rgb="FF34A853"/>
      </bottom>
    </border>
    <border>
      <right style="dotted">
        <color rgb="FF34A853"/>
      </right>
      <top style="dotted">
        <color rgb="FF34A853"/>
      </top>
      <bottom style="dotted">
        <color rgb="FF34A853"/>
      </bottom>
    </border>
    <border>
      <top style="dotted">
        <color rgb="FF34A853"/>
      </top>
      <bottom style="dotted">
        <color rgb="FF34A853"/>
      </bottom>
    </border>
    <border>
      <right style="double">
        <color rgb="FF34A853"/>
      </right>
      <top style="dotted">
        <color rgb="FF34A853"/>
      </top>
      <bottom style="dotted">
        <color rgb="FF34A853"/>
      </bottom>
    </border>
    <border>
      <left style="double">
        <color rgb="FF34A853"/>
      </left>
      <right style="dotted">
        <color rgb="FF34A853"/>
      </right>
      <top style="dotted">
        <color rgb="FF34A853"/>
      </top>
      <bottom style="hair">
        <color rgb="FF0E6B3C"/>
      </bottom>
    </border>
    <border>
      <left style="dotted">
        <color rgb="FF34A853"/>
      </left>
      <top style="dotted">
        <color rgb="FF34A853"/>
      </top>
      <bottom style="hair">
        <color rgb="FF0E6B3C"/>
      </bottom>
    </border>
    <border>
      <right style="dotted">
        <color rgb="FF34A853"/>
      </right>
      <top style="dotted">
        <color rgb="FF34A853"/>
      </top>
      <bottom style="hair">
        <color rgb="FF0E6B3C"/>
      </bottom>
    </border>
    <border>
      <top style="dotted">
        <color rgb="FF34A853"/>
      </top>
      <bottom style="hair">
        <color rgb="FF0E6B3C"/>
      </bottom>
    </border>
    <border>
      <right style="double">
        <color rgb="FF34A853"/>
      </right>
      <top style="dotted">
        <color rgb="FF34A853"/>
      </top>
      <bottom style="hair">
        <color rgb="FF0E6B3C"/>
      </bottom>
    </border>
    <border>
      <left style="double">
        <color rgb="FF34A853"/>
      </left>
      <right style="dotted">
        <color rgb="FF34A853"/>
      </right>
      <top style="hair">
        <color rgb="FF0E6B3C"/>
      </top>
      <bottom style="double">
        <color rgb="FF34A853"/>
      </bottom>
    </border>
    <border>
      <left style="dotted">
        <color rgb="FF34A853"/>
      </left>
      <top style="hair">
        <color rgb="FF0E6B3C"/>
      </top>
      <bottom style="double">
        <color rgb="FF34A853"/>
      </bottom>
    </border>
    <border>
      <right style="dotted">
        <color rgb="FF34A853"/>
      </right>
      <top style="hair">
        <color rgb="FF0E6B3C"/>
      </top>
      <bottom style="double">
        <color rgb="FF34A853"/>
      </bottom>
    </border>
    <border>
      <top style="hair">
        <color rgb="FF0E6B3C"/>
      </top>
      <bottom style="double">
        <color rgb="FF34A853"/>
      </bottom>
    </border>
    <border>
      <right style="double">
        <color rgb="FF34A853"/>
      </right>
      <top style="hair">
        <color rgb="FF0E6B3C"/>
      </top>
      <bottom style="double">
        <color rgb="FF34A853"/>
      </bottom>
    </border>
    <border>
      <left style="double">
        <color rgb="FF34A853"/>
      </left>
      <bottom style="dotted">
        <color rgb="FF34A853"/>
      </bottom>
    </border>
    <border>
      <bottom style="dotted">
        <color rgb="FF34A853"/>
      </bottom>
    </border>
    <border>
      <right style="double">
        <color rgb="FF34A853"/>
      </right>
      <bottom style="dotted">
        <color rgb="FF34A853"/>
      </bottom>
    </border>
    <border>
      <left style="double">
        <color rgb="FF34A853"/>
      </left>
      <top style="dotted">
        <color rgb="FF34A853"/>
      </top>
      <bottom style="dotted">
        <color rgb="FF34A853"/>
      </bottom>
    </border>
    <border>
      <left style="double">
        <color rgb="FF34A853"/>
      </left>
      <top style="dotted">
        <color rgb="FF34A853"/>
      </top>
      <bottom style="double">
        <color rgb="FF34A853"/>
      </bottom>
    </border>
    <border>
      <top style="dotted">
        <color rgb="FF34A853"/>
      </top>
      <bottom style="double">
        <color rgb="FF34A853"/>
      </bottom>
    </border>
    <border>
      <right style="dotted">
        <color rgb="FF34A853"/>
      </right>
      <top style="dotted">
        <color rgb="FF34A853"/>
      </top>
      <bottom style="double">
        <color rgb="FF34A853"/>
      </bottom>
    </border>
    <border>
      <left style="dotted">
        <color rgb="FF34A853"/>
      </left>
      <top style="dotted">
        <color rgb="FF34A853"/>
      </top>
      <bottom style="double">
        <color rgb="FF34A853"/>
      </bottom>
    </border>
    <border>
      <right style="double">
        <color rgb="FF34A853"/>
      </right>
      <top style="dotted">
        <color rgb="FF34A853"/>
      </top>
      <bottom style="double">
        <color rgb="FF34A853"/>
      </bottom>
    </border>
    <border>
      <left style="dotted">
        <color rgb="FF34A853"/>
      </left>
      <bottom style="dotted">
        <color rgb="FF34A853"/>
      </bottom>
    </border>
    <border>
      <left style="dotted">
        <color rgb="FF34A853"/>
      </left>
      <top style="hair">
        <color rgb="FF0E6B3C"/>
      </top>
      <bottom style="hair">
        <color rgb="FF0E6B3C"/>
      </bottom>
    </border>
    <border>
      <right style="dotted">
        <color rgb="FF34A853"/>
      </right>
      <top style="hair">
        <color rgb="FF0E6B3C"/>
      </top>
      <bottom style="hair">
        <color rgb="FF0E6B3C"/>
      </bottom>
    </border>
    <border>
      <top style="hair">
        <color rgb="FF0E6B3C"/>
      </top>
      <bottom style="hair">
        <color rgb="FF0E6B3C"/>
      </bottom>
    </border>
    <border>
      <right style="double">
        <color rgb="FF34A853"/>
      </right>
      <top style="hair">
        <color rgb="FF0E6B3C"/>
      </top>
      <bottom style="hair">
        <color rgb="FF0E6B3C"/>
      </bottom>
    </border>
    <border>
      <left style="double">
        <color rgb="FF34A853"/>
      </left>
      <right style="dotted">
        <color rgb="FF34A853"/>
      </right>
      <bottom style="dotted">
        <color rgb="FF34A853"/>
      </bottom>
    </border>
    <border>
      <right style="dotted">
        <color rgb="FF34A853"/>
      </right>
      <bottom style="dotted">
        <color rgb="FF34A853"/>
      </bottom>
    </border>
    <border>
      <right style="double">
        <color rgb="FF34A853"/>
      </right>
      <bottom style="dotted">
        <color rgb="FF93C47D"/>
      </bottom>
    </border>
    <border>
      <right style="double">
        <color rgb="FF34A853"/>
      </right>
      <bottom style="hair">
        <color rgb="FF34A853"/>
      </bottom>
    </border>
    <border>
      <left style="hair">
        <color rgb="FF34A853"/>
      </left>
      <top style="hair">
        <color rgb="FF34A853"/>
      </top>
    </border>
    <border>
      <right style="hair">
        <color rgb="FF34A853"/>
      </right>
      <top style="hair">
        <color rgb="FF34A853"/>
      </top>
    </border>
    <border>
      <right style="double">
        <color rgb="FF34A853"/>
      </right>
      <top style="hair">
        <color rgb="FF34A853"/>
      </top>
      <bottom style="hair">
        <color rgb="FF34A853"/>
      </bottom>
    </border>
    <border>
      <left style="hair">
        <color rgb="FF0E6B3C"/>
      </left>
      <top style="hair">
        <color rgb="FF0E6B3C"/>
      </top>
      <bottom style="hair">
        <color rgb="FF0E6B3C"/>
      </bottom>
    </border>
    <border>
      <right style="hair">
        <color rgb="FF0E6B3C"/>
      </right>
      <top style="hair">
        <color rgb="FF0E6B3C"/>
      </top>
      <bottom style="hair">
        <color rgb="FF0E6B3C"/>
      </bottom>
    </border>
    <border>
      <right style="double">
        <color rgb="FF34A853"/>
      </right>
      <top style="hair">
        <color rgb="FF34A853"/>
      </top>
      <bottom style="double">
        <color rgb="FF34A853"/>
      </bottom>
    </border>
    <border>
      <left style="double">
        <color rgb="FF34A853"/>
      </left>
      <right style="hair">
        <color rgb="FF0E6B3C"/>
      </right>
      <top style="double">
        <color rgb="FF34A853"/>
      </top>
      <bottom style="hair">
        <color rgb="FF0E6B3C"/>
      </bottom>
    </border>
    <border>
      <left style="hair">
        <color rgb="FF0E6B3C"/>
      </left>
      <top style="double">
        <color rgb="FF34A853"/>
      </top>
      <bottom style="hair">
        <color rgb="FF0E6B3C"/>
      </bottom>
    </border>
    <border>
      <right style="hair">
        <color rgb="FF0E6B3C"/>
      </right>
      <top style="double">
        <color rgb="FF34A853"/>
      </top>
      <bottom style="hair">
        <color rgb="FF0E6B3C"/>
      </bottom>
    </border>
    <border>
      <top style="double">
        <color rgb="FF34A853"/>
      </top>
      <bottom style="hair">
        <color rgb="FF0E6B3C"/>
      </bottom>
    </border>
    <border>
      <right style="double">
        <color rgb="FF34A853"/>
      </right>
      <top style="double">
        <color rgb="FF34A853"/>
      </top>
      <bottom style="hair">
        <color rgb="FF0E6B3C"/>
      </bottom>
    </border>
    <border>
      <left style="double">
        <color rgb="FF34A853"/>
      </left>
      <right style="hair">
        <color rgb="FF0E6B3C"/>
      </right>
      <top style="hair">
        <color rgb="FF0E6B3C"/>
      </top>
      <bottom style="hair">
        <color rgb="FF0E6B3C"/>
      </bottom>
    </border>
    <border>
      <left style="double">
        <color rgb="FF34A853"/>
      </left>
      <right style="hair">
        <color rgb="FF0E6B3C"/>
      </right>
      <top style="hair">
        <color rgb="FF0E6B3C"/>
      </top>
      <bottom style="dotted">
        <color rgb="FF34A853"/>
      </bottom>
    </border>
    <border>
      <left style="hair">
        <color rgb="FF0E6B3C"/>
      </left>
      <top style="hair">
        <color rgb="FF0E6B3C"/>
      </top>
      <bottom style="double">
        <color rgb="FF34A853"/>
      </bottom>
    </border>
    <border>
      <right style="hair">
        <color rgb="FF0E6B3C"/>
      </right>
      <top style="hair">
        <color rgb="FF0E6B3C"/>
      </top>
      <bottom style="double">
        <color rgb="FF34A853"/>
      </bottom>
    </border>
    <border>
      <left style="double">
        <color rgb="FF0E6B3C"/>
      </left>
      <top style="double">
        <color rgb="FF0E6B3C"/>
      </top>
    </border>
    <border>
      <top style="double">
        <color rgb="FF0E6B3C"/>
      </top>
    </border>
    <border>
      <right style="double">
        <color rgb="FF0E6B3C"/>
      </right>
      <top style="double">
        <color rgb="FF0E6B3C"/>
      </top>
    </border>
    <border>
      <left style="double">
        <color rgb="FF0E6B3C"/>
      </left>
      <bottom style="hair">
        <color rgb="FF0E6B3C"/>
      </bottom>
    </border>
    <border>
      <bottom style="hair">
        <color rgb="FF0E6B3C"/>
      </bottom>
    </border>
    <border>
      <right style="double">
        <color rgb="FF0E6B3C"/>
      </right>
      <bottom style="hair">
        <color rgb="FF0E6B3C"/>
      </bottom>
    </border>
    <border>
      <left style="double">
        <color rgb="FF0E6B3C"/>
      </left>
      <right style="hair">
        <color rgb="FF0E6B3C"/>
      </right>
      <top style="double">
        <color rgb="FF0E6B3C"/>
      </top>
    </border>
    <border>
      <left style="hair">
        <color rgb="FF0E6B3C"/>
      </left>
      <top style="double">
        <color rgb="FF0E6B3C"/>
      </top>
    </border>
    <border>
      <right style="hair">
        <color rgb="FF0E6B3C"/>
      </right>
      <top style="double">
        <color rgb="FF0E6B3C"/>
      </top>
    </border>
    <border>
      <left style="double">
        <color rgb="FF0E6B3C"/>
      </left>
      <right style="hair">
        <color rgb="FF0E6B3C"/>
      </right>
      <bottom style="double">
        <color rgb="FF0E6B3C"/>
      </bottom>
    </border>
    <border>
      <left style="hair">
        <color rgb="FF0E6B3C"/>
      </left>
      <bottom style="double">
        <color rgb="FF0E6B3C"/>
      </bottom>
    </border>
    <border>
      <right style="hair">
        <color rgb="FF0E6B3C"/>
      </right>
      <bottom style="double">
        <color rgb="FF0E6B3C"/>
      </bottom>
    </border>
    <border>
      <bottom style="double">
        <color rgb="FF0E6B3C"/>
      </bottom>
    </border>
    <border>
      <right style="double">
        <color rgb="FF0E6B3C"/>
      </right>
      <bottom style="double">
        <color rgb="FF0E6B3C"/>
      </bottom>
    </border>
    <border>
      <left style="double">
        <color rgb="FF0E6B3C"/>
      </left>
      <right style="hair">
        <color rgb="FF0E6B3C"/>
      </right>
      <bottom style="hair">
        <color rgb="FF0E6B3C"/>
      </bottom>
    </border>
    <border>
      <left style="hair">
        <color rgb="FF0E6B3C"/>
      </left>
      <bottom style="hair">
        <color rgb="FF0E6B3C"/>
      </bottom>
    </border>
    <border>
      <right style="hair">
        <color rgb="FF0E6B3C"/>
      </right>
      <bottom style="hair">
        <color rgb="FF0E6B3C"/>
      </bottom>
    </border>
    <border>
      <left style="double">
        <color rgb="FF0E6B3C"/>
      </left>
      <right style="hair">
        <color rgb="FF0E6B3C"/>
      </right>
      <top style="hair">
        <color rgb="FF0E6B3C"/>
      </top>
      <bottom style="hair">
        <color rgb="FF0E6B3C"/>
      </bottom>
    </border>
    <border>
      <right style="double">
        <color rgb="FF0E6B3C"/>
      </right>
      <top style="hair">
        <color rgb="FF0E6B3C"/>
      </top>
      <bottom style="hair">
        <color rgb="FF0E6B3C"/>
      </bottom>
    </border>
    <border>
      <left style="double">
        <color rgb="FF0E6B3C"/>
      </left>
      <right style="hair">
        <color rgb="FF0E6B3C"/>
      </right>
      <top style="hair">
        <color rgb="FF0E6B3C"/>
      </top>
      <bottom style="double">
        <color rgb="FF0E6B3C"/>
      </bottom>
    </border>
    <border>
      <left style="hair">
        <color rgb="FF0E6B3C"/>
      </left>
      <top style="hair">
        <color rgb="FF0E6B3C"/>
      </top>
      <bottom style="double">
        <color rgb="FF0E6B3C"/>
      </bottom>
    </border>
    <border>
      <right style="hair">
        <color rgb="FF0E6B3C"/>
      </right>
      <top style="hair">
        <color rgb="FF0E6B3C"/>
      </top>
      <bottom style="double">
        <color rgb="FF0E6B3C"/>
      </bottom>
    </border>
    <border>
      <top style="hair">
        <color rgb="FF0E6B3C"/>
      </top>
      <bottom style="double">
        <color rgb="FF0E6B3C"/>
      </bottom>
    </border>
    <border>
      <right style="double">
        <color rgb="FF0E6B3C"/>
      </right>
      <top style="hair">
        <color rgb="FF0E6B3C"/>
      </top>
      <bottom style="double">
        <color rgb="FF0E6B3C"/>
      </bottom>
    </border>
    <border>
      <left style="double">
        <color rgb="FF34A853"/>
      </left>
      <top style="double">
        <color rgb="FF93C47D"/>
      </top>
    </border>
    <border>
      <right style="double">
        <color rgb="FF34A853"/>
      </right>
      <top style="double">
        <color rgb="FF93C47D"/>
      </top>
    </border>
    <border>
      <left style="double">
        <color rgb="FF34A853"/>
      </left>
      <top style="double">
        <color rgb="FF34A853"/>
      </top>
      <bottom style="dotted">
        <color rgb="FF93C47D"/>
      </bottom>
    </border>
    <border>
      <top style="double">
        <color rgb="FF34A853"/>
      </top>
      <bottom style="dotted">
        <color rgb="FF93C47D"/>
      </bottom>
    </border>
    <border>
      <right style="hair">
        <color rgb="FF93C47D"/>
      </right>
      <top style="double">
        <color rgb="FF34A853"/>
      </top>
      <bottom style="dotted">
        <color rgb="FF93C47D"/>
      </bottom>
    </border>
    <border>
      <left style="hair">
        <color rgb="FF93C47D"/>
      </left>
      <top style="double">
        <color rgb="FF34A853"/>
      </top>
      <bottom style="dotted">
        <color rgb="FF93C47D"/>
      </bottom>
    </border>
    <border>
      <right style="double">
        <color rgb="FF34A853"/>
      </right>
      <top style="double">
        <color rgb="FF34A853"/>
      </top>
      <bottom style="dotted">
        <color rgb="FF93C47D"/>
      </bottom>
    </border>
    <border>
      <left style="double">
        <color rgb="FF34A853"/>
      </left>
      <top style="dotted">
        <color rgb="FF93C47D"/>
      </top>
      <bottom style="dotted">
        <color rgb="FF93C47D"/>
      </bottom>
    </border>
    <border>
      <right style="double">
        <color rgb="FF34A853"/>
      </right>
      <top style="dotted">
        <color rgb="FF93C47D"/>
      </top>
      <bottom style="dotted">
        <color rgb="FF93C47D"/>
      </bottom>
    </border>
    <border>
      <left style="double">
        <color rgb="FF34A853"/>
      </left>
      <top style="dotted">
        <color rgb="FF93C47D"/>
      </top>
      <bottom style="double">
        <color rgb="FF34A853"/>
      </bottom>
    </border>
    <border>
      <top style="dotted">
        <color rgb="FF93C47D"/>
      </top>
      <bottom style="double">
        <color rgb="FF34A853"/>
      </bottom>
    </border>
    <border>
      <right style="hair">
        <color rgb="FF93C47D"/>
      </right>
      <top style="dotted">
        <color rgb="FF93C47D"/>
      </top>
      <bottom style="double">
        <color rgb="FF34A853"/>
      </bottom>
    </border>
    <border>
      <left style="hair">
        <color rgb="FF93C47D"/>
      </left>
      <top style="dotted">
        <color rgb="FF93C47D"/>
      </top>
      <bottom style="double">
        <color rgb="FF34A853"/>
      </bottom>
    </border>
    <border>
      <right style="double">
        <color rgb="FF34A853"/>
      </right>
      <top style="dotted">
        <color rgb="FF93C47D"/>
      </top>
      <bottom style="double">
        <color rgb="FF34A853"/>
      </bottom>
    </border>
  </borders>
  <cellStyleXfs count="1">
    <xf borderId="0" fillId="0" fontId="0" numFmtId="0" applyAlignment="1" applyFont="1"/>
  </cellStyleXfs>
  <cellXfs count="4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0" fillId="2" fontId="6" numFmtId="0" xfId="0" applyAlignment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ont="1">
      <alignment horizontal="center" readingOrder="0" shrinkToFit="0" vertical="top" wrapText="1"/>
    </xf>
    <xf borderId="5" fillId="0" fontId="8" numFmtId="0" xfId="0" applyBorder="1" applyFont="1"/>
    <xf borderId="4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0" fillId="4" fontId="10" numFmtId="0" xfId="0" applyAlignment="1" applyFill="1" applyFont="1">
      <alignment readingOrder="0" shrinkToFit="0" vertical="top" wrapText="1"/>
    </xf>
    <xf borderId="9" fillId="3" fontId="11" numFmtId="0" xfId="0" applyAlignment="1" applyBorder="1" applyFont="1">
      <alignment horizontal="center" readingOrder="0" shrinkToFit="0" vertical="top" wrapText="1"/>
    </xf>
    <xf borderId="10" fillId="0" fontId="8" numFmtId="0" xfId="0" applyBorder="1" applyFont="1"/>
    <xf borderId="0" fillId="4" fontId="2" numFmtId="0" xfId="0" applyAlignment="1" applyFont="1">
      <alignment shrinkToFit="0" wrapText="1"/>
    </xf>
    <xf borderId="11" fillId="0" fontId="8" numFmtId="0" xfId="0" applyBorder="1" applyFont="1"/>
    <xf borderId="0" fillId="4" fontId="7" numFmtId="0" xfId="0" applyAlignment="1" applyFont="1">
      <alignment horizontal="center" readingOrder="0" shrinkToFit="0" vertical="top" wrapText="1"/>
    </xf>
    <xf borderId="12" fillId="0" fontId="8" numFmtId="0" xfId="0" applyBorder="1" applyFont="1"/>
    <xf borderId="0" fillId="4" fontId="9" numFmtId="0" xfId="0" applyAlignment="1" applyFont="1">
      <alignment horizontal="center" readingOrder="0" shrinkToFit="0" vertical="top" wrapText="1"/>
    </xf>
    <xf borderId="0" fillId="3" fontId="9" numFmtId="0" xfId="0" applyAlignment="1" applyFont="1">
      <alignment horizontal="center" readingOrder="0" shrinkToFit="0" vertical="top" wrapText="1"/>
    </xf>
    <xf borderId="12" fillId="3" fontId="9" numFmtId="0" xfId="0" applyAlignment="1" applyBorder="1" applyFont="1">
      <alignment horizontal="center" readingOrder="0" shrinkToFit="0" vertical="top" wrapText="1"/>
    </xf>
    <xf borderId="6" fillId="3" fontId="9" numFmtId="0" xfId="0" applyAlignment="1" applyBorder="1" applyFont="1">
      <alignment horizontal="center" readingOrder="0" shrinkToFit="0" vertical="top" wrapText="1"/>
    </xf>
    <xf borderId="7" fillId="3" fontId="9" numFmtId="0" xfId="0" applyAlignment="1" applyBorder="1" applyFont="1">
      <alignment horizontal="center" readingOrder="0" shrinkToFit="0" vertical="top" wrapText="1"/>
    </xf>
    <xf borderId="13" fillId="3" fontId="9" numFmtId="0" xfId="0" applyAlignment="1" applyBorder="1" applyFont="1">
      <alignment horizontal="center" readingOrder="0" shrinkToFit="0" vertical="top" wrapText="1"/>
    </xf>
    <xf borderId="14" fillId="3" fontId="12" numFmtId="0" xfId="0" applyAlignment="1" applyBorder="1" applyFont="1">
      <alignment horizontal="center" readingOrder="0" shrinkToFit="0" vertical="top" wrapText="1"/>
    </xf>
    <xf borderId="15" fillId="0" fontId="8" numFmtId="0" xfId="0" applyBorder="1" applyFont="1"/>
    <xf borderId="0" fillId="4" fontId="2" numFmtId="0" xfId="0" applyFont="1"/>
    <xf borderId="1" fillId="4" fontId="13" numFmtId="0" xfId="0" applyAlignment="1" applyBorder="1" applyFont="1">
      <alignment horizontal="center" readingOrder="0" shrinkToFit="0" wrapText="1"/>
    </xf>
    <xf borderId="0" fillId="4" fontId="6" numFmtId="0" xfId="0" applyAlignment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 shrinkToFit="0" wrapText="1"/>
    </xf>
    <xf borderId="16" fillId="2" fontId="14" numFmtId="0" xfId="0" applyAlignment="1" applyBorder="1" applyFont="1">
      <alignment horizontal="center" readingOrder="0" shrinkToFit="0" wrapText="1"/>
    </xf>
    <xf borderId="17" fillId="0" fontId="8" numFmtId="0" xfId="0" applyBorder="1" applyFont="1"/>
    <xf borderId="17" fillId="2" fontId="14" numFmtId="0" xfId="0" applyAlignment="1" applyBorder="1" applyFont="1">
      <alignment horizontal="center" readingOrder="0" shrinkToFit="0" wrapText="1"/>
    </xf>
    <xf borderId="18" fillId="0" fontId="8" numFmtId="0" xfId="0" applyBorder="1" applyFont="1"/>
    <xf borderId="16" fillId="5" fontId="15" numFmtId="0" xfId="0" applyAlignment="1" applyBorder="1" applyFill="1" applyFont="1">
      <alignment readingOrder="0" shrinkToFit="0" vertical="top" wrapText="1"/>
    </xf>
    <xf borderId="19" fillId="0" fontId="8" numFmtId="0" xfId="0" applyBorder="1" applyFont="1"/>
    <xf borderId="20" fillId="5" fontId="15" numFmtId="0" xfId="0" applyAlignment="1" applyBorder="1" applyFont="1">
      <alignment readingOrder="0" shrinkToFit="0" vertical="top" wrapText="1"/>
    </xf>
    <xf borderId="21" fillId="6" fontId="16" numFmtId="0" xfId="0" applyAlignment="1" applyBorder="1" applyFill="1" applyFont="1">
      <alignment readingOrder="0" shrinkToFit="0" wrapText="1"/>
    </xf>
    <xf borderId="22" fillId="0" fontId="8" numFmtId="0" xfId="0" applyBorder="1" applyFont="1"/>
    <xf borderId="23" fillId="0" fontId="8" numFmtId="0" xfId="0" applyBorder="1" applyFont="1"/>
    <xf borderId="16" fillId="4" fontId="15" numFmtId="0" xfId="0" applyAlignment="1" applyBorder="1" applyFont="1">
      <alignment readingOrder="0" shrinkToFit="0" vertical="top" wrapText="1"/>
    </xf>
    <xf borderId="20" fillId="4" fontId="15" numFmtId="0" xfId="0" applyAlignment="1" applyBorder="1" applyFont="1">
      <alignment readingOrder="0" shrinkToFit="0" vertical="top" wrapText="1"/>
    </xf>
    <xf borderId="24" fillId="6" fontId="16" numFmtId="0" xfId="0" applyAlignment="1" applyBorder="1" applyFont="1">
      <alignment readingOrder="0" shrinkToFit="0" wrapText="1"/>
    </xf>
    <xf borderId="25" fillId="0" fontId="8" numFmtId="0" xfId="0" applyBorder="1" applyFont="1"/>
    <xf borderId="26" fillId="0" fontId="8" numFmtId="0" xfId="0" applyBorder="1" applyFont="1"/>
    <xf borderId="27" fillId="6" fontId="16" numFmtId="0" xfId="0" applyAlignment="1" applyBorder="1" applyFont="1">
      <alignment readingOrder="0" shrinkToFit="0" wrapText="1"/>
    </xf>
    <xf borderId="28" fillId="0" fontId="8" numFmtId="0" xfId="0" applyBorder="1" applyFont="1"/>
    <xf borderId="29" fillId="0" fontId="8" numFmtId="0" xfId="0" applyBorder="1" applyFont="1"/>
    <xf borderId="0" fillId="4" fontId="16" numFmtId="0" xfId="0" applyAlignment="1" applyFont="1">
      <alignment readingOrder="0" shrinkToFit="0" wrapText="1"/>
    </xf>
    <xf borderId="30" fillId="4" fontId="15" numFmtId="0" xfId="0" applyAlignment="1" applyBorder="1" applyFont="1">
      <alignment readingOrder="0" shrinkToFit="0" vertical="top" wrapText="1"/>
    </xf>
    <xf borderId="31" fillId="0" fontId="8" numFmtId="0" xfId="0" applyBorder="1" applyFont="1"/>
    <xf borderId="32" fillId="0" fontId="8" numFmtId="0" xfId="0" applyBorder="1" applyFont="1"/>
    <xf borderId="33" fillId="4" fontId="15" numFmtId="0" xfId="0" applyAlignment="1" applyBorder="1" applyFont="1">
      <alignment readingOrder="0" shrinkToFit="0" vertical="top" wrapText="1"/>
    </xf>
    <xf borderId="34" fillId="0" fontId="8" numFmtId="0" xfId="0" applyBorder="1" applyFont="1"/>
    <xf borderId="0" fillId="3" fontId="17" numFmtId="0" xfId="0" applyAlignment="1" applyFont="1">
      <alignment horizontal="center" readingOrder="0" shrinkToFit="0" wrapText="1"/>
    </xf>
    <xf borderId="0" fillId="2" fontId="18" numFmtId="0" xfId="0" applyAlignment="1" applyFont="1">
      <alignment horizontal="center" readingOrder="0" shrinkToFit="0" wrapText="1"/>
    </xf>
    <xf borderId="35" fillId="7" fontId="19" numFmtId="0" xfId="0" applyAlignment="1" applyBorder="1" applyFill="1" applyFont="1">
      <alignment readingOrder="0" shrinkToFit="0" vertical="top" wrapText="1"/>
    </xf>
    <xf borderId="36" fillId="0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40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0" fontId="20" numFmtId="0" xfId="0" applyAlignment="1" applyBorder="1" applyFont="1">
      <alignment readingOrder="0" shrinkToFit="0" vertical="center" wrapText="1"/>
    </xf>
    <xf borderId="44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3" fillId="2" fontId="21" numFmtId="0" xfId="0" applyAlignment="1" applyBorder="1" applyFont="1">
      <alignment readingOrder="0" shrinkToFit="0" wrapText="1"/>
    </xf>
    <xf borderId="44" fillId="2" fontId="21" numFmtId="0" xfId="0" applyAlignment="1" applyBorder="1" applyFont="1">
      <alignment readingOrder="0" shrinkToFit="0" wrapText="1"/>
    </xf>
    <xf borderId="48" fillId="0" fontId="8" numFmtId="0" xfId="0" applyBorder="1" applyFont="1"/>
    <xf borderId="49" fillId="0" fontId="8" numFmtId="0" xfId="0" applyBorder="1" applyFont="1"/>
    <xf borderId="50" fillId="6" fontId="22" numFmtId="0" xfId="0" applyAlignment="1" applyBorder="1" applyFont="1">
      <alignment horizontal="left" readingOrder="0" shrinkToFit="0" vertical="center" wrapText="1"/>
    </xf>
    <xf borderId="51" fillId="0" fontId="8" numFmtId="0" xfId="0" applyBorder="1" applyFont="1"/>
    <xf borderId="52" fillId="0" fontId="8" numFmtId="0" xfId="0" applyBorder="1" applyFont="1"/>
    <xf borderId="53" fillId="6" fontId="22" numFmtId="0" xfId="0" applyAlignment="1" applyBorder="1" applyFont="1">
      <alignment horizontal="left" readingOrder="0" shrinkToFit="0" vertical="center" wrapText="1"/>
    </xf>
    <xf borderId="54" fillId="0" fontId="22" numFmtId="0" xfId="0" applyAlignment="1" applyBorder="1" applyFont="1">
      <alignment readingOrder="0" shrinkToFit="0" vertical="center" wrapText="1"/>
    </xf>
    <xf borderId="55" fillId="0" fontId="8" numFmtId="0" xfId="0" applyBorder="1" applyFont="1"/>
    <xf borderId="56" fillId="0" fontId="8" numFmtId="0" xfId="0" applyBorder="1" applyFont="1"/>
    <xf borderId="57" fillId="0" fontId="22" numFmtId="0" xfId="0" applyAlignment="1" applyBorder="1" applyFont="1">
      <alignment readingOrder="0" shrinkToFit="0" vertical="center" wrapText="1"/>
    </xf>
    <xf borderId="54" fillId="6" fontId="22" numFmtId="0" xfId="0" applyAlignment="1" applyBorder="1" applyFont="1">
      <alignment horizontal="left" readingOrder="0" shrinkToFit="0" vertical="center" wrapText="1"/>
    </xf>
    <xf borderId="57" fillId="6" fontId="22" numFmtId="0" xfId="0" applyAlignment="1" applyBorder="1" applyFont="1">
      <alignment horizontal="left" readingOrder="0" shrinkToFit="0" vertical="center" wrapText="1"/>
    </xf>
    <xf borderId="58" fillId="0" fontId="22" numFmtId="0" xfId="0" applyAlignment="1" applyBorder="1" applyFont="1">
      <alignment readingOrder="0" shrinkToFit="0" vertical="center" wrapText="1"/>
    </xf>
    <xf borderId="59" fillId="0" fontId="8" numFmtId="0" xfId="0" applyBorder="1" applyFont="1"/>
    <xf borderId="60" fillId="0" fontId="8" numFmtId="0" xfId="0" applyBorder="1" applyFont="1"/>
    <xf borderId="61" fillId="0" fontId="22" numFmtId="0" xfId="0" applyAlignment="1" applyBorder="1" applyFont="1">
      <alignment readingOrder="0" shrinkToFit="0" vertical="center" wrapText="1"/>
    </xf>
    <xf borderId="0" fillId="4" fontId="21" numFmtId="0" xfId="0" applyAlignment="1" applyFont="1">
      <alignment readingOrder="0" shrinkToFit="0" wrapText="1"/>
    </xf>
    <xf borderId="0" fillId="4" fontId="23" numFmtId="0" xfId="0" applyAlignment="1" applyFont="1">
      <alignment horizontal="left" readingOrder="0" shrinkToFit="0" vertical="center" wrapText="1"/>
    </xf>
    <xf borderId="62" fillId="3" fontId="24" numFmtId="0" xfId="0" applyAlignment="1" applyBorder="1" applyFont="1">
      <alignment horizontal="center" shrinkToFit="0" vertical="top" wrapText="1"/>
    </xf>
    <xf borderId="63" fillId="0" fontId="8" numFmtId="0" xfId="0" applyBorder="1" applyFont="1"/>
    <xf borderId="64" fillId="0" fontId="8" numFmtId="0" xfId="0" applyBorder="1" applyFont="1"/>
    <xf borderId="0" fillId="4" fontId="25" numFmtId="0" xfId="0" applyAlignment="1" applyFont="1">
      <alignment readingOrder="0" shrinkToFit="0" vertical="top" wrapText="1"/>
    </xf>
    <xf borderId="0" fillId="4" fontId="26" numFmtId="0" xfId="0" applyAlignment="1" applyFont="1">
      <alignment horizontal="center" readingOrder="0" shrinkToFit="0" wrapText="1"/>
    </xf>
    <xf borderId="0" fillId="4" fontId="25" numFmtId="0" xfId="0" applyAlignment="1" applyFont="1">
      <alignment horizontal="right" readingOrder="0" shrinkToFit="0" vertical="top" wrapText="1"/>
    </xf>
    <xf borderId="0" fillId="0" fontId="27" numFmtId="0" xfId="0" applyAlignment="1" applyFont="1">
      <alignment readingOrder="0" shrinkToFit="0" wrapText="1"/>
    </xf>
    <xf borderId="65" fillId="0" fontId="27" numFmtId="0" xfId="0" applyAlignment="1" applyBorder="1" applyFont="1">
      <alignment readingOrder="0" shrinkToFit="0" wrapText="1"/>
    </xf>
    <xf borderId="66" fillId="0" fontId="8" numFmtId="0" xfId="0" applyBorder="1" applyFont="1"/>
    <xf borderId="0" fillId="0" fontId="2" numFmtId="0" xfId="0" applyAlignment="1" applyFont="1">
      <alignment readingOrder="0" shrinkToFit="0" wrapText="1"/>
    </xf>
    <xf borderId="0" fillId="0" fontId="28" numFmtId="0" xfId="0" applyAlignment="1" applyFont="1">
      <alignment shrinkToFit="0" vertical="bottom" wrapText="1"/>
    </xf>
    <xf borderId="67" fillId="8" fontId="29" numFmtId="0" xfId="0" applyAlignment="1" applyBorder="1" applyFill="1" applyFont="1">
      <alignment readingOrder="0" shrinkToFit="0" wrapText="1"/>
    </xf>
    <xf borderId="68" fillId="8" fontId="30" numFmtId="0" xfId="0" applyAlignment="1" applyBorder="1" applyFont="1">
      <alignment shrinkToFit="0" vertical="bottom" wrapText="1"/>
    </xf>
    <xf borderId="69" fillId="8" fontId="30" numFmtId="0" xfId="0" applyAlignment="1" applyBorder="1" applyFont="1">
      <alignment shrinkToFit="0" vertical="bottom" wrapText="1"/>
    </xf>
    <xf borderId="70" fillId="8" fontId="30" numFmtId="0" xfId="0" applyAlignment="1" applyBorder="1" applyFont="1">
      <alignment readingOrder="0" shrinkToFit="0" vertical="bottom" wrapText="1"/>
    </xf>
    <xf borderId="71" fillId="9" fontId="30" numFmtId="0" xfId="0" applyAlignment="1" applyBorder="1" applyFill="1" applyFont="1">
      <alignment shrinkToFit="0" vertical="bottom" wrapText="1"/>
    </xf>
    <xf borderId="72" fillId="9" fontId="30" numFmtId="0" xfId="0" applyAlignment="1" applyBorder="1" applyFont="1">
      <alignment shrinkToFit="0" vertical="bottom" wrapText="1"/>
    </xf>
    <xf borderId="72" fillId="9" fontId="30" numFmtId="0" xfId="0" applyAlignment="1" applyBorder="1" applyFont="1">
      <alignment horizontal="center" readingOrder="0" shrinkToFit="0" vertical="bottom" wrapText="1"/>
    </xf>
    <xf borderId="72" fillId="9" fontId="30" numFmtId="0" xfId="0" applyAlignment="1" applyBorder="1" applyFont="1">
      <alignment readingOrder="0" shrinkToFit="0" vertical="bottom" wrapText="1"/>
    </xf>
    <xf borderId="72" fillId="10" fontId="30" numFmtId="164" xfId="0" applyAlignment="1" applyBorder="1" applyFill="1" applyFont="1" applyNumberFormat="1">
      <alignment shrinkToFit="0" vertical="bottom" wrapText="1"/>
    </xf>
    <xf borderId="73" fillId="11" fontId="30" numFmtId="0" xfId="0" applyAlignment="1" applyBorder="1" applyFill="1" applyFont="1">
      <alignment shrinkToFit="0" vertical="bottom" wrapText="1"/>
    </xf>
    <xf borderId="74" fillId="10" fontId="30" numFmtId="164" xfId="0" applyAlignment="1" applyBorder="1" applyFont="1" applyNumberFormat="1">
      <alignment shrinkToFit="0" vertical="bottom" wrapText="1"/>
    </xf>
    <xf borderId="75" fillId="9" fontId="30" numFmtId="0" xfId="0" applyAlignment="1" applyBorder="1" applyFont="1">
      <alignment shrinkToFit="0" vertical="bottom" wrapText="1"/>
    </xf>
    <xf borderId="0" fillId="0" fontId="31" numFmtId="0" xfId="0" applyAlignment="1" applyFont="1">
      <alignment shrinkToFit="0" wrapText="1"/>
    </xf>
    <xf borderId="75" fillId="12" fontId="30" numFmtId="0" xfId="0" applyAlignment="1" applyBorder="1" applyFill="1" applyFont="1">
      <alignment shrinkToFit="0" vertical="bottom" wrapText="1"/>
    </xf>
    <xf borderId="72" fillId="12" fontId="30" numFmtId="0" xfId="0" applyAlignment="1" applyBorder="1" applyFont="1">
      <alignment shrinkToFit="0" vertical="bottom" wrapText="1"/>
    </xf>
    <xf borderId="72" fillId="12" fontId="30" numFmtId="0" xfId="0" applyAlignment="1" applyBorder="1" applyFont="1">
      <alignment horizontal="center" readingOrder="0" shrinkToFit="0" vertical="bottom" wrapText="1"/>
    </xf>
    <xf borderId="72" fillId="12" fontId="30" numFmtId="0" xfId="0" applyAlignment="1" applyBorder="1" applyFont="1">
      <alignment readingOrder="0" shrinkToFit="0" vertical="bottom" wrapText="1"/>
    </xf>
    <xf borderId="0" fillId="0" fontId="28" numFmtId="0" xfId="0" applyAlignment="1" applyFont="1">
      <alignment horizontal="right" shrinkToFit="0" vertical="bottom" wrapText="1"/>
    </xf>
    <xf borderId="75" fillId="12" fontId="30" numFmtId="0" xfId="0" applyAlignment="1" applyBorder="1" applyFont="1">
      <alignment vertical="bottom"/>
    </xf>
    <xf borderId="76" fillId="12" fontId="30" numFmtId="0" xfId="0" applyAlignment="1" applyBorder="1" applyFont="1">
      <alignment vertical="bottom"/>
    </xf>
    <xf borderId="77" fillId="12" fontId="30" numFmtId="0" xfId="0" applyAlignment="1" applyBorder="1" applyFont="1">
      <alignment shrinkToFit="0" vertical="bottom" wrapText="1"/>
    </xf>
    <xf borderId="77" fillId="12" fontId="30" numFmtId="0" xfId="0" applyAlignment="1" applyBorder="1" applyFont="1">
      <alignment readingOrder="0" shrinkToFit="0" vertical="bottom" wrapText="1"/>
    </xf>
    <xf borderId="77" fillId="12" fontId="30" numFmtId="0" xfId="0" applyAlignment="1" applyBorder="1" applyFont="1">
      <alignment horizontal="center" readingOrder="0" shrinkToFit="0" vertical="bottom" wrapText="1"/>
    </xf>
    <xf borderId="77" fillId="10" fontId="30" numFmtId="164" xfId="0" applyAlignment="1" applyBorder="1" applyFont="1" applyNumberFormat="1">
      <alignment shrinkToFit="0" vertical="bottom" wrapText="1"/>
    </xf>
    <xf borderId="78" fillId="11" fontId="30" numFmtId="0" xfId="0" applyAlignment="1" applyBorder="1" applyFont="1">
      <alignment shrinkToFit="0" vertical="bottom" wrapText="1"/>
    </xf>
    <xf borderId="65" fillId="0" fontId="32" numFmtId="0" xfId="0" applyAlignment="1" applyBorder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73" fillId="6" fontId="33" numFmtId="0" xfId="0" applyAlignment="1" applyBorder="1" applyFont="1">
      <alignment shrinkToFit="0" vertical="bottom" wrapText="1"/>
    </xf>
    <xf borderId="79" fillId="0" fontId="8" numFmtId="0" xfId="0" applyBorder="1" applyFont="1"/>
    <xf borderId="73" fillId="6" fontId="33" numFmtId="0" xfId="0" applyAlignment="1" applyBorder="1" applyFont="1">
      <alignment readingOrder="0" shrinkToFit="0" vertical="bottom" wrapText="1"/>
    </xf>
    <xf borderId="80" fillId="0" fontId="8" numFmtId="0" xfId="0" applyBorder="1" applyFont="1"/>
    <xf borderId="73" fillId="9" fontId="33" numFmtId="0" xfId="0" applyAlignment="1" applyBorder="1" applyFont="1">
      <alignment shrinkToFit="0" vertical="bottom" wrapText="1"/>
    </xf>
    <xf borderId="73" fillId="13" fontId="33" numFmtId="0" xfId="0" applyAlignment="1" applyBorder="1" applyFill="1" applyFont="1">
      <alignment shrinkToFit="0" vertical="bottom" wrapText="1"/>
    </xf>
    <xf borderId="73" fillId="14" fontId="33" numFmtId="0" xfId="0" applyAlignment="1" applyBorder="1" applyFill="1" applyFont="1">
      <alignment shrinkToFit="0" vertical="bottom" wrapText="1"/>
    </xf>
    <xf borderId="73" fillId="9" fontId="33" numFmtId="0" xfId="0" applyAlignment="1" applyBorder="1" applyFont="1">
      <alignment readingOrder="0" shrinkToFit="0" vertical="bottom" wrapText="1"/>
    </xf>
    <xf borderId="73" fillId="13" fontId="33" numFmtId="0" xfId="0" applyAlignment="1" applyBorder="1" applyFont="1">
      <alignment readingOrder="0" shrinkToFit="0" vertical="bottom" wrapText="1"/>
    </xf>
    <xf borderId="73" fillId="14" fontId="33" numFmtId="0" xfId="0" applyAlignment="1" applyBorder="1" applyFont="1">
      <alignment readingOrder="0" shrinkToFit="0" vertical="bottom" wrapText="1"/>
    </xf>
    <xf borderId="73" fillId="12" fontId="33" numFmtId="0" xfId="0" applyAlignment="1" applyBorder="1" applyFont="1">
      <alignment shrinkToFit="0" vertical="bottom" wrapText="1"/>
    </xf>
    <xf borderId="73" fillId="15" fontId="34" numFmtId="0" xfId="0" applyAlignment="1" applyBorder="1" applyFill="1" applyFont="1">
      <alignment shrinkToFit="0" vertical="bottom" wrapText="1"/>
    </xf>
    <xf borderId="73" fillId="16" fontId="35" numFmtId="0" xfId="0" applyAlignment="1" applyBorder="1" applyFill="1" applyFont="1">
      <alignment horizontal="center" shrinkToFit="0" vertical="center" wrapText="1"/>
    </xf>
    <xf borderId="73" fillId="0" fontId="28" numFmtId="0" xfId="0" applyAlignment="1" applyBorder="1" applyFont="1">
      <alignment shrinkToFit="0" vertical="top" wrapText="1"/>
    </xf>
    <xf borderId="73" fillId="16" fontId="35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wrapText="0"/>
    </xf>
    <xf borderId="65" fillId="6" fontId="37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0" fillId="0" fontId="36" numFmtId="0" xfId="0" applyAlignment="1" applyFont="1">
      <alignment horizontal="left" readingOrder="0" shrinkToFit="0" vertical="center" wrapText="0"/>
    </xf>
    <xf borderId="71" fillId="6" fontId="33" numFmtId="0" xfId="0" applyAlignment="1" applyBorder="1" applyFont="1">
      <alignment readingOrder="0" shrinkToFit="0" vertical="top" wrapText="1"/>
    </xf>
    <xf borderId="81" fillId="0" fontId="8" numFmtId="0" xfId="0" applyBorder="1" applyFont="1"/>
    <xf borderId="82" fillId="0" fontId="8" numFmtId="0" xfId="0" applyBorder="1" applyFont="1"/>
    <xf borderId="83" fillId="4" fontId="38" numFmtId="0" xfId="0" applyAlignment="1" applyBorder="1" applyFont="1">
      <alignment horizontal="right" shrinkToFit="0" vertical="center" wrapText="0"/>
    </xf>
    <xf borderId="84" fillId="4" fontId="38" numFmtId="0" xfId="0" applyAlignment="1" applyBorder="1" applyFont="1">
      <alignment shrinkToFit="0" vertical="center" wrapText="0"/>
    </xf>
    <xf borderId="84" fillId="4" fontId="28" numFmtId="0" xfId="0" applyAlignment="1" applyBorder="1" applyFont="1">
      <alignment shrinkToFit="0" vertical="center" wrapText="0"/>
    </xf>
    <xf borderId="84" fillId="4" fontId="39" numFmtId="0" xfId="0" applyAlignment="1" applyBorder="1" applyFont="1">
      <alignment shrinkToFit="0" vertical="center" wrapText="0"/>
    </xf>
    <xf borderId="84" fillId="4" fontId="38" numFmtId="49" xfId="0" applyAlignment="1" applyBorder="1" applyFont="1" applyNumberFormat="1">
      <alignment shrinkToFit="0" vertical="center" wrapText="0"/>
    </xf>
    <xf borderId="85" fillId="4" fontId="28" numFmtId="0" xfId="0" applyAlignment="1" applyBorder="1" applyFont="1">
      <alignment shrinkToFit="0" vertical="center" wrapText="0"/>
    </xf>
    <xf borderId="75" fillId="0" fontId="8" numFmtId="0" xfId="0" applyBorder="1" applyFont="1"/>
    <xf borderId="86" fillId="0" fontId="8" numFmtId="0" xfId="0" applyBorder="1" applyFont="1"/>
    <xf borderId="87" fillId="17" fontId="38" numFmtId="0" xfId="0" applyAlignment="1" applyBorder="1" applyFill="1" applyFont="1">
      <alignment horizontal="right" shrinkToFit="0" vertical="center" wrapText="0"/>
    </xf>
    <xf borderId="88" fillId="17" fontId="38" numFmtId="0" xfId="0" applyAlignment="1" applyBorder="1" applyFont="1">
      <alignment shrinkToFit="0" vertical="center" wrapText="0"/>
    </xf>
    <xf borderId="88" fillId="17" fontId="28" numFmtId="0" xfId="0" applyAlignment="1" applyBorder="1" applyFont="1">
      <alignment shrinkToFit="0" vertical="center" wrapText="0"/>
    </xf>
    <xf borderId="88" fillId="17" fontId="39" numFmtId="0" xfId="0" applyAlignment="1" applyBorder="1" applyFont="1">
      <alignment shrinkToFit="0" vertical="center" wrapText="0"/>
    </xf>
    <xf borderId="88" fillId="17" fontId="38" numFmtId="49" xfId="0" applyAlignment="1" applyBorder="1" applyFont="1" applyNumberFormat="1">
      <alignment shrinkToFit="0" vertical="center" wrapText="0"/>
    </xf>
    <xf borderId="88" fillId="17" fontId="28" numFmtId="49" xfId="0" applyAlignment="1" applyBorder="1" applyFont="1" applyNumberFormat="1">
      <alignment shrinkToFit="0" vertical="center" wrapText="0"/>
    </xf>
    <xf borderId="89" fillId="17" fontId="28" numFmtId="0" xfId="0" applyAlignment="1" applyBorder="1" applyFont="1">
      <alignment shrinkToFit="0" vertical="center" wrapText="0"/>
    </xf>
    <xf borderId="84" fillId="4" fontId="40" numFmtId="0" xfId="0" applyAlignment="1" applyBorder="1" applyFont="1">
      <alignment shrinkToFit="0" vertical="center" wrapText="0"/>
    </xf>
    <xf borderId="88" fillId="17" fontId="41" numFmtId="0" xfId="0" applyAlignment="1" applyBorder="1" applyFont="1">
      <alignment shrinkToFit="0" vertical="center" wrapText="0"/>
    </xf>
    <xf borderId="88" fillId="17" fontId="38" numFmtId="0" xfId="0" applyAlignment="1" applyBorder="1" applyFont="1">
      <alignment shrinkToFit="0" vertical="center" wrapText="0"/>
    </xf>
    <xf borderId="84" fillId="4" fontId="38" numFmtId="0" xfId="0" applyAlignment="1" applyBorder="1" applyFont="1">
      <alignment shrinkToFit="0" vertical="center" wrapText="0"/>
    </xf>
    <xf borderId="88" fillId="4" fontId="38" numFmtId="0" xfId="0" applyAlignment="1" applyBorder="1" applyFont="1">
      <alignment shrinkToFit="0" vertical="center" wrapText="0"/>
    </xf>
    <xf borderId="88" fillId="4" fontId="42" numFmtId="0" xfId="0" applyAlignment="1" applyBorder="1" applyFont="1">
      <alignment shrinkToFit="0" vertical="center" wrapText="0"/>
    </xf>
    <xf borderId="88" fillId="4" fontId="39" numFmtId="0" xfId="0" applyAlignment="1" applyBorder="1" applyFont="1">
      <alignment shrinkToFit="0" vertical="center" wrapText="0"/>
    </xf>
    <xf borderId="88" fillId="4" fontId="38" numFmtId="49" xfId="0" applyAlignment="1" applyBorder="1" applyFont="1" applyNumberFormat="1">
      <alignment shrinkToFit="0" vertical="center" wrapText="0"/>
    </xf>
    <xf borderId="89" fillId="4" fontId="28" numFmtId="0" xfId="0" applyAlignment="1" applyBorder="1" applyFont="1">
      <alignment shrinkToFit="0" vertical="center" wrapText="0"/>
    </xf>
    <xf borderId="84" fillId="17" fontId="38" numFmtId="0" xfId="0" applyAlignment="1" applyBorder="1" applyFont="1">
      <alignment shrinkToFit="0" vertical="center" wrapText="0"/>
    </xf>
    <xf borderId="84" fillId="17" fontId="43" numFmtId="0" xfId="0" applyAlignment="1" applyBorder="1" applyFont="1">
      <alignment shrinkToFit="0" vertical="center" wrapText="0"/>
    </xf>
    <xf borderId="84" fillId="17" fontId="39" numFmtId="0" xfId="0" applyAlignment="1" applyBorder="1" applyFont="1">
      <alignment shrinkToFit="0" vertical="center" wrapText="0"/>
    </xf>
    <xf borderId="84" fillId="17" fontId="38" numFmtId="49" xfId="0" applyAlignment="1" applyBorder="1" applyFont="1" applyNumberFormat="1">
      <alignment shrinkToFit="0" vertical="center" wrapText="0"/>
    </xf>
    <xf borderId="85" fillId="17" fontId="28" numFmtId="0" xfId="0" applyAlignment="1" applyBorder="1" applyFont="1">
      <alignment shrinkToFit="0" vertical="center" wrapText="0"/>
    </xf>
    <xf borderId="84" fillId="4" fontId="28" numFmtId="49" xfId="0" applyAlignment="1" applyBorder="1" applyFont="1" applyNumberFormat="1">
      <alignment shrinkToFit="0" vertical="center" wrapText="0"/>
    </xf>
    <xf borderId="76" fillId="0" fontId="8" numFmtId="0" xfId="0" applyBorder="1" applyFont="1"/>
    <xf borderId="90" fillId="0" fontId="8" numFmtId="0" xfId="0" applyBorder="1" applyFont="1"/>
    <xf borderId="91" fillId="0" fontId="8" numFmtId="0" xfId="0" applyBorder="1" applyFont="1"/>
    <xf borderId="65" fillId="6" fontId="44" numFmtId="0" xfId="0" applyAlignment="1" applyBorder="1" applyFont="1">
      <alignment horizontal="center" vertical="bottom"/>
    </xf>
    <xf borderId="92" fillId="4" fontId="38" numFmtId="0" xfId="0" applyAlignment="1" applyBorder="1" applyFont="1">
      <alignment shrinkToFit="0" vertical="center" wrapText="0"/>
    </xf>
    <xf borderId="92" fillId="4" fontId="45" numFmtId="0" xfId="0" applyAlignment="1" applyBorder="1" applyFont="1">
      <alignment shrinkToFit="0" vertical="center" wrapText="0"/>
    </xf>
    <xf borderId="92" fillId="4" fontId="39" numFmtId="0" xfId="0" applyAlignment="1" applyBorder="1" applyFont="1">
      <alignment shrinkToFit="0" vertical="center" wrapText="0"/>
    </xf>
    <xf borderId="92" fillId="4" fontId="38" numFmtId="49" xfId="0" applyAlignment="1" applyBorder="1" applyFont="1" applyNumberFormat="1">
      <alignment shrinkToFit="0" vertical="center" wrapText="0"/>
    </xf>
    <xf borderId="93" fillId="4" fontId="28" numFmtId="0" xfId="0" applyAlignment="1" applyBorder="1" applyFont="1">
      <alignment shrinkToFit="0" vertical="center" wrapText="0"/>
    </xf>
    <xf borderId="71" fillId="6" fontId="46" numFmtId="0" xfId="0" applyAlignment="1" applyBorder="1" applyFont="1">
      <alignment shrinkToFit="0" vertical="top" wrapText="1"/>
    </xf>
    <xf borderId="88" fillId="17" fontId="38" numFmtId="0" xfId="0" applyAlignment="1" applyBorder="1" applyFont="1">
      <alignment shrinkToFit="0" vertical="bottom" wrapText="0"/>
    </xf>
    <xf borderId="88" fillId="17" fontId="28" numFmtId="0" xfId="0" applyAlignment="1" applyBorder="1" applyFont="1">
      <alignment shrinkToFit="0" vertical="bottom" wrapText="0"/>
    </xf>
    <xf borderId="88" fillId="17" fontId="39" numFmtId="0" xfId="0" applyAlignment="1" applyBorder="1" applyFont="1">
      <alignment shrinkToFit="0" vertical="bottom" wrapText="0"/>
    </xf>
    <xf borderId="88" fillId="17" fontId="28" numFmtId="49" xfId="0" applyAlignment="1" applyBorder="1" applyFont="1" applyNumberFormat="1">
      <alignment shrinkToFit="0" vertical="bottom" wrapText="0"/>
    </xf>
    <xf borderId="89" fillId="17" fontId="28" numFmtId="0" xfId="0" applyAlignment="1" applyBorder="1" applyFont="1">
      <alignment shrinkToFit="0" vertical="bottom" wrapText="0"/>
    </xf>
    <xf borderId="94" fillId="4" fontId="38" numFmtId="0" xfId="0" applyAlignment="1" applyBorder="1" applyFont="1">
      <alignment shrinkToFit="0" vertical="bottom" wrapText="0"/>
    </xf>
    <xf borderId="94" fillId="4" fontId="28" numFmtId="0" xfId="0" applyAlignment="1" applyBorder="1" applyFont="1">
      <alignment shrinkToFit="0" vertical="bottom" wrapText="0"/>
    </xf>
    <xf borderId="94" fillId="4" fontId="39" numFmtId="0" xfId="0" applyAlignment="1" applyBorder="1" applyFont="1">
      <alignment shrinkToFit="0" vertical="bottom" wrapText="0"/>
    </xf>
    <xf borderId="94" fillId="4" fontId="28" numFmtId="49" xfId="0" applyAlignment="1" applyBorder="1" applyFont="1" applyNumberFormat="1">
      <alignment shrinkToFit="0" vertical="bottom" wrapText="0"/>
    </xf>
    <xf borderId="95" fillId="4" fontId="28" numFmtId="0" xfId="0" applyAlignment="1" applyBorder="1" applyFont="1">
      <alignment shrinkToFit="0" vertical="bottom" wrapText="0"/>
    </xf>
    <xf borderId="0" fillId="4" fontId="28" numFmtId="0" xfId="0" applyAlignment="1" applyFont="1">
      <alignment shrinkToFit="0" vertical="top" wrapText="1"/>
    </xf>
    <xf borderId="73" fillId="9" fontId="44" numFmtId="0" xfId="0" applyAlignment="1" applyBorder="1" applyFont="1">
      <alignment vertical="bottom"/>
    </xf>
    <xf borderId="78" fillId="9" fontId="33" numFmtId="0" xfId="0" applyAlignment="1" applyBorder="1" applyFont="1">
      <alignment shrinkToFit="0" vertical="top" wrapText="1"/>
    </xf>
    <xf borderId="96" fillId="0" fontId="8" numFmtId="0" xfId="0" applyBorder="1" applyFont="1"/>
    <xf borderId="97" fillId="0" fontId="8" numFmtId="0" xfId="0" applyBorder="1" applyFont="1"/>
    <xf borderId="98" fillId="4" fontId="28" numFmtId="0" xfId="0" applyAlignment="1" applyBorder="1" applyFont="1">
      <alignment readingOrder="0" shrinkToFit="0" vertical="center" wrapText="0"/>
    </xf>
    <xf borderId="99" fillId="4" fontId="28" numFmtId="0" xfId="0" applyAlignment="1" applyBorder="1" applyFont="1">
      <alignment shrinkToFit="0" vertical="center" wrapText="0"/>
    </xf>
    <xf borderId="100" fillId="0" fontId="8" numFmtId="0" xfId="0" applyBorder="1" applyFont="1"/>
    <xf borderId="101" fillId="0" fontId="8" numFmtId="0" xfId="0" applyBorder="1" applyFont="1"/>
    <xf borderId="102" fillId="17" fontId="28" numFmtId="0" xfId="0" applyAlignment="1" applyBorder="1" applyFont="1">
      <alignment readingOrder="0" shrinkToFit="0" vertical="center" wrapText="0"/>
    </xf>
    <xf borderId="103" fillId="17" fontId="28" numFmtId="0" xfId="0" applyAlignment="1" applyBorder="1" applyFont="1">
      <alignment shrinkToFit="0" vertical="center" wrapText="0"/>
    </xf>
    <xf borderId="84" fillId="4" fontId="28" numFmtId="0" xfId="0" applyAlignment="1" applyBorder="1" applyFont="1">
      <alignment shrinkToFit="0" vertical="center" wrapText="0"/>
    </xf>
    <xf borderId="84" fillId="17" fontId="28" numFmtId="0" xfId="0" applyAlignment="1" applyBorder="1" applyFont="1">
      <alignment shrinkToFit="0" vertical="center" wrapText="0"/>
    </xf>
    <xf borderId="84" fillId="4" fontId="47" numFmtId="0" xfId="0" applyAlignment="1" applyBorder="1" applyFont="1">
      <alignment shrinkToFit="0" vertical="center" wrapText="0"/>
    </xf>
    <xf borderId="84" fillId="17" fontId="47" numFmtId="49" xfId="0" applyAlignment="1" applyBorder="1" applyFont="1" applyNumberFormat="1">
      <alignment shrinkToFit="0" vertical="center" wrapText="0"/>
    </xf>
    <xf borderId="84" fillId="17" fontId="28" numFmtId="49" xfId="0" applyAlignment="1" applyBorder="1" applyFont="1" applyNumberFormat="1">
      <alignment shrinkToFit="0" vertical="center" wrapText="0"/>
    </xf>
    <xf borderId="88" fillId="4" fontId="28" numFmtId="0" xfId="0" applyAlignment="1" applyBorder="1" applyFont="1">
      <alignment shrinkToFit="0" vertical="center" wrapText="0"/>
    </xf>
    <xf borderId="84" fillId="17" fontId="28" numFmtId="0" xfId="0" applyAlignment="1" applyBorder="1" applyFont="1">
      <alignment shrinkToFit="0" vertical="center" wrapText="0"/>
    </xf>
    <xf borderId="104" fillId="0" fontId="8" numFmtId="0" xfId="0" applyBorder="1" applyFont="1"/>
    <xf borderId="105" fillId="0" fontId="8" numFmtId="0" xfId="0" applyBorder="1" applyFont="1"/>
    <xf borderId="106" fillId="0" fontId="8" numFmtId="0" xfId="0" applyBorder="1" applyFont="1"/>
    <xf borderId="107" fillId="4" fontId="38" numFmtId="0" xfId="0" applyAlignment="1" applyBorder="1" applyFont="1">
      <alignment shrinkToFit="0" vertical="center" wrapText="0"/>
    </xf>
    <xf borderId="107" fillId="4" fontId="48" numFmtId="0" xfId="0" applyAlignment="1" applyBorder="1" applyFont="1">
      <alignment shrinkToFit="0" vertical="center" wrapText="0"/>
    </xf>
    <xf borderId="107" fillId="4" fontId="28" numFmtId="0" xfId="0" applyAlignment="1" applyBorder="1" applyFont="1">
      <alignment shrinkToFit="0" vertical="center" wrapText="0"/>
    </xf>
    <xf borderId="107" fillId="4" fontId="38" numFmtId="49" xfId="0" applyAlignment="1" applyBorder="1" applyFont="1" applyNumberFormat="1">
      <alignment shrinkToFit="0" vertical="center" wrapText="0"/>
    </xf>
    <xf borderId="108" fillId="4" fontId="28" numFmtId="0" xfId="0" applyAlignment="1" applyBorder="1" applyFont="1">
      <alignment shrinkToFit="0" vertical="center" wrapText="0"/>
    </xf>
    <xf borderId="107" fillId="17" fontId="38" numFmtId="0" xfId="0" applyAlignment="1" applyBorder="1" applyFont="1">
      <alignment shrinkToFit="0" vertical="center" wrapText="0"/>
    </xf>
    <xf borderId="107" fillId="17" fontId="49" numFmtId="0" xfId="0" applyAlignment="1" applyBorder="1" applyFont="1">
      <alignment shrinkToFit="0" vertical="center" wrapText="0"/>
    </xf>
    <xf borderId="107" fillId="17" fontId="28" numFmtId="0" xfId="0" applyAlignment="1" applyBorder="1" applyFont="1">
      <alignment shrinkToFit="0" vertical="center" wrapText="0"/>
    </xf>
    <xf borderId="107" fillId="17" fontId="38" numFmtId="49" xfId="0" applyAlignment="1" applyBorder="1" applyFont="1" applyNumberFormat="1">
      <alignment shrinkToFit="0" vertical="center" wrapText="0"/>
    </xf>
    <xf borderId="108" fillId="17" fontId="28" numFmtId="0" xfId="0" applyAlignment="1" applyBorder="1" applyFont="1">
      <alignment shrinkToFit="0" vertical="center" wrapText="0"/>
    </xf>
    <xf borderId="109" fillId="9" fontId="28" numFmtId="0" xfId="0" applyAlignment="1" applyBorder="1" applyFont="1">
      <alignment shrinkToFit="0" vertical="bottom" wrapText="1"/>
    </xf>
    <xf borderId="65" fillId="9" fontId="44" numFmtId="0" xfId="0" applyAlignment="1" applyBorder="1" applyFont="1">
      <alignment horizontal="center" shrinkToFit="0" vertical="bottom" wrapText="1"/>
    </xf>
    <xf borderId="110" fillId="17" fontId="38" numFmtId="0" xfId="0" applyAlignment="1" applyBorder="1" applyFont="1">
      <alignment shrinkToFit="0" vertical="center" wrapText="0"/>
    </xf>
    <xf borderId="110" fillId="17" fontId="50" numFmtId="0" xfId="0" applyAlignment="1" applyBorder="1" applyFont="1">
      <alignment shrinkToFit="0" vertical="center" wrapText="0"/>
    </xf>
    <xf borderId="110" fillId="17" fontId="28" numFmtId="0" xfId="0" applyAlignment="1" applyBorder="1" applyFont="1">
      <alignment shrinkToFit="0" vertical="center" wrapText="0"/>
    </xf>
    <xf borderId="110" fillId="17" fontId="38" numFmtId="49" xfId="0" applyAlignment="1" applyBorder="1" applyFont="1" applyNumberFormat="1">
      <alignment shrinkToFit="0" vertical="center" wrapText="0"/>
    </xf>
    <xf borderId="111" fillId="17" fontId="28" numFmtId="0" xfId="0" applyAlignment="1" applyBorder="1" applyFont="1">
      <alignment shrinkToFit="0" vertical="center" wrapText="0"/>
    </xf>
    <xf borderId="71" fillId="9" fontId="28" numFmtId="0" xfId="0" applyAlignment="1" applyBorder="1" applyFont="1">
      <alignment shrinkToFit="0" vertical="top" wrapText="1"/>
    </xf>
    <xf borderId="65" fillId="14" fontId="28" numFmtId="0" xfId="0" applyAlignment="1" applyBorder="1" applyFont="1">
      <alignment vertical="bottom"/>
    </xf>
    <xf borderId="71" fillId="14" fontId="28" numFmtId="0" xfId="0" applyAlignment="1" applyBorder="1" applyFont="1">
      <alignment shrinkToFit="0" vertical="top" wrapText="1"/>
    </xf>
    <xf borderId="112" fillId="4" fontId="38" numFmtId="0" xfId="0" applyAlignment="1" applyBorder="1" applyFont="1">
      <alignment horizontal="right" shrinkToFit="0" vertical="center" wrapText="0"/>
    </xf>
    <xf borderId="113" fillId="4" fontId="28" numFmtId="0" xfId="0" applyAlignment="1" applyBorder="1" applyFont="1">
      <alignment shrinkToFit="0" vertical="center" wrapText="0"/>
    </xf>
    <xf borderId="114" fillId="17" fontId="38" numFmtId="0" xfId="0" applyAlignment="1" applyBorder="1" applyFont="1">
      <alignment horizontal="right" shrinkToFit="0" vertical="center" wrapText="0"/>
    </xf>
    <xf borderId="115" fillId="17" fontId="28" numFmtId="0" xfId="0" applyAlignment="1" applyBorder="1" applyFont="1">
      <alignment shrinkToFit="0" vertical="center" wrapText="0"/>
    </xf>
    <xf borderId="115" fillId="4" fontId="28" numFmtId="0" xfId="0" applyAlignment="1" applyBorder="1" applyFont="1">
      <alignment shrinkToFit="0" vertical="center" wrapText="0"/>
    </xf>
    <xf borderId="113" fillId="17" fontId="28" numFmtId="0" xfId="0" applyAlignment="1" applyBorder="1" applyFont="1">
      <alignment shrinkToFit="0" vertical="center" wrapText="0"/>
    </xf>
    <xf borderId="107" fillId="17" fontId="39" numFmtId="0" xfId="0" applyAlignment="1" applyBorder="1" applyFont="1">
      <alignment shrinkToFit="0" vertical="center" wrapText="0"/>
    </xf>
    <xf borderId="116" fillId="17" fontId="28" numFmtId="0" xfId="0" applyAlignment="1" applyBorder="1" applyFont="1">
      <alignment shrinkToFit="0" vertical="center" wrapText="0"/>
    </xf>
    <xf borderId="107" fillId="4" fontId="39" numFmtId="0" xfId="0" applyAlignment="1" applyBorder="1" applyFont="1">
      <alignment shrinkToFit="0" vertical="center" wrapText="0"/>
    </xf>
    <xf borderId="116" fillId="4" fontId="28" numFmtId="0" xfId="0" applyAlignment="1" applyBorder="1" applyFont="1">
      <alignment shrinkToFit="0" vertical="center" wrapText="0"/>
    </xf>
    <xf borderId="117" fillId="17" fontId="38" numFmtId="0" xfId="0" applyAlignment="1" applyBorder="1" applyFont="1">
      <alignment shrinkToFit="0" vertical="center" wrapText="0"/>
    </xf>
    <xf borderId="117" fillId="17" fontId="51" numFmtId="0" xfId="0" applyAlignment="1" applyBorder="1" applyFont="1">
      <alignment shrinkToFit="0" vertical="center" wrapText="0"/>
    </xf>
    <xf borderId="117" fillId="17" fontId="39" numFmtId="0" xfId="0" applyAlignment="1" applyBorder="1" applyFont="1">
      <alignment shrinkToFit="0" vertical="center" wrapText="0"/>
    </xf>
    <xf borderId="117" fillId="17" fontId="38" numFmtId="49" xfId="0" applyAlignment="1" applyBorder="1" applyFont="1" applyNumberFormat="1">
      <alignment shrinkToFit="0" vertical="center" wrapText="0"/>
    </xf>
    <xf borderId="118" fillId="17" fontId="28" numFmtId="0" xfId="0" applyAlignment="1" applyBorder="1" applyFont="1">
      <alignment shrinkToFit="0" vertical="center" wrapText="0"/>
    </xf>
    <xf borderId="109" fillId="13" fontId="28" numFmtId="0" xfId="0" applyAlignment="1" applyBorder="1" applyFont="1">
      <alignment vertical="bottom"/>
    </xf>
    <xf borderId="65" fillId="13" fontId="44" numFmtId="0" xfId="0" applyAlignment="1" applyBorder="1" applyFont="1">
      <alignment horizontal="center" vertical="bottom"/>
    </xf>
    <xf borderId="71" fillId="13" fontId="28" numFmtId="0" xfId="0" applyAlignment="1" applyBorder="1" applyFont="1">
      <alignment shrinkToFit="0" vertical="top" wrapText="1"/>
    </xf>
    <xf borderId="73" fillId="18" fontId="28" numFmtId="0" xfId="0" applyAlignment="1" applyBorder="1" applyFill="1" applyFont="1">
      <alignment vertical="bottom"/>
    </xf>
    <xf borderId="78" fillId="18" fontId="28" numFmtId="0" xfId="0" applyAlignment="1" applyBorder="1" applyFont="1">
      <alignment shrinkToFit="0" vertical="top" wrapText="1"/>
    </xf>
    <xf borderId="114" fillId="17" fontId="28" numFmtId="0" xfId="0" applyAlignment="1" applyBorder="1" applyFont="1">
      <alignment readingOrder="0" shrinkToFit="0" vertical="center" wrapText="0"/>
    </xf>
    <xf borderId="88" fillId="17" fontId="28" numFmtId="0" xfId="0" applyAlignment="1" applyBorder="1" applyFont="1">
      <alignment shrinkToFit="0" vertical="center" wrapText="0"/>
    </xf>
    <xf borderId="88" fillId="4" fontId="38" numFmtId="0" xfId="0" applyAlignment="1" applyBorder="1" applyFont="1">
      <alignment shrinkToFit="0" vertical="center" wrapText="0"/>
    </xf>
    <xf borderId="107" fillId="4" fontId="28" numFmtId="49" xfId="0" applyAlignment="1" applyBorder="1" applyFont="1" applyNumberFormat="1">
      <alignment shrinkToFit="0" vertical="center" wrapText="0"/>
    </xf>
    <xf borderId="119" fillId="4" fontId="39" numFmtId="0" xfId="0" applyAlignment="1" applyBorder="1" applyFont="1">
      <alignment shrinkToFit="0" vertical="center" wrapText="0"/>
    </xf>
    <xf borderId="120" fillId="17" fontId="38" numFmtId="0" xfId="0" applyAlignment="1" applyBorder="1" applyFont="1">
      <alignment shrinkToFit="0" vertical="center" wrapText="0"/>
    </xf>
    <xf borderId="121" fillId="17" fontId="28" numFmtId="0" xfId="0" applyAlignment="1" applyBorder="1" applyFont="1">
      <alignment shrinkToFit="0" vertical="center" wrapText="0"/>
    </xf>
    <xf borderId="122" fillId="17" fontId="28" numFmtId="49" xfId="0" applyAlignment="1" applyBorder="1" applyFont="1" applyNumberFormat="1">
      <alignment shrinkToFit="0" vertical="center" wrapText="0"/>
    </xf>
    <xf borderId="120" fillId="17" fontId="28" numFmtId="0" xfId="0" applyAlignment="1" applyBorder="1" applyFont="1">
      <alignment shrinkToFit="0" vertical="center" wrapText="0"/>
    </xf>
    <xf borderId="123" fillId="17" fontId="28" numFmtId="0" xfId="0" applyAlignment="1" applyBorder="1" applyFont="1">
      <alignment shrinkToFit="0" vertical="center" wrapText="0"/>
    </xf>
    <xf borderId="124" fillId="4" fontId="38" numFmtId="0" xfId="0" applyAlignment="1" applyBorder="1" applyFont="1">
      <alignment shrinkToFit="0" vertical="center" wrapText="0"/>
    </xf>
    <xf borderId="124" fillId="4" fontId="52" numFmtId="0" xfId="0" applyAlignment="1" applyBorder="1" applyFont="1">
      <alignment shrinkToFit="0" vertical="center" wrapText="0"/>
    </xf>
    <xf borderId="125" fillId="4" fontId="39" numFmtId="0" xfId="0" applyAlignment="1" applyBorder="1" applyFont="1">
      <alignment shrinkToFit="0" vertical="center" wrapText="0"/>
    </xf>
    <xf borderId="124" fillId="4" fontId="38" numFmtId="49" xfId="0" applyAlignment="1" applyBorder="1" applyFont="1" applyNumberFormat="1">
      <alignment shrinkToFit="0" vertical="center" wrapText="0"/>
    </xf>
    <xf borderId="126" fillId="4" fontId="28" numFmtId="0" xfId="0" applyAlignment="1" applyBorder="1" applyFont="1">
      <alignment shrinkToFit="0" vertical="center" wrapText="0"/>
    </xf>
    <xf borderId="109" fillId="18" fontId="28" numFmtId="0" xfId="0" applyAlignment="1" applyBorder="1" applyFont="1">
      <alignment vertical="bottom"/>
    </xf>
    <xf borderId="65" fillId="18" fontId="44" numFmtId="0" xfId="0" applyAlignment="1" applyBorder="1" applyFont="1">
      <alignment horizontal="center" vertical="bottom"/>
    </xf>
    <xf borderId="71" fillId="18" fontId="28" numFmtId="0" xfId="0" applyAlignment="1" applyBorder="1" applyFont="1">
      <alignment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4" fillId="3" fontId="9" numFmtId="0" xfId="0" applyAlignment="1" applyBorder="1" applyFont="1">
      <alignment horizontal="center" shrinkToFit="0" vertical="top" wrapText="1"/>
    </xf>
    <xf borderId="0" fillId="4" fontId="28" numFmtId="0" xfId="0" applyAlignment="1" applyFont="1">
      <alignment vertical="top"/>
    </xf>
    <xf borderId="9" fillId="3" fontId="53" numFmtId="0" xfId="0" applyAlignment="1" applyBorder="1" applyFont="1">
      <alignment horizontal="center" shrinkToFit="0" vertical="top" wrapText="1"/>
    </xf>
    <xf borderId="0" fillId="2" fontId="1" numFmtId="0" xfId="0" applyAlignment="1" applyFont="1">
      <alignment horizontal="left" readingOrder="0" shrinkToFit="0" wrapText="1"/>
    </xf>
    <xf borderId="6" fillId="3" fontId="9" numFmtId="0" xfId="0" applyAlignment="1" applyBorder="1" applyFont="1">
      <alignment horizontal="left" readingOrder="0" shrinkToFit="0" vertical="top" wrapText="1"/>
    </xf>
    <xf borderId="1" fillId="2" fontId="21" numFmtId="0" xfId="0" applyAlignment="1" applyBorder="1" applyFont="1">
      <alignment horizontal="center" readingOrder="0" shrinkToFit="0" vertical="center" wrapText="1"/>
    </xf>
    <xf borderId="2" fillId="2" fontId="21" numFmtId="0" xfId="0" applyAlignment="1" applyBorder="1" applyFont="1">
      <alignment horizontal="center" readingOrder="0" shrinkToFit="0" vertical="center" wrapText="1"/>
    </xf>
    <xf borderId="127" fillId="0" fontId="8" numFmtId="0" xfId="0" applyBorder="1" applyFont="1"/>
    <xf borderId="128" fillId="0" fontId="8" numFmtId="0" xfId="0" applyBorder="1" applyFont="1"/>
    <xf borderId="129" fillId="6" fontId="23" numFmtId="0" xfId="0" applyAlignment="1" applyBorder="1" applyFont="1">
      <alignment horizontal="center" readingOrder="0" shrinkToFit="0" vertical="center" wrapText="1"/>
    </xf>
    <xf borderId="130" fillId="6" fontId="23" numFmtId="0" xfId="0" applyAlignment="1" applyBorder="1" applyFont="1">
      <alignment horizontal="left" readingOrder="0" shrinkToFit="0" vertical="center" wrapText="1"/>
    </xf>
    <xf borderId="131" fillId="0" fontId="8" numFmtId="0" xfId="0" applyBorder="1" applyFont="1"/>
    <xf borderId="25" fillId="6" fontId="23" numFmtId="0" xfId="0" applyAlignment="1" applyBorder="1" applyFont="1">
      <alignment horizontal="left" readingOrder="0" shrinkToFit="0" vertical="center" wrapText="1"/>
    </xf>
    <xf borderId="132" fillId="6" fontId="23" numFmtId="0" xfId="0" applyAlignment="1" applyBorder="1" applyFont="1">
      <alignment horizontal="left" readingOrder="0" shrinkToFit="0" vertical="center" wrapText="1"/>
    </xf>
    <xf borderId="129" fillId="4" fontId="23" numFmtId="0" xfId="0" applyAlignment="1" applyBorder="1" applyFont="1">
      <alignment horizontal="center" readingOrder="0" shrinkToFit="0" vertical="center" wrapText="1"/>
    </xf>
    <xf borderId="130" fillId="4" fontId="23" numFmtId="0" xfId="0" applyAlignment="1" applyBorder="1" applyFont="1">
      <alignment horizontal="left" readingOrder="0" shrinkToFit="0" vertical="center" wrapText="1"/>
    </xf>
    <xf borderId="25" fillId="4" fontId="23" numFmtId="0" xfId="0" applyAlignment="1" applyBorder="1" applyFont="1">
      <alignment horizontal="left" readingOrder="0" shrinkToFit="0" vertical="center" wrapText="1"/>
    </xf>
    <xf borderId="132" fillId="4" fontId="23" numFmtId="0" xfId="0" applyAlignment="1" applyBorder="1" applyFont="1">
      <alignment horizontal="left" readingOrder="0" shrinkToFit="0" vertical="center" wrapText="1"/>
    </xf>
    <xf borderId="129" fillId="0" fontId="23" numFmtId="0" xfId="0" applyAlignment="1" applyBorder="1" applyFont="1">
      <alignment horizontal="center" readingOrder="0" shrinkToFit="0" vertical="center" wrapText="1"/>
    </xf>
    <xf borderId="130" fillId="0" fontId="23" numFmtId="0" xfId="0" applyAlignment="1" applyBorder="1" applyFont="1">
      <alignment horizontal="left" readingOrder="0" shrinkToFit="0" vertical="center" wrapText="1"/>
    </xf>
    <xf borderId="25" fillId="0" fontId="23" numFmtId="0" xfId="0" applyAlignment="1" applyBorder="1" applyFont="1">
      <alignment horizontal="left" readingOrder="0" shrinkToFit="0" vertical="center" wrapText="1"/>
    </xf>
    <xf borderId="132" fillId="0" fontId="23" numFmtId="0" xfId="0" applyAlignment="1" applyBorder="1" applyFont="1">
      <alignment horizontal="left" readingOrder="0" shrinkToFit="0" vertical="center" wrapText="1"/>
    </xf>
    <xf borderId="133" fillId="0" fontId="23" numFmtId="0" xfId="0" applyAlignment="1" applyBorder="1" applyFont="1">
      <alignment horizontal="center" readingOrder="0" shrinkToFit="0" vertical="center" wrapText="1"/>
    </xf>
    <xf borderId="134" fillId="0" fontId="23" numFmtId="0" xfId="0" applyAlignment="1" applyBorder="1" applyFont="1">
      <alignment horizontal="left" readingOrder="0" shrinkToFit="0" vertical="center" wrapText="1"/>
    </xf>
    <xf borderId="135" fillId="0" fontId="8" numFmtId="0" xfId="0" applyBorder="1" applyFont="1"/>
    <xf borderId="136" fillId="0" fontId="8" numFmtId="0" xfId="0" applyBorder="1" applyFont="1"/>
    <xf borderId="136" fillId="0" fontId="23" numFmtId="0" xfId="0" applyAlignment="1" applyBorder="1" applyFont="1">
      <alignment horizontal="left" readingOrder="0" shrinkToFit="0" vertical="center" wrapText="1"/>
    </xf>
    <xf borderId="137" fillId="0" fontId="23" numFmtId="0" xfId="0" applyAlignment="1" applyBorder="1" applyFont="1">
      <alignment horizontal="left" readingOrder="0" shrinkToFit="0" vertical="center" wrapText="1"/>
    </xf>
    <xf borderId="138" fillId="0" fontId="8" numFmtId="0" xfId="0" applyBorder="1" applyFont="1"/>
    <xf borderId="139" fillId="6" fontId="23" numFmtId="0" xfId="0" applyAlignment="1" applyBorder="1" applyFont="1">
      <alignment horizontal="left" readingOrder="0" shrinkToFit="0" vertical="center" wrapText="1"/>
    </xf>
    <xf borderId="49" fillId="6" fontId="23" numFmtId="0" xfId="0" applyAlignment="1" applyBorder="1" applyFont="1">
      <alignment horizontal="left" readingOrder="0" shrinkToFit="0" vertical="center" wrapText="1"/>
    </xf>
    <xf borderId="140" fillId="0" fontId="8" numFmtId="0" xfId="0" applyBorder="1" applyFont="1"/>
    <xf borderId="0" fillId="4" fontId="54" numFmtId="0" xfId="0" applyAlignment="1" applyFont="1">
      <alignment horizontal="center" shrinkToFit="0" vertical="top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readingOrder="0" shrinkToFit="0" wrapText="1"/>
    </xf>
    <xf borderId="2" fillId="2" fontId="21" numFmtId="0" xfId="0" applyAlignment="1" applyBorder="1" applyFont="1">
      <alignment readingOrder="0" shrinkToFit="0" wrapText="1"/>
    </xf>
    <xf borderId="2" fillId="2" fontId="21" numFmtId="0" xfId="0" applyAlignment="1" applyBorder="1" applyFont="1">
      <alignment readingOrder="0" shrinkToFit="0" vertical="bottom" wrapText="1"/>
    </xf>
    <xf borderId="129" fillId="6" fontId="23" numFmtId="0" xfId="0" applyAlignment="1" applyBorder="1" applyFont="1">
      <alignment horizontal="left" readingOrder="0" shrinkToFit="0" vertical="center" wrapText="1"/>
    </xf>
    <xf borderId="129" fillId="0" fontId="23" numFmtId="0" xfId="0" applyAlignment="1" applyBorder="1" applyFont="1">
      <alignment horizontal="left" readingOrder="0" shrinkToFit="0" vertical="center" wrapText="1"/>
    </xf>
    <xf borderId="129" fillId="4" fontId="23" numFmtId="0" xfId="0" applyAlignment="1" applyBorder="1" applyFont="1">
      <alignment horizontal="left" readingOrder="0" shrinkToFit="0" vertical="center" wrapText="1"/>
    </xf>
    <xf borderId="134" fillId="4" fontId="23" numFmtId="0" xfId="0" applyAlignment="1" applyBorder="1" applyFont="1">
      <alignment horizontal="left" readingOrder="0" shrinkToFit="0" vertical="center" wrapText="1"/>
    </xf>
    <xf borderId="136" fillId="4" fontId="23" numFmtId="0" xfId="0" applyAlignment="1" applyBorder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/>
    </xf>
    <xf borderId="0" fillId="4" fontId="26" numFmtId="0" xfId="0" applyAlignment="1" applyFont="1">
      <alignment horizontal="center" readingOrder="0"/>
    </xf>
    <xf borderId="0" fillId="4" fontId="25" numFmtId="0" xfId="0" applyAlignment="1" applyFont="1">
      <alignment horizontal="right" readingOrder="0" vertical="top"/>
    </xf>
    <xf borderId="0" fillId="4" fontId="25" numFmtId="0" xfId="0" applyAlignment="1" applyFont="1">
      <alignment readingOrder="0" vertical="top"/>
    </xf>
    <xf borderId="1" fillId="0" fontId="20" numFmtId="0" xfId="0" applyAlignment="1" applyBorder="1" applyFont="1">
      <alignment readingOrder="0" shrinkToFit="0" vertical="center" wrapText="1"/>
    </xf>
    <xf borderId="141" fillId="6" fontId="23" numFmtId="0" xfId="0" applyAlignment="1" applyBorder="1" applyFont="1">
      <alignment horizontal="left" readingOrder="0" shrinkToFit="0" vertical="center" wrapText="1"/>
    </xf>
    <xf borderId="142" fillId="6" fontId="23" numFmtId="0" xfId="0" applyAlignment="1" applyBorder="1" applyFont="1">
      <alignment horizontal="left" readingOrder="0" shrinkToFit="0" vertical="center" wrapText="1"/>
    </xf>
    <xf borderId="143" fillId="0" fontId="8" numFmtId="0" xfId="0" applyBorder="1" applyFont="1"/>
    <xf borderId="144" fillId="0" fontId="8" numFmtId="0" xfId="0" applyBorder="1" applyFont="1"/>
    <xf borderId="145" fillId="0" fontId="8" numFmtId="0" xfId="0" applyBorder="1" applyFont="1"/>
    <xf borderId="146" fillId="6" fontId="23" numFmtId="0" xfId="0" applyAlignment="1" applyBorder="1" applyFont="1">
      <alignment horizontal="left" readingOrder="0" shrinkToFit="0" vertical="center" wrapText="1"/>
    </xf>
    <xf borderId="147" fillId="6" fontId="23" numFmtId="0" xfId="0" applyAlignment="1" applyBorder="1" applyFont="1">
      <alignment horizontal="left" readingOrder="0" shrinkToFit="0" vertical="center" wrapText="1"/>
    </xf>
    <xf borderId="148" fillId="0" fontId="8" numFmtId="0" xfId="0" applyBorder="1" applyFont="1"/>
    <xf borderId="149" fillId="0" fontId="8" numFmtId="0" xfId="0" applyBorder="1" applyFont="1"/>
    <xf borderId="150" fillId="0" fontId="8" numFmtId="0" xfId="0" applyBorder="1" applyFont="1"/>
    <xf borderId="151" fillId="6" fontId="23" numFmtId="0" xfId="0" applyAlignment="1" applyBorder="1" applyFont="1">
      <alignment horizontal="left" readingOrder="0" shrinkToFit="0" vertical="center" wrapText="1"/>
    </xf>
    <xf borderId="152" fillId="6" fontId="23" numFmtId="0" xfId="0" applyAlignment="1" applyBorder="1" applyFont="1">
      <alignment horizontal="left" readingOrder="0" shrinkToFit="0" vertical="center" wrapText="1"/>
    </xf>
    <xf borderId="153" fillId="0" fontId="8" numFmtId="0" xfId="0" applyBorder="1" applyFont="1"/>
    <xf borderId="154" fillId="0" fontId="8" numFmtId="0" xfId="0" applyBorder="1" applyFont="1"/>
    <xf borderId="155" fillId="0" fontId="8" numFmtId="0" xfId="0" applyBorder="1" applyFont="1"/>
    <xf borderId="156" fillId="6" fontId="23" numFmtId="0" xfId="0" applyAlignment="1" applyBorder="1" applyFont="1">
      <alignment horizontal="left" readingOrder="0" shrinkToFit="0" vertical="center" wrapText="1"/>
    </xf>
    <xf borderId="157" fillId="6" fontId="23" numFmtId="0" xfId="0" applyAlignment="1" applyBorder="1" applyFont="1">
      <alignment horizontal="left" readingOrder="0" shrinkToFit="0" vertical="center" wrapText="1"/>
    </xf>
    <xf borderId="158" fillId="0" fontId="8" numFmtId="0" xfId="0" applyBorder="1" applyFont="1"/>
    <xf borderId="159" fillId="0" fontId="8" numFmtId="0" xfId="0" applyBorder="1" applyFont="1"/>
    <xf borderId="160" fillId="0" fontId="8" numFmtId="0" xfId="0" applyBorder="1" applyFont="1"/>
    <xf borderId="43" fillId="2" fontId="55" numFmtId="0" xfId="0" applyAlignment="1" applyBorder="1" applyFont="1">
      <alignment readingOrder="0" shrinkToFit="0" vertical="center" wrapText="1"/>
    </xf>
    <xf borderId="0" fillId="0" fontId="56" numFmtId="0" xfId="0" applyAlignment="1" applyFont="1">
      <alignment readingOrder="0" shrinkToFit="0" vertical="center" wrapText="1"/>
    </xf>
    <xf borderId="161" fillId="0" fontId="8" numFmtId="0" xfId="0" applyBorder="1" applyFont="1"/>
    <xf borderId="162" fillId="0" fontId="8" numFmtId="0" xfId="0" applyBorder="1" applyFont="1"/>
    <xf borderId="163" fillId="0" fontId="8" numFmtId="0" xfId="0" applyBorder="1" applyFont="1"/>
    <xf borderId="164" fillId="2" fontId="57" numFmtId="0" xfId="0" applyAlignment="1" applyBorder="1" applyFont="1">
      <alignment horizontal="center" readingOrder="0" shrinkToFit="0" wrapText="1"/>
    </xf>
    <xf borderId="147" fillId="2" fontId="57" numFmtId="0" xfId="0" applyAlignment="1" applyBorder="1" applyFont="1">
      <alignment horizontal="center" readingOrder="0" shrinkToFit="0" wrapText="1"/>
    </xf>
    <xf borderId="0" fillId="4" fontId="58" numFmtId="0" xfId="0" applyAlignment="1" applyFont="1">
      <alignment readingOrder="0" vertical="top"/>
    </xf>
    <xf borderId="164" fillId="6" fontId="59" numFmtId="0" xfId="0" applyAlignment="1" applyBorder="1" applyFont="1">
      <alignment readingOrder="0" shrinkToFit="0" wrapText="1"/>
    </xf>
    <xf borderId="147" fillId="6" fontId="60" numFmtId="0" xfId="0" applyAlignment="1" applyBorder="1" applyFont="1">
      <alignment readingOrder="0" shrinkToFit="0" vertical="top" wrapText="1"/>
    </xf>
    <xf borderId="164" fillId="4" fontId="59" numFmtId="0" xfId="0" applyAlignment="1" applyBorder="1" applyFont="1">
      <alignment readingOrder="0" shrinkToFit="0" wrapText="1"/>
    </xf>
    <xf borderId="147" fillId="4" fontId="60" numFmtId="0" xfId="0" applyAlignment="1" applyBorder="1" applyFont="1">
      <alignment readingOrder="0" shrinkToFit="0" vertical="top" wrapText="1"/>
    </xf>
    <xf borderId="147" fillId="6" fontId="7" numFmtId="0" xfId="0" applyAlignment="1" applyBorder="1" applyFont="1">
      <alignment readingOrder="0" shrinkToFit="0" wrapText="1"/>
    </xf>
    <xf borderId="165" fillId="4" fontId="59" numFmtId="0" xfId="0" applyAlignment="1" applyBorder="1" applyFont="1">
      <alignment readingOrder="0" shrinkToFit="0" wrapText="1"/>
    </xf>
    <xf borderId="166" fillId="0" fontId="8" numFmtId="0" xfId="0" applyBorder="1" applyFont="1"/>
    <xf borderId="167" fillId="0" fontId="8" numFmtId="0" xfId="0" applyBorder="1" applyFont="1"/>
    <xf borderId="168" fillId="4" fontId="60" numFmtId="0" xfId="0" applyAlignment="1" applyBorder="1" applyFont="1">
      <alignment readingOrder="0" shrinkToFit="0" vertical="top" wrapText="1"/>
    </xf>
    <xf borderId="169" fillId="0" fontId="8" numFmtId="0" xfId="0" applyBorder="1" applyFont="1"/>
    <xf borderId="0" fillId="4" fontId="5" numFmtId="0" xfId="0" applyAlignment="1" applyFont="1">
      <alignment shrinkToFit="0" vertical="bottom" wrapText="1"/>
    </xf>
    <xf borderId="170" fillId="6" fontId="23" numFmtId="0" xfId="0" applyAlignment="1" applyBorder="1" applyFont="1">
      <alignment horizontal="left" readingOrder="0" shrinkToFit="0" vertical="center" wrapText="1"/>
    </xf>
    <xf borderId="171" fillId="6" fontId="23" numFmtId="0" xfId="0" applyAlignment="1" applyBorder="1" applyFont="1">
      <alignment horizontal="left" readingOrder="0" shrinkToFit="0" vertical="center" wrapText="1"/>
    </xf>
    <xf borderId="172" fillId="0" fontId="8" numFmtId="0" xfId="0" applyBorder="1" applyFont="1"/>
    <xf borderId="173" fillId="0" fontId="8" numFmtId="0" xfId="0" applyBorder="1" applyFont="1"/>
    <xf borderId="174" fillId="0" fontId="8" numFmtId="0" xfId="0" applyBorder="1" applyFont="1"/>
    <xf borderId="175" fillId="6" fontId="23" numFmtId="0" xfId="0" applyAlignment="1" applyBorder="1" applyFont="1">
      <alignment horizontal="left" readingOrder="0" shrinkToFit="0" vertical="center" wrapText="1"/>
    </xf>
    <xf borderId="176" fillId="0" fontId="8" numFmtId="0" xfId="0" applyBorder="1" applyFont="1"/>
    <xf borderId="0" fillId="0" fontId="28" numFmtId="0" xfId="0" applyAlignment="1" applyFont="1">
      <alignment vertical="bottom"/>
    </xf>
    <xf borderId="177" fillId="0" fontId="8" numFmtId="0" xfId="0" applyBorder="1" applyFont="1"/>
    <xf borderId="178" fillId="0" fontId="8" numFmtId="0" xfId="0" applyBorder="1" applyFont="1"/>
    <xf borderId="179" fillId="0" fontId="22" numFmtId="0" xfId="0" applyAlignment="1" applyBorder="1" applyFont="1">
      <alignment readingOrder="0" shrinkToFit="0" vertical="center" wrapText="1"/>
    </xf>
    <xf borderId="180" fillId="0" fontId="8" numFmtId="0" xfId="0" applyBorder="1" applyFont="1"/>
    <xf borderId="181" fillId="0" fontId="8" numFmtId="0" xfId="0" applyBorder="1" applyFont="1"/>
    <xf borderId="182" fillId="6" fontId="22" numFmtId="0" xfId="0" applyAlignment="1" applyBorder="1" applyFont="1">
      <alignment horizontal="left" readingOrder="0" shrinkToFit="0" vertical="center" wrapText="1"/>
    </xf>
    <xf borderId="183" fillId="0" fontId="8" numFmtId="0" xfId="0" applyBorder="1" applyFont="1"/>
    <xf borderId="55" fillId="6" fontId="22" numFmtId="0" xfId="0" applyAlignment="1" applyBorder="1" applyFont="1">
      <alignment horizontal="left" readingOrder="0" shrinkToFit="0" vertical="center" wrapText="1"/>
    </xf>
    <xf borderId="182" fillId="0" fontId="22" numFmtId="0" xfId="0" applyAlignment="1" applyBorder="1" applyFont="1">
      <alignment readingOrder="0" shrinkToFit="0" vertical="center" wrapText="1"/>
    </xf>
    <xf borderId="55" fillId="0" fontId="22" numFmtId="0" xfId="0" applyAlignment="1" applyBorder="1" applyFont="1">
      <alignment readingOrder="0" shrinkToFit="0" vertical="center" wrapText="1"/>
    </xf>
    <xf borderId="59" fillId="0" fontId="22" numFmtId="0" xfId="0" applyAlignment="1" applyBorder="1" applyFont="1">
      <alignment readingOrder="0" shrinkToFit="0" vertical="center" wrapText="1"/>
    </xf>
    <xf borderId="184" fillId="0" fontId="8" numFmtId="0" xfId="0" applyBorder="1" applyFont="1"/>
    <xf borderId="185" fillId="6" fontId="23" numFmtId="0" xfId="0" applyAlignment="1" applyBorder="1" applyFont="1">
      <alignment horizontal="left" readingOrder="0" shrinkToFit="0" vertical="center" wrapText="1"/>
    </xf>
    <xf borderId="186" fillId="6" fontId="23" numFmtId="0" xfId="0" applyAlignment="1" applyBorder="1" applyFont="1">
      <alignment horizontal="left" readingOrder="0" shrinkToFit="0" vertical="center" wrapText="1"/>
    </xf>
    <xf borderId="187" fillId="0" fontId="8" numFmtId="0" xfId="0" applyBorder="1" applyFont="1"/>
    <xf borderId="188" fillId="0" fontId="8" numFmtId="0" xfId="0" applyBorder="1" applyFont="1"/>
    <xf borderId="189" fillId="0" fontId="8" numFmtId="0" xfId="0" applyBorder="1" applyFont="1"/>
    <xf borderId="190" fillId="6" fontId="23" numFmtId="0" xfId="0" applyAlignment="1" applyBorder="1" applyFont="1">
      <alignment horizontal="left" readingOrder="0" shrinkToFit="0" vertical="center" wrapText="1"/>
    </xf>
    <xf borderId="182" fillId="6" fontId="23" numFmtId="0" xfId="0" applyAlignment="1" applyBorder="1" applyFont="1">
      <alignment horizontal="left" readingOrder="0" shrinkToFit="0" vertical="center" wrapText="1"/>
    </xf>
    <xf borderId="191" fillId="6" fontId="23" numFmtId="0" xfId="0" applyAlignment="1" applyBorder="1" applyFont="1">
      <alignment horizontal="left" readingOrder="0" shrinkToFit="0" vertical="center" wrapText="1"/>
    </xf>
    <xf borderId="192" fillId="6" fontId="23" numFmtId="0" xfId="0" applyAlignment="1" applyBorder="1" applyFont="1">
      <alignment horizontal="left" readingOrder="0" shrinkToFit="0" vertical="center" wrapText="1"/>
    </xf>
    <xf borderId="193" fillId="0" fontId="8" numFmtId="0" xfId="0" applyBorder="1" applyFont="1"/>
    <xf borderId="194" fillId="0" fontId="20" numFmtId="0" xfId="0" applyAlignment="1" applyBorder="1" applyFont="1">
      <alignment readingOrder="0" shrinkToFit="0" vertical="center" wrapText="1"/>
    </xf>
    <xf borderId="195" fillId="0" fontId="8" numFmtId="0" xfId="0" applyBorder="1" applyFont="1"/>
    <xf borderId="196" fillId="0" fontId="8" numFmtId="0" xfId="0" applyBorder="1" applyFont="1"/>
    <xf borderId="197" fillId="0" fontId="8" numFmtId="0" xfId="0" applyBorder="1" applyFont="1"/>
    <xf borderId="198" fillId="0" fontId="8" numFmtId="0" xfId="0" applyBorder="1" applyFont="1"/>
    <xf borderId="199" fillId="0" fontId="8" numFmtId="0" xfId="0" applyBorder="1" applyFont="1"/>
    <xf borderId="200" fillId="2" fontId="21" numFmtId="0" xfId="0" applyAlignment="1" applyBorder="1" applyFont="1">
      <alignment readingOrder="0" shrinkToFit="0" wrapText="1"/>
    </xf>
    <xf borderId="201" fillId="2" fontId="21" numFmtId="0" xfId="0" applyAlignment="1" applyBorder="1" applyFont="1">
      <alignment readingOrder="0" shrinkToFit="0" wrapText="1"/>
    </xf>
    <xf borderId="202" fillId="0" fontId="8" numFmtId="0" xfId="0" applyBorder="1" applyFont="1"/>
    <xf borderId="203" fillId="0" fontId="8" numFmtId="0" xfId="0" applyBorder="1" applyFont="1"/>
    <xf borderId="204" fillId="0" fontId="8" numFmtId="0" xfId="0" applyBorder="1" applyFont="1"/>
    <xf borderId="205" fillId="0" fontId="8" numFmtId="0" xfId="0" applyBorder="1" applyFont="1"/>
    <xf borderId="206" fillId="0" fontId="8" numFmtId="0" xfId="0" applyBorder="1" applyFont="1"/>
    <xf borderId="207" fillId="0" fontId="8" numFmtId="0" xfId="0" applyBorder="1" applyFont="1"/>
    <xf borderId="208" fillId="6" fontId="23" numFmtId="0" xfId="0" applyAlignment="1" applyBorder="1" applyFont="1">
      <alignment horizontal="left" readingOrder="0" shrinkToFit="0" vertical="center" wrapText="1"/>
    </xf>
    <xf borderId="209" fillId="6" fontId="23" numFmtId="0" xfId="0" applyAlignment="1" applyBorder="1" applyFont="1">
      <alignment horizontal="left" readingOrder="0" shrinkToFit="0" vertical="center" wrapText="1"/>
    </xf>
    <xf borderId="210" fillId="0" fontId="8" numFmtId="0" xfId="0" applyBorder="1" applyFont="1"/>
    <xf borderId="211" fillId="6" fontId="23" numFmtId="0" xfId="0" applyAlignment="1" applyBorder="1" applyFont="1">
      <alignment horizontal="left" readingOrder="0" shrinkToFit="0" vertical="center" wrapText="1"/>
    </xf>
    <xf borderId="212" fillId="0" fontId="8" numFmtId="0" xfId="0" applyBorder="1" applyFont="1"/>
    <xf borderId="213" fillId="6" fontId="23" numFmtId="0" xfId="0" applyAlignment="1" applyBorder="1" applyFont="1">
      <alignment horizontal="left" readingOrder="0" shrinkToFit="0" vertical="center" wrapText="1"/>
    </xf>
    <xf borderId="214" fillId="6" fontId="23" numFmtId="0" xfId="0" applyAlignment="1" applyBorder="1" applyFont="1">
      <alignment horizontal="left" readingOrder="0" shrinkToFit="0" vertical="center" wrapText="1"/>
    </xf>
    <xf borderId="215" fillId="0" fontId="8" numFmtId="0" xfId="0" applyBorder="1" applyFont="1"/>
    <xf borderId="216" fillId="0" fontId="8" numFmtId="0" xfId="0" applyBorder="1" applyFont="1"/>
    <xf borderId="217" fillId="0" fontId="8" numFmtId="0" xfId="0" applyBorder="1" applyFont="1"/>
    <xf borderId="218" fillId="2" fontId="21" numFmtId="0" xfId="0" applyAlignment="1" applyBorder="1" applyFont="1">
      <alignment readingOrder="0" shrinkToFit="0" wrapText="1"/>
    </xf>
    <xf borderId="219" fillId="0" fontId="8" numFmtId="0" xfId="0" applyBorder="1" applyFont="1"/>
    <xf borderId="220" fillId="6" fontId="23" numFmtId="0" xfId="0" applyAlignment="1" applyBorder="1" applyFont="1">
      <alignment horizontal="left" readingOrder="0" shrinkToFit="0" vertical="center" wrapText="1"/>
    </xf>
    <xf borderId="221" fillId="0" fontId="8" numFmtId="0" xfId="0" applyBorder="1" applyFont="1"/>
    <xf borderId="222" fillId="0" fontId="8" numFmtId="0" xfId="0" applyBorder="1" applyFont="1"/>
    <xf borderId="223" fillId="6" fontId="23" numFmtId="0" xfId="0" applyAlignment="1" applyBorder="1" applyFont="1">
      <alignment horizontal="left" readingOrder="0" shrinkToFit="0" vertical="center" wrapText="1"/>
    </xf>
    <xf borderId="221" fillId="6" fontId="23" numFmtId="0" xfId="0" applyAlignment="1" applyBorder="1" applyFont="1">
      <alignment horizontal="left" readingOrder="0" shrinkToFit="0" vertical="center" wrapText="1"/>
    </xf>
    <xf borderId="224" fillId="0" fontId="8" numFmtId="0" xfId="0" applyBorder="1" applyFont="1"/>
    <xf borderId="225" fillId="0" fontId="23" numFmtId="0" xfId="0" applyAlignment="1" applyBorder="1" applyFont="1">
      <alignment horizontal="left" readingOrder="0" shrinkToFit="0" vertical="center" wrapText="1"/>
    </xf>
    <xf borderId="226" fillId="0" fontId="8" numFmtId="0" xfId="0" applyBorder="1" applyFont="1"/>
    <xf borderId="225" fillId="6" fontId="23" numFmtId="0" xfId="0" applyAlignment="1" applyBorder="1" applyFont="1">
      <alignment horizontal="left" readingOrder="0" shrinkToFit="0" vertical="center" wrapText="1"/>
    </xf>
    <xf borderId="227" fillId="0" fontId="23" numFmtId="0" xfId="0" applyAlignment="1" applyBorder="1" applyFont="1">
      <alignment horizontal="left" readingOrder="0" shrinkToFit="0" vertical="center" wrapText="1"/>
    </xf>
    <xf borderId="228" fillId="0" fontId="8" numFmtId="0" xfId="0" applyBorder="1" applyFont="1"/>
    <xf borderId="229" fillId="0" fontId="8" numFmtId="0" xfId="0" applyBorder="1" applyFont="1"/>
    <xf borderId="230" fillId="0" fontId="23" numFmtId="0" xfId="0" applyAlignment="1" applyBorder="1" applyFont="1">
      <alignment horizontal="left" readingOrder="0" shrinkToFit="0" vertical="center" wrapText="1"/>
    </xf>
    <xf borderId="228" fillId="0" fontId="23" numFmtId="0" xfId="0" applyAlignment="1" applyBorder="1" applyFont="1">
      <alignment horizontal="left" readingOrder="0" shrinkToFit="0" vertical="center" wrapText="1"/>
    </xf>
    <xf borderId="231" fillId="0" fontId="8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A833"/>
          <bgColor rgb="FFFFA833"/>
        </patternFill>
      </fill>
      <border/>
    </dxf>
  </dxfs>
  <tableStyles count="4">
    <tableStyle count="4" pivot="0" name="М и Х Dowe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I30" displayName="DMPlus" name="DMPlus" id="1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" showColumnStripes="0" showFirstColumn="1" showLastColumn="1" showRowStripes="1"/>
</table>
</file>

<file path=xl/tables/table2.xml><?xml version="1.0" encoding="utf-8"?>
<table xmlns="http://schemas.openxmlformats.org/spreadsheetml/2006/main" ref="B35:I59" displayName="DMPro" name="DMPro" id="2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 2" showColumnStripes="0" showFirstColumn="1" showLastColumn="1" showRowStripes="1"/>
</table>
</file>

<file path=xl/tables/table3.xml><?xml version="1.0" encoding="utf-8"?>
<table xmlns="http://schemas.openxmlformats.org/spreadsheetml/2006/main" ref="B67:I81" displayName="DL" name="DL" id="3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 3" showColumnStripes="0" showFirstColumn="1" showLastColumn="1" showRowStripes="1"/>
</table>
</file>

<file path=xl/tables/table4.xml><?xml version="1.0" encoding="utf-8"?>
<table xmlns="http://schemas.openxmlformats.org/spreadsheetml/2006/main" ref="B95:I108" displayName="DP" name="DP" id="4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baba.com/product-detail/DL1620-16-Thickened-80-Aluminum-Frame_1601033069142.html" TargetMode="External"/><Relationship Id="rId42" Type="http://schemas.openxmlformats.org/officeDocument/2006/relationships/hyperlink" Target="https://www.alibaba.com/product-detail/DP-A1616-12-3D-Printer-Plastic_1601041123905.html" TargetMode="External"/><Relationship Id="rId41" Type="http://schemas.openxmlformats.org/officeDocument/2006/relationships/hyperlink" Target="https://www.alibaba.com/product-detail/Dowell-FDM-Plastic-Home-Ues-High_1601564937460.html" TargetMode="External"/><Relationship Id="rId44" Type="http://schemas.openxmlformats.org/officeDocument/2006/relationships/hyperlink" Target="https://www.alibaba.com/product-detail/DP-A1620-16-3D-Printer-Manufacturing_1601043019352.html" TargetMode="External"/><Relationship Id="rId43" Type="http://schemas.openxmlformats.org/officeDocument/2006/relationships/hyperlink" Target="https://www.alibaba.com/product-detail/Dowell3D-1200-2000-1600-Pellet-Granule_1601231297101.html" TargetMode="External"/><Relationship Id="rId46" Type="http://schemas.openxmlformats.org/officeDocument/2006/relationships/hyperlink" Target="https://www.alibaba.com/product-detail/DP-A10-16-Large-Size-Granule_1601563008616.html" TargetMode="External"/><Relationship Id="rId45" Type="http://schemas.openxmlformats.org/officeDocument/2006/relationships/hyperlink" Target="https://www.alibaba.com/product-detail/DP-A10-16-Large-Size-Granule_1601563008616.html" TargetMode="External"/><Relationship Id="rId1" Type="http://schemas.openxmlformats.org/officeDocument/2006/relationships/hyperlink" Target="https://www.alibaba.com/product-detail/DM6-8Plus-Cheap-High-Precision-Strong_1600198772086.html" TargetMode="External"/><Relationship Id="rId2" Type="http://schemas.openxmlformats.org/officeDocument/2006/relationships/hyperlink" Target="https://www.alibaba.com/product-detail/Dowell3D-DM6-10Plus-High-Speed-Large_1600336308534.html" TargetMode="External"/><Relationship Id="rId3" Type="http://schemas.openxmlformats.org/officeDocument/2006/relationships/hyperlink" Target="https://www.alibaba.com/product-detail/Dowell3D-DM6-10Plus-High-Speed-Large_1600336308534.html" TargetMode="External"/><Relationship Id="rId4" Type="http://schemas.openxmlformats.org/officeDocument/2006/relationships/hyperlink" Target="https://www.alibaba.com/product-detail/DM6-16Plus-Large-Industrial-Dowell-Big_1600192489022.html" TargetMode="External"/><Relationship Id="rId9" Type="http://schemas.openxmlformats.org/officeDocument/2006/relationships/hyperlink" Target="https://www.alibaba.com/product-detail/DM1016-10Plus-Fast-Printing-Large-Format_1600193159916.html" TargetMode="External"/><Relationship Id="rId48" Type="http://schemas.openxmlformats.org/officeDocument/2006/relationships/hyperlink" Target="https://www.alibaba.com/product-detail/Dowell-FGF-3D-Large-Scale-Granule_1600441247466.html" TargetMode="External"/><Relationship Id="rId47" Type="http://schemas.openxmlformats.org/officeDocument/2006/relationships/hyperlink" Target="https://www.alibaba.com/product-detail/DP-A12-Industrial-Large-Professional-FGF_1601575509218.html" TargetMode="External"/><Relationship Id="rId49" Type="http://schemas.openxmlformats.org/officeDocument/2006/relationships/hyperlink" Target="https://www.alibaba.com/product-detail/DP-A1616-16-Enclosed-Auto-Leveling_1601566211407.html" TargetMode="External"/><Relationship Id="rId5" Type="http://schemas.openxmlformats.org/officeDocument/2006/relationships/hyperlink" Target="https://dwdz.en.alibaba.com/search/product?SearchText=DM8Plus" TargetMode="External"/><Relationship Id="rId6" Type="http://schemas.openxmlformats.org/officeDocument/2006/relationships/hyperlink" Target="https://www.alibaba.com/product-detail/Large-Print-Size-800-800-1600mm_1600288706290.html" TargetMode="External"/><Relationship Id="rId7" Type="http://schemas.openxmlformats.org/officeDocument/2006/relationships/hyperlink" Target="https://www.alibaba.com/product-detail/DM10-6Plus-Home-Industrial-3d-Printer_1601043796708.html" TargetMode="External"/><Relationship Id="rId8" Type="http://schemas.openxmlformats.org/officeDocument/2006/relationships/hyperlink" Target="https://www.alibaba.com/product-detail/DM10-8Plus-1000mm-Automatic-FDM-3D_1600722278271.html" TargetMode="External"/><Relationship Id="rId31" Type="http://schemas.openxmlformats.org/officeDocument/2006/relationships/hyperlink" Target="https://www.alibaba.com/product-detail/DL1016-10-High-Precision-Industrial-3d_1601563992626.html" TargetMode="External"/><Relationship Id="rId30" Type="http://schemas.openxmlformats.org/officeDocument/2006/relationships/hyperlink" Target="https://www.alibaba.com/product-detail/Dowell-DL10-16-Large-Faster-Diy_1601575402512.html" TargetMode="External"/><Relationship Id="rId33" Type="http://schemas.openxmlformats.org/officeDocument/2006/relationships/hyperlink" Target="https://www.alibaba.com/product-detail/Dowell-DL1216-12-High-Flow-Large_1601565632555.html" TargetMode="External"/><Relationship Id="rId32" Type="http://schemas.openxmlformats.org/officeDocument/2006/relationships/hyperlink" Target="https://www.alibaba.com/product-detail/DL12-10-Industrial-Large-Format-Impresora_1601566186724.html" TargetMode="External"/><Relationship Id="rId35" Type="http://schemas.openxmlformats.org/officeDocument/2006/relationships/hyperlink" Target="https://www.alibaba.com/product-detail/DL1220-16-Large-3D-Printer-Industrial_1600666600676.html" TargetMode="External"/><Relationship Id="rId34" Type="http://schemas.openxmlformats.org/officeDocument/2006/relationships/hyperlink" Target="https://www.alibaba.com/product-detail/DL1220-12-Large-High-Accuracy-3d_1601566410214.html" TargetMode="External"/><Relationship Id="rId37" Type="http://schemas.openxmlformats.org/officeDocument/2006/relationships/hyperlink" Target="https://www.alibaba.com/product-detail/DL12-Industrial-Large-3d-Printer-Machine_1601575488444.html" TargetMode="External"/><Relationship Id="rId36" Type="http://schemas.openxmlformats.org/officeDocument/2006/relationships/hyperlink" Target="https://www.alibaba.com/product-detail/Dowell-3d-Printing-Machine-DL1220-20_1601574774833.html" TargetMode="External"/><Relationship Id="rId39" Type="http://schemas.openxmlformats.org/officeDocument/2006/relationships/hyperlink" Target="https://www.alibaba.com/product-detail/Factory-Sale-High-Speed-Impresora-3d_1601567057679.html" TargetMode="External"/><Relationship Id="rId38" Type="http://schemas.openxmlformats.org/officeDocument/2006/relationships/hyperlink" Target="https://www.alibaba.com/product-detail/DL12-16-Professional-3d-Printer-Industrial_1601574658665.html" TargetMode="External"/><Relationship Id="rId20" Type="http://schemas.openxmlformats.org/officeDocument/2006/relationships/hyperlink" Target="https://www.alibaba.com/product-detail/1000-2000-1000mm-Large-Printing-Size_1601566746951.html" TargetMode="External"/><Relationship Id="rId22" Type="http://schemas.openxmlformats.org/officeDocument/2006/relationships/hyperlink" Target="https://www.alibaba.com/product-detail/Dowell-DM1216-12pro-Fdm-Carbon-Fiber_1601564627472.html" TargetMode="External"/><Relationship Id="rId21" Type="http://schemas.openxmlformats.org/officeDocument/2006/relationships/hyperlink" Target="https://www.alibaba.com/product-detail/Dowell-DM1216-12pro-Fdm-Carbon-Fiber_1601564627472.html" TargetMode="External"/><Relationship Id="rId24" Type="http://schemas.openxmlformats.org/officeDocument/2006/relationships/hyperlink" Target="https://www.alibaba.com/product-detail/DM1220-16pro-Industrial-Large-Format-3d_1601564492670.html" TargetMode="External"/><Relationship Id="rId23" Type="http://schemas.openxmlformats.org/officeDocument/2006/relationships/hyperlink" Target="https://www.alibaba.com/product-detail/DM1218-12pro-Large-Format-FDM-Multimaterial_1601567141368.html" TargetMode="External"/><Relationship Id="rId26" Type="http://schemas.openxmlformats.org/officeDocument/2006/relationships/hyperlink" Target="https://www.alibaba.com/product-detail/DM12-16pro-Industrial-Grade-Automatic-Fdm_1601567216860.html" TargetMode="External"/><Relationship Id="rId25" Type="http://schemas.openxmlformats.org/officeDocument/2006/relationships/hyperlink" Target="https://www.alibaba.com/product-detail/1000-1000-2000mm-Large-Format-3d_1601563120093.html" TargetMode="External"/><Relationship Id="rId28" Type="http://schemas.openxmlformats.org/officeDocument/2006/relationships/hyperlink" Target="https://www.alibaba.com/product-detail/DM1220-12pro-Fully-Automatic-Leveling-Impresora_1601566763703.html" TargetMode="External"/><Relationship Id="rId27" Type="http://schemas.openxmlformats.org/officeDocument/2006/relationships/hyperlink" Target="https://www.alibaba.com/product-detail/Printer-1200x1800x1600mm-Large-FDM-Multiple-Materials_1601563839751.html" TargetMode="External"/><Relationship Id="rId29" Type="http://schemas.openxmlformats.org/officeDocument/2006/relationships/hyperlink" Target="https://www.alibaba.com/product-detail/DL10-Industrial-3d-Printer-Sculpture-Stampante_1601574626486.html" TargetMode="External"/><Relationship Id="rId51" Type="http://schemas.openxmlformats.org/officeDocument/2006/relationships/drawing" Target="../drawings/drawing4.xml"/><Relationship Id="rId50" Type="http://schemas.openxmlformats.org/officeDocument/2006/relationships/hyperlink" Target="https://www.alibaba.com/product-detail/Dowell-DP-A1624-16-Pellet-3d_1601575445825.html" TargetMode="External"/><Relationship Id="rId11" Type="http://schemas.openxmlformats.org/officeDocument/2006/relationships/hyperlink" Target="https://www.alibaba.com/product-detail/DM1020-10Plus-High-Precision-Impresora-3d_1600666308860.html" TargetMode="External"/><Relationship Id="rId10" Type="http://schemas.openxmlformats.org/officeDocument/2006/relationships/hyperlink" Target="https://www.alibaba.com/product-detail/Dowell-DM1016-12Plus-Fast-3d-Printing_1600415561143.html" TargetMode="External"/><Relationship Id="rId13" Type="http://schemas.openxmlformats.org/officeDocument/2006/relationships/hyperlink" Target="https://www.alibaba.com/product-detail/DOWELL3D-DM1216-12Plus-Large-Format-Industrial_1601089723389.html" TargetMode="External"/><Relationship Id="rId57" Type="http://schemas.openxmlformats.org/officeDocument/2006/relationships/table" Target="../tables/table2.xml"/><Relationship Id="rId12" Type="http://schemas.openxmlformats.org/officeDocument/2006/relationships/hyperlink" Target="https://www.alibaba.com/product-detail/DM12Plus-Precision-Auto-Leveling-Imprimante-3d_1601197175515.html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alibaba.com/product-detail/DM1220-8Plus-Large-Big-Size-3D_1601014980308.html" TargetMode="External"/><Relationship Id="rId59" Type="http://schemas.openxmlformats.org/officeDocument/2006/relationships/table" Target="../tables/table4.xml"/><Relationship Id="rId14" Type="http://schemas.openxmlformats.org/officeDocument/2006/relationships/hyperlink" Target="https://www.alibaba.com/product-detail/DM1216-16Plus-Imprimante-3d-Printer-Large_1600677978386.html" TargetMode="External"/><Relationship Id="rId58" Type="http://schemas.openxmlformats.org/officeDocument/2006/relationships/table" Target="../tables/table3.xml"/><Relationship Id="rId17" Type="http://schemas.openxmlformats.org/officeDocument/2006/relationships/hyperlink" Target="https://www.alibaba.com/product-detail/DM1014-6pro-High-Precision-Impresora-3d_1601566303606.html" TargetMode="External"/><Relationship Id="rId16" Type="http://schemas.openxmlformats.org/officeDocument/2006/relationships/hyperlink" Target="https://www.alibaba.com/product-detail/DM8-6Pro-Large-3d-Printer-PLA_1600830212315.html" TargetMode="External"/><Relationship Id="rId19" Type="http://schemas.openxmlformats.org/officeDocument/2006/relationships/hyperlink" Target="https://www.alibaba.com/product-detail/Dowell-DM1016-10Pro-1600mm-1000mm-Big_1601227603765.html" TargetMode="External"/><Relationship Id="rId18" Type="http://schemas.openxmlformats.org/officeDocument/2006/relationships/hyperlink" Target="https://www.alibaba.com/product-detail/DM1016-8pro-High-Precision-Large-Format_1601562293685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S1" s="2"/>
      <c r="T1" s="2"/>
      <c r="U1" s="2"/>
      <c r="V1" s="2"/>
    </row>
    <row r="2">
      <c r="A2" s="3" t="s">
        <v>1</v>
      </c>
      <c r="S2" s="2"/>
      <c r="T2" s="2"/>
      <c r="U2" s="2"/>
      <c r="V2" s="2"/>
    </row>
    <row r="3" ht="21.0" customHeight="1">
      <c r="A3" s="4" t="s">
        <v>2</v>
      </c>
      <c r="D3" s="4" t="s">
        <v>3</v>
      </c>
      <c r="G3" s="4" t="s">
        <v>4</v>
      </c>
      <c r="J3" s="4" t="s">
        <v>5</v>
      </c>
      <c r="N3" s="2"/>
      <c r="O3" s="2"/>
      <c r="P3" s="2"/>
      <c r="Q3" s="2"/>
      <c r="R3" s="2"/>
      <c r="S3" s="2"/>
      <c r="T3" s="2"/>
      <c r="U3" s="2"/>
      <c r="V3" s="2"/>
    </row>
    <row r="4">
      <c r="A4" s="5"/>
      <c r="B4" s="5"/>
      <c r="C4" s="5"/>
      <c r="D4" s="5"/>
      <c r="E4" s="5"/>
      <c r="F4" s="5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6" t="s">
        <v>6</v>
      </c>
      <c r="S5" s="2"/>
      <c r="T5" s="2"/>
      <c r="U5" s="2"/>
      <c r="V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7" t="s">
        <v>7</v>
      </c>
      <c r="C7" s="8"/>
      <c r="D7" s="9"/>
      <c r="E7" s="2"/>
      <c r="F7" s="7" t="s">
        <v>8</v>
      </c>
      <c r="G7" s="8"/>
      <c r="H7" s="9"/>
      <c r="I7" s="2"/>
      <c r="J7" s="2"/>
      <c r="K7" s="7" t="s">
        <v>9</v>
      </c>
      <c r="L7" s="8"/>
      <c r="M7" s="9"/>
      <c r="N7" s="2"/>
      <c r="O7" s="7" t="s">
        <v>10</v>
      </c>
      <c r="P7" s="8"/>
      <c r="Q7" s="9"/>
      <c r="R7" s="2"/>
      <c r="S7" s="2"/>
      <c r="T7" s="2"/>
      <c r="U7" s="2"/>
      <c r="V7" s="2"/>
    </row>
    <row r="8">
      <c r="A8" s="2"/>
      <c r="B8" s="10" t="s">
        <v>11</v>
      </c>
      <c r="D8" s="11"/>
      <c r="E8" s="2"/>
      <c r="F8" s="10" t="s">
        <v>12</v>
      </c>
      <c r="H8" s="11"/>
      <c r="I8" s="2"/>
      <c r="J8" s="2"/>
      <c r="K8" s="10" t="s">
        <v>13</v>
      </c>
      <c r="M8" s="11"/>
      <c r="N8" s="2"/>
      <c r="O8" s="10" t="s">
        <v>14</v>
      </c>
      <c r="Q8" s="11"/>
      <c r="R8" s="2"/>
      <c r="S8" s="2"/>
      <c r="T8" s="2"/>
      <c r="U8" s="2"/>
      <c r="V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</row>
    <row r="11">
      <c r="A11" s="2"/>
      <c r="B11" s="16"/>
      <c r="C11" s="17" t="s">
        <v>15</v>
      </c>
      <c r="D11" s="18"/>
      <c r="E11" s="2"/>
      <c r="F11" s="2"/>
      <c r="G11" s="17" t="s">
        <v>15</v>
      </c>
      <c r="H11" s="18"/>
      <c r="I11" s="2"/>
      <c r="J11" s="2"/>
      <c r="K11" s="2"/>
      <c r="L11" s="17" t="s">
        <v>15</v>
      </c>
      <c r="M11" s="18"/>
      <c r="N11" s="2"/>
      <c r="O11" s="2"/>
      <c r="P11" s="17" t="s">
        <v>15</v>
      </c>
      <c r="Q11" s="18"/>
      <c r="R11" s="2"/>
      <c r="S11" s="2"/>
      <c r="T11" s="2"/>
      <c r="U11" s="2"/>
      <c r="V11" s="2"/>
    </row>
    <row r="12">
      <c r="A12" s="2"/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/>
      <c r="B13" s="16"/>
      <c r="C13" s="16"/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9"/>
      <c r="S13" s="2"/>
      <c r="T13" s="2"/>
      <c r="U13" s="2"/>
      <c r="V13" s="2"/>
    </row>
    <row r="14">
      <c r="A14" s="5"/>
      <c r="B14" s="7" t="s">
        <v>16</v>
      </c>
      <c r="C14" s="8"/>
      <c r="D14" s="9"/>
      <c r="E14" s="5"/>
      <c r="F14" s="7" t="s">
        <v>17</v>
      </c>
      <c r="G14" s="8"/>
      <c r="H14" s="9"/>
      <c r="I14" s="2"/>
      <c r="J14" s="2"/>
      <c r="K14" s="7" t="s">
        <v>18</v>
      </c>
      <c r="L14" s="8"/>
      <c r="M14" s="9"/>
      <c r="N14" s="2"/>
      <c r="O14" s="7" t="s">
        <v>19</v>
      </c>
      <c r="P14" s="8"/>
      <c r="Q14" s="20"/>
      <c r="R14" s="21"/>
      <c r="S14" s="2"/>
      <c r="T14" s="2"/>
      <c r="U14" s="2"/>
      <c r="V14" s="2"/>
    </row>
    <row r="15">
      <c r="A15" s="5"/>
      <c r="B15" s="10" t="s">
        <v>20</v>
      </c>
      <c r="D15" s="11"/>
      <c r="E15" s="5"/>
      <c r="F15" s="10" t="s">
        <v>21</v>
      </c>
      <c r="H15" s="11"/>
      <c r="I15" s="2"/>
      <c r="J15" s="2"/>
      <c r="K15" s="10" t="s">
        <v>22</v>
      </c>
      <c r="M15" s="11"/>
      <c r="N15" s="2"/>
      <c r="O15" s="10" t="s">
        <v>23</v>
      </c>
      <c r="Q15" s="22"/>
      <c r="R15" s="23"/>
      <c r="S15" s="2"/>
      <c r="T15" s="2"/>
      <c r="U15" s="2"/>
      <c r="V15" s="2"/>
    </row>
    <row r="16">
      <c r="A16" s="5"/>
      <c r="B16" s="12"/>
      <c r="D16" s="11"/>
      <c r="E16" s="5"/>
      <c r="F16" s="12"/>
      <c r="H16" s="11"/>
      <c r="I16" s="2"/>
      <c r="J16" s="2"/>
      <c r="K16" s="12"/>
      <c r="M16" s="11"/>
      <c r="N16" s="2"/>
      <c r="O16" s="10"/>
      <c r="P16" s="24"/>
      <c r="Q16" s="25"/>
      <c r="R16" s="23"/>
      <c r="S16" s="2"/>
      <c r="T16" s="2"/>
      <c r="U16" s="2"/>
      <c r="V16" s="2"/>
    </row>
    <row r="17">
      <c r="A17" s="5"/>
      <c r="B17" s="13"/>
      <c r="C17" s="14"/>
      <c r="D17" s="15"/>
      <c r="E17" s="5"/>
      <c r="F17" s="13"/>
      <c r="G17" s="14"/>
      <c r="H17" s="15"/>
      <c r="I17" s="2"/>
      <c r="J17" s="2"/>
      <c r="K17" s="13"/>
      <c r="L17" s="14"/>
      <c r="M17" s="15"/>
      <c r="N17" s="2"/>
      <c r="O17" s="26"/>
      <c r="P17" s="27"/>
      <c r="Q17" s="28"/>
      <c r="R17" s="23"/>
      <c r="S17" s="2"/>
      <c r="T17" s="2"/>
      <c r="U17" s="2"/>
      <c r="V17" s="2"/>
    </row>
    <row r="18">
      <c r="A18" s="5"/>
      <c r="B18" s="5"/>
      <c r="C18" s="17" t="s">
        <v>15</v>
      </c>
      <c r="D18" s="18"/>
      <c r="E18" s="5"/>
      <c r="F18" s="5"/>
      <c r="G18" s="17" t="s">
        <v>15</v>
      </c>
      <c r="H18" s="18"/>
      <c r="I18" s="2"/>
      <c r="J18" s="2"/>
      <c r="K18" s="2"/>
      <c r="L18" s="17" t="s">
        <v>15</v>
      </c>
      <c r="M18" s="18"/>
      <c r="N18" s="2"/>
      <c r="O18" s="2"/>
      <c r="P18" s="29" t="s">
        <v>15</v>
      </c>
      <c r="Q18" s="30"/>
      <c r="R18" s="31"/>
      <c r="S18" s="2"/>
      <c r="T18" s="2"/>
      <c r="U18" s="2"/>
      <c r="V18" s="2"/>
    </row>
    <row r="19" ht="17.25" customHeight="1">
      <c r="A19" s="5"/>
      <c r="B19" s="5"/>
      <c r="C19" s="5"/>
      <c r="D19" s="5"/>
      <c r="E19" s="5"/>
      <c r="F19" s="5"/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5"/>
      <c r="B20" s="5"/>
      <c r="C20" s="5"/>
      <c r="D20" s="5"/>
      <c r="E20" s="5"/>
      <c r="F20" s="5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5"/>
      <c r="B21" s="5"/>
      <c r="C21" s="5"/>
      <c r="D21" s="5"/>
      <c r="E21" s="5"/>
      <c r="F21" s="5"/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32" t="s">
        <v>24</v>
      </c>
      <c r="B22" s="8"/>
      <c r="C22" s="8"/>
      <c r="D22" s="8"/>
      <c r="E22" s="8"/>
      <c r="F22" s="8"/>
      <c r="G22" s="8"/>
      <c r="H22" s="8"/>
      <c r="I22" s="8"/>
      <c r="J22" s="9"/>
      <c r="K22" s="33"/>
      <c r="L22" s="34" t="s">
        <v>25</v>
      </c>
      <c r="M22" s="8"/>
      <c r="N22" s="8"/>
      <c r="O22" s="8"/>
      <c r="P22" s="8"/>
      <c r="Q22" s="8"/>
      <c r="R22" s="9"/>
      <c r="S22" s="2"/>
      <c r="T22" s="2"/>
      <c r="U22" s="2"/>
      <c r="V22" s="2"/>
    </row>
    <row r="23">
      <c r="A23" s="35" t="s">
        <v>26</v>
      </c>
      <c r="B23" s="36"/>
      <c r="C23" s="36"/>
      <c r="D23" s="37" t="s">
        <v>27</v>
      </c>
      <c r="E23" s="36"/>
      <c r="F23" s="37" t="s">
        <v>28</v>
      </c>
      <c r="G23" s="36"/>
      <c r="H23" s="36"/>
      <c r="I23" s="37" t="s">
        <v>29</v>
      </c>
      <c r="J23" s="38"/>
      <c r="K23" s="2"/>
      <c r="L23" s="13"/>
      <c r="M23" s="14"/>
      <c r="N23" s="14"/>
      <c r="O23" s="14"/>
      <c r="P23" s="14"/>
      <c r="Q23" s="14"/>
      <c r="R23" s="15"/>
      <c r="S23" s="2"/>
      <c r="T23" s="2"/>
      <c r="U23" s="2"/>
      <c r="V23" s="2"/>
    </row>
    <row r="24">
      <c r="A24" s="39" t="s">
        <v>30</v>
      </c>
      <c r="B24" s="36"/>
      <c r="C24" s="40"/>
      <c r="D24" s="41" t="s">
        <v>9</v>
      </c>
      <c r="E24" s="40"/>
      <c r="F24" s="41" t="s">
        <v>31</v>
      </c>
      <c r="G24" s="36"/>
      <c r="H24" s="40"/>
      <c r="I24" s="41" t="s">
        <v>32</v>
      </c>
      <c r="J24" s="38"/>
      <c r="K24" s="2"/>
      <c r="L24" s="42" t="s">
        <v>33</v>
      </c>
      <c r="M24" s="43"/>
      <c r="N24" s="43"/>
      <c r="O24" s="43"/>
      <c r="P24" s="43"/>
      <c r="Q24" s="43"/>
      <c r="R24" s="44"/>
      <c r="S24" s="2"/>
      <c r="T24" s="2"/>
      <c r="U24" s="2"/>
      <c r="V24" s="2"/>
    </row>
    <row r="25">
      <c r="A25" s="45" t="s">
        <v>34</v>
      </c>
      <c r="B25" s="36"/>
      <c r="C25" s="40"/>
      <c r="D25" s="46" t="s">
        <v>35</v>
      </c>
      <c r="E25" s="40"/>
      <c r="F25" s="46" t="s">
        <v>36</v>
      </c>
      <c r="G25" s="36"/>
      <c r="H25" s="40"/>
      <c r="I25" s="46" t="s">
        <v>37</v>
      </c>
      <c r="J25" s="38"/>
      <c r="K25" s="2"/>
      <c r="L25" s="47" t="s">
        <v>38</v>
      </c>
      <c r="M25" s="48"/>
      <c r="N25" s="48"/>
      <c r="O25" s="48"/>
      <c r="P25" s="48"/>
      <c r="Q25" s="48"/>
      <c r="R25" s="49"/>
      <c r="S25" s="2"/>
      <c r="T25" s="2"/>
      <c r="U25" s="2"/>
      <c r="V25" s="2"/>
    </row>
    <row r="26">
      <c r="A26" s="39" t="s">
        <v>39</v>
      </c>
      <c r="B26" s="36"/>
      <c r="C26" s="40"/>
      <c r="D26" s="41" t="s">
        <v>18</v>
      </c>
      <c r="E26" s="40"/>
      <c r="F26" s="41" t="s">
        <v>40</v>
      </c>
      <c r="G26" s="36"/>
      <c r="H26" s="40"/>
      <c r="I26" s="41" t="s">
        <v>41</v>
      </c>
      <c r="J26" s="38"/>
      <c r="K26" s="2"/>
      <c r="L26" s="47" t="s">
        <v>42</v>
      </c>
      <c r="M26" s="48"/>
      <c r="N26" s="48"/>
      <c r="O26" s="48"/>
      <c r="P26" s="48"/>
      <c r="Q26" s="48"/>
      <c r="R26" s="49"/>
      <c r="S26" s="2"/>
      <c r="T26" s="2"/>
      <c r="U26" s="2"/>
      <c r="V26" s="2"/>
    </row>
    <row r="27">
      <c r="A27" s="45" t="s">
        <v>43</v>
      </c>
      <c r="B27" s="36"/>
      <c r="C27" s="40"/>
      <c r="D27" s="46" t="s">
        <v>44</v>
      </c>
      <c r="E27" s="40"/>
      <c r="F27" s="46" t="s">
        <v>45</v>
      </c>
      <c r="G27" s="36"/>
      <c r="H27" s="40"/>
      <c r="I27" s="46" t="s">
        <v>46</v>
      </c>
      <c r="J27" s="38"/>
      <c r="K27" s="2"/>
      <c r="L27" s="47" t="s">
        <v>47</v>
      </c>
      <c r="M27" s="48"/>
      <c r="N27" s="48"/>
      <c r="O27" s="48"/>
      <c r="P27" s="48"/>
      <c r="Q27" s="48"/>
      <c r="R27" s="49"/>
      <c r="S27" s="2"/>
      <c r="T27" s="2"/>
      <c r="U27" s="2"/>
      <c r="V27" s="2"/>
    </row>
    <row r="28">
      <c r="A28" s="39" t="s">
        <v>48</v>
      </c>
      <c r="B28" s="36"/>
      <c r="C28" s="40"/>
      <c r="D28" s="41" t="s">
        <v>10</v>
      </c>
      <c r="E28" s="40"/>
      <c r="F28" s="41" t="s">
        <v>49</v>
      </c>
      <c r="G28" s="36"/>
      <c r="H28" s="40"/>
      <c r="I28" s="41" t="s">
        <v>50</v>
      </c>
      <c r="J28" s="38"/>
      <c r="K28" s="2"/>
      <c r="L28" s="50" t="s">
        <v>51</v>
      </c>
      <c r="M28" s="51"/>
      <c r="N28" s="51"/>
      <c r="O28" s="51"/>
      <c r="P28" s="51"/>
      <c r="Q28" s="51"/>
      <c r="R28" s="52"/>
      <c r="S28" s="2"/>
      <c r="T28" s="2"/>
      <c r="U28" s="2"/>
      <c r="V28" s="2"/>
    </row>
    <row r="29">
      <c r="A29" s="45" t="s">
        <v>52</v>
      </c>
      <c r="B29" s="36"/>
      <c r="C29" s="40"/>
      <c r="D29" s="46" t="s">
        <v>10</v>
      </c>
      <c r="E29" s="40"/>
      <c r="F29" s="46" t="s">
        <v>53</v>
      </c>
      <c r="G29" s="36"/>
      <c r="H29" s="40"/>
      <c r="I29" s="46" t="s">
        <v>54</v>
      </c>
      <c r="J29" s="38"/>
      <c r="K29" s="2"/>
      <c r="L29" s="53"/>
      <c r="S29" s="2"/>
      <c r="T29" s="2"/>
      <c r="U29" s="2"/>
      <c r="V29" s="2"/>
    </row>
    <row r="30">
      <c r="A30" s="39" t="s">
        <v>55</v>
      </c>
      <c r="B30" s="36"/>
      <c r="C30" s="40"/>
      <c r="D30" s="41" t="s">
        <v>56</v>
      </c>
      <c r="E30" s="40"/>
      <c r="F30" s="41" t="s">
        <v>57</v>
      </c>
      <c r="G30" s="36"/>
      <c r="H30" s="40"/>
      <c r="I30" s="41" t="s">
        <v>58</v>
      </c>
      <c r="J30" s="38"/>
      <c r="K30" s="2"/>
      <c r="L30" s="53"/>
      <c r="S30" s="2"/>
      <c r="T30" s="2"/>
      <c r="U30" s="2"/>
      <c r="V30" s="2"/>
    </row>
    <row r="31">
      <c r="A31" s="54" t="s">
        <v>59</v>
      </c>
      <c r="B31" s="55"/>
      <c r="C31" s="56"/>
      <c r="D31" s="57" t="s">
        <v>60</v>
      </c>
      <c r="E31" s="56"/>
      <c r="F31" s="57" t="s">
        <v>61</v>
      </c>
      <c r="G31" s="55"/>
      <c r="H31" s="56"/>
      <c r="I31" s="57" t="s">
        <v>62</v>
      </c>
      <c r="J31" s="58"/>
      <c r="K31" s="2"/>
      <c r="L31" s="53"/>
      <c r="S31" s="2"/>
      <c r="T31" s="2"/>
      <c r="U31" s="2"/>
      <c r="V31" s="2"/>
    </row>
    <row r="32" ht="29.25" customHeight="1">
      <c r="A32" s="5"/>
      <c r="B32" s="5"/>
      <c r="C32" s="5"/>
      <c r="D32" s="5"/>
      <c r="E32" s="5"/>
      <c r="F32" s="5"/>
      <c r="G32" s="5"/>
      <c r="H32" s="5"/>
      <c r="I32" s="2"/>
      <c r="J32" s="2"/>
      <c r="K32" s="2"/>
      <c r="L32" s="53"/>
      <c r="S32" s="2"/>
      <c r="T32" s="2"/>
      <c r="U32" s="2"/>
      <c r="V32" s="2"/>
    </row>
    <row r="33" ht="30.0" customHeight="1">
      <c r="A33" s="5"/>
      <c r="B33" s="5"/>
      <c r="C33" s="5"/>
      <c r="D33" s="5"/>
      <c r="E33" s="5"/>
      <c r="F33" s="5"/>
      <c r="G33" s="5"/>
      <c r="H33" s="5"/>
      <c r="I33" s="2"/>
      <c r="J33" s="2"/>
      <c r="K33" s="2"/>
      <c r="L33" s="53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</sheetData>
  <mergeCells count="79">
    <mergeCell ref="D24:E24"/>
    <mergeCell ref="F24:H24"/>
    <mergeCell ref="F25:H25"/>
    <mergeCell ref="I25:J25"/>
    <mergeCell ref="F26:H26"/>
    <mergeCell ref="I26:J26"/>
    <mergeCell ref="F27:H27"/>
    <mergeCell ref="I27:J27"/>
    <mergeCell ref="A24:C24"/>
    <mergeCell ref="A25:C25"/>
    <mergeCell ref="D25:E25"/>
    <mergeCell ref="A26:C26"/>
    <mergeCell ref="D26:E26"/>
    <mergeCell ref="A27:C27"/>
    <mergeCell ref="D27:E27"/>
    <mergeCell ref="L29:R29"/>
    <mergeCell ref="L30:R30"/>
    <mergeCell ref="L32:R32"/>
    <mergeCell ref="L33:R33"/>
    <mergeCell ref="P18:Q18"/>
    <mergeCell ref="L22:R23"/>
    <mergeCell ref="L24:R24"/>
    <mergeCell ref="L25:R25"/>
    <mergeCell ref="L26:R26"/>
    <mergeCell ref="L27:R27"/>
    <mergeCell ref="L28:R28"/>
    <mergeCell ref="A1:R1"/>
    <mergeCell ref="A2:R2"/>
    <mergeCell ref="A3:C3"/>
    <mergeCell ref="D3:F3"/>
    <mergeCell ref="G3:I3"/>
    <mergeCell ref="J3:M3"/>
    <mergeCell ref="A5:R5"/>
    <mergeCell ref="B7:D7"/>
    <mergeCell ref="F7:H7"/>
    <mergeCell ref="K7:M7"/>
    <mergeCell ref="O7:Q7"/>
    <mergeCell ref="F8:H10"/>
    <mergeCell ref="O8:Q10"/>
    <mergeCell ref="G11:H11"/>
    <mergeCell ref="P11:Q11"/>
    <mergeCell ref="B8:D10"/>
    <mergeCell ref="C11:D11"/>
    <mergeCell ref="B14:D14"/>
    <mergeCell ref="F14:H14"/>
    <mergeCell ref="B15:D17"/>
    <mergeCell ref="F15:H17"/>
    <mergeCell ref="C18:D18"/>
    <mergeCell ref="K8:M10"/>
    <mergeCell ref="L11:M11"/>
    <mergeCell ref="K14:M14"/>
    <mergeCell ref="O14:Q14"/>
    <mergeCell ref="K15:M17"/>
    <mergeCell ref="O15:Q15"/>
    <mergeCell ref="L18:M18"/>
    <mergeCell ref="G18:H18"/>
    <mergeCell ref="A22:J22"/>
    <mergeCell ref="A23:C23"/>
    <mergeCell ref="D23:E23"/>
    <mergeCell ref="F23:H23"/>
    <mergeCell ref="I23:J23"/>
    <mergeCell ref="I24:J24"/>
    <mergeCell ref="A28:C28"/>
    <mergeCell ref="D28:E28"/>
    <mergeCell ref="F28:H28"/>
    <mergeCell ref="I28:J28"/>
    <mergeCell ref="D29:E29"/>
    <mergeCell ref="F29:H29"/>
    <mergeCell ref="I29:J29"/>
    <mergeCell ref="F31:H31"/>
    <mergeCell ref="I31:J31"/>
    <mergeCell ref="L31:R31"/>
    <mergeCell ref="A29:C29"/>
    <mergeCell ref="A30:C30"/>
    <mergeCell ref="D30:E30"/>
    <mergeCell ref="F30:H30"/>
    <mergeCell ref="I30:J30"/>
    <mergeCell ref="A31:C31"/>
    <mergeCell ref="D31:E31"/>
  </mergeCells>
  <hyperlinks>
    <hyperlink display="Открыть →" location="'М и Х Bambu Lab'!A1" ref="C11"/>
    <hyperlink display="Открыть →" location="'Из наличия'!A1" ref="G11"/>
    <hyperlink display="Открыть →" location="'Предзаказ'!A1" ref="L11"/>
    <hyperlink display="Открыть →" location="'Доставка  самовывоз'!A1" ref="P11"/>
    <hyperlink display="Открыть →" location="'Мой склад - Документы'!A1" ref="C18"/>
    <hyperlink display="Открыть →" location="'Поставщик'!A1" ref="G18"/>
    <hyperlink display="Открыть →" location="'Логистика'!A1" ref="L18"/>
    <hyperlink display="Открыть →" location="Avito!A1" ref="P1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63</v>
      </c>
      <c r="S1" s="2"/>
      <c r="T1" s="2"/>
      <c r="U1" s="2"/>
      <c r="V1" s="2"/>
      <c r="W1" s="2"/>
      <c r="X1" s="2"/>
      <c r="Y1" s="2"/>
      <c r="Z1" s="2"/>
    </row>
    <row r="2">
      <c r="A2" s="3" t="s">
        <v>64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65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7" t="s">
        <v>7</v>
      </c>
      <c r="C7" s="8"/>
      <c r="D7" s="9"/>
      <c r="E7" s="2"/>
      <c r="F7" s="7" t="s">
        <v>8</v>
      </c>
      <c r="G7" s="8"/>
      <c r="H7" s="9"/>
      <c r="I7" s="2"/>
      <c r="J7" s="2"/>
      <c r="K7" s="7" t="s">
        <v>9</v>
      </c>
      <c r="L7" s="8"/>
      <c r="M7" s="9"/>
      <c r="N7" s="2"/>
      <c r="O7" s="7" t="s">
        <v>10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11</v>
      </c>
      <c r="D8" s="11"/>
      <c r="E8" s="2"/>
      <c r="F8" s="10" t="s">
        <v>12</v>
      </c>
      <c r="H8" s="11"/>
      <c r="I8" s="2"/>
      <c r="J8" s="2"/>
      <c r="K8" s="10" t="s">
        <v>13</v>
      </c>
      <c r="M8" s="11"/>
      <c r="N8" s="2"/>
      <c r="O8" s="10" t="s">
        <v>14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6"/>
      <c r="C11" s="17" t="s">
        <v>15</v>
      </c>
      <c r="D11" s="18"/>
      <c r="E11" s="2"/>
      <c r="F11" s="2"/>
      <c r="G11" s="17" t="s">
        <v>15</v>
      </c>
      <c r="H11" s="18"/>
      <c r="I11" s="2"/>
      <c r="J11" s="2"/>
      <c r="K11" s="2"/>
      <c r="L11" s="17" t="s">
        <v>15</v>
      </c>
      <c r="M11" s="18"/>
      <c r="N11" s="2"/>
      <c r="O11" s="2"/>
      <c r="P11" s="17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0" t="s">
        <v>67</v>
      </c>
      <c r="S14" s="2"/>
      <c r="T14" s="2"/>
      <c r="U14" s="2"/>
      <c r="V14" s="2"/>
      <c r="W14" s="2"/>
      <c r="X14" s="2"/>
      <c r="Y14" s="2"/>
      <c r="Z14" s="2"/>
    </row>
    <row r="15">
      <c r="A15" s="61" t="s">
        <v>68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3"/>
      <c r="S15" s="2"/>
      <c r="T15" s="2"/>
      <c r="U15" s="2"/>
      <c r="V15" s="2"/>
      <c r="W15" s="2"/>
      <c r="X15" s="2"/>
      <c r="Y15" s="2"/>
      <c r="Z15" s="2"/>
    </row>
    <row r="16">
      <c r="A16" s="64"/>
      <c r="R16" s="65"/>
      <c r="S16" s="2"/>
      <c r="T16" s="2"/>
      <c r="U16" s="2"/>
      <c r="V16" s="2"/>
      <c r="W16" s="2"/>
      <c r="X16" s="2"/>
      <c r="Y16" s="2"/>
      <c r="Z16" s="2"/>
    </row>
    <row r="17">
      <c r="A17" s="64"/>
      <c r="R17" s="65"/>
      <c r="S17" s="2"/>
      <c r="T17" s="2"/>
      <c r="U17" s="2"/>
      <c r="V17" s="2"/>
      <c r="W17" s="2"/>
      <c r="X17" s="2"/>
      <c r="Y17" s="2"/>
      <c r="Z17" s="2"/>
    </row>
    <row r="18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9" t="s">
        <v>69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1"/>
      <c r="S21" s="2"/>
      <c r="T21" s="2"/>
      <c r="U21" s="2"/>
      <c r="V21" s="2"/>
      <c r="W21" s="2"/>
      <c r="X21" s="2"/>
      <c r="Y21" s="2"/>
      <c r="Z21" s="2"/>
    </row>
    <row r="22">
      <c r="A22" s="72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73"/>
      <c r="S22" s="2"/>
      <c r="T22" s="2"/>
      <c r="U22" s="2"/>
      <c r="V22" s="2"/>
      <c r="W22" s="2"/>
      <c r="X22" s="2"/>
      <c r="Y22" s="2"/>
      <c r="Z22" s="2"/>
    </row>
    <row r="23">
      <c r="A23" s="74" t="s">
        <v>70</v>
      </c>
      <c r="B23" s="70"/>
      <c r="C23" s="70"/>
      <c r="D23" s="75" t="s">
        <v>71</v>
      </c>
      <c r="E23" s="70"/>
      <c r="F23" s="70"/>
      <c r="G23" s="70"/>
      <c r="H23" s="75" t="s">
        <v>71</v>
      </c>
      <c r="I23" s="70"/>
      <c r="J23" s="70"/>
      <c r="K23" s="70"/>
      <c r="L23" s="70"/>
      <c r="M23" s="75" t="s">
        <v>70</v>
      </c>
      <c r="N23" s="70"/>
      <c r="O23" s="70"/>
      <c r="P23" s="70"/>
      <c r="Q23" s="70"/>
      <c r="R23" s="70"/>
      <c r="S23" s="2"/>
      <c r="T23" s="2"/>
      <c r="U23" s="2"/>
      <c r="V23" s="2"/>
      <c r="W23" s="2"/>
      <c r="X23" s="2"/>
      <c r="Y23" s="2"/>
      <c r="Z23" s="2"/>
    </row>
    <row r="24">
      <c r="A24" s="76"/>
      <c r="B24" s="77"/>
      <c r="C24" s="77"/>
      <c r="D24" s="77"/>
      <c r="E24" s="77"/>
      <c r="F24" s="77"/>
      <c r="G24" s="77"/>
      <c r="M24" s="77"/>
      <c r="N24" s="77"/>
      <c r="O24" s="77"/>
      <c r="P24" s="77"/>
      <c r="Q24" s="77"/>
      <c r="R24" s="77"/>
      <c r="S24" s="2"/>
      <c r="T24" s="2"/>
      <c r="U24" s="2"/>
      <c r="V24" s="2"/>
      <c r="W24" s="2"/>
      <c r="X24" s="2"/>
      <c r="Y24" s="2"/>
      <c r="Z24" s="2"/>
    </row>
    <row r="25" ht="45.0" customHeight="1">
      <c r="A25" s="78" t="s">
        <v>72</v>
      </c>
      <c r="B25" s="79"/>
      <c r="C25" s="80"/>
      <c r="D25" s="81" t="s">
        <v>73</v>
      </c>
      <c r="E25" s="79"/>
      <c r="F25" s="79"/>
      <c r="G25" s="80"/>
      <c r="H25" s="81" t="s">
        <v>74</v>
      </c>
      <c r="I25" s="79"/>
      <c r="J25" s="79"/>
      <c r="K25" s="79"/>
      <c r="L25" s="80"/>
      <c r="M25" s="81" t="s">
        <v>75</v>
      </c>
      <c r="N25" s="79"/>
      <c r="O25" s="79"/>
      <c r="P25" s="79"/>
      <c r="Q25" s="79"/>
      <c r="R25" s="80"/>
      <c r="S25" s="2"/>
      <c r="T25" s="2"/>
      <c r="U25" s="2"/>
      <c r="V25" s="2"/>
      <c r="W25" s="2"/>
      <c r="X25" s="2"/>
      <c r="Y25" s="2"/>
      <c r="Z25" s="2"/>
    </row>
    <row r="26" ht="45.75" customHeight="1">
      <c r="A26" s="82" t="s">
        <v>76</v>
      </c>
      <c r="B26" s="83"/>
      <c r="C26" s="84"/>
      <c r="D26" s="85" t="s">
        <v>77</v>
      </c>
      <c r="E26" s="83"/>
      <c r="F26" s="83"/>
      <c r="G26" s="84"/>
      <c r="H26" s="85" t="s">
        <v>78</v>
      </c>
      <c r="I26" s="83"/>
      <c r="J26" s="83"/>
      <c r="K26" s="83"/>
      <c r="L26" s="84"/>
      <c r="M26" s="85" t="s">
        <v>79</v>
      </c>
      <c r="N26" s="83"/>
      <c r="O26" s="83"/>
      <c r="P26" s="83"/>
      <c r="Q26" s="83"/>
      <c r="R26" s="84"/>
      <c r="S26" s="2"/>
      <c r="T26" s="2"/>
      <c r="U26" s="2"/>
      <c r="V26" s="2"/>
      <c r="W26" s="2"/>
      <c r="X26" s="2"/>
      <c r="Y26" s="2"/>
      <c r="Z26" s="2"/>
    </row>
    <row r="27" ht="42.0" customHeight="1">
      <c r="A27" s="86" t="s">
        <v>80</v>
      </c>
      <c r="B27" s="83"/>
      <c r="C27" s="84"/>
      <c r="D27" s="87" t="s">
        <v>81</v>
      </c>
      <c r="E27" s="83"/>
      <c r="F27" s="83"/>
      <c r="G27" s="84"/>
      <c r="H27" s="87" t="s">
        <v>82</v>
      </c>
      <c r="I27" s="83"/>
      <c r="J27" s="83"/>
      <c r="K27" s="83"/>
      <c r="L27" s="84"/>
      <c r="M27" s="87" t="s">
        <v>83</v>
      </c>
      <c r="N27" s="83"/>
      <c r="O27" s="83"/>
      <c r="P27" s="83"/>
      <c r="Q27" s="83"/>
      <c r="R27" s="84"/>
      <c r="S27" s="2"/>
      <c r="T27" s="2"/>
      <c r="U27" s="2"/>
      <c r="V27" s="2"/>
      <c r="W27" s="2"/>
      <c r="X27" s="2"/>
      <c r="Y27" s="2"/>
      <c r="Z27" s="2"/>
    </row>
    <row r="28" ht="46.5" customHeight="1">
      <c r="A28" s="82" t="s">
        <v>18</v>
      </c>
      <c r="B28" s="83"/>
      <c r="C28" s="84"/>
      <c r="D28" s="85" t="s">
        <v>84</v>
      </c>
      <c r="E28" s="83"/>
      <c r="F28" s="83"/>
      <c r="G28" s="84"/>
      <c r="H28" s="85" t="s">
        <v>85</v>
      </c>
      <c r="I28" s="83"/>
      <c r="J28" s="83"/>
      <c r="K28" s="83"/>
      <c r="L28" s="84"/>
      <c r="M28" s="85" t="s">
        <v>86</v>
      </c>
      <c r="N28" s="83"/>
      <c r="O28" s="83"/>
      <c r="P28" s="83"/>
      <c r="Q28" s="83"/>
      <c r="R28" s="84"/>
      <c r="S28" s="2"/>
      <c r="T28" s="2"/>
      <c r="U28" s="2"/>
      <c r="V28" s="2"/>
      <c r="W28" s="2"/>
      <c r="X28" s="2"/>
      <c r="Y28" s="2"/>
      <c r="Z28" s="2"/>
    </row>
    <row r="29" ht="48.75" customHeight="1">
      <c r="A29" s="86" t="s">
        <v>87</v>
      </c>
      <c r="B29" s="83"/>
      <c r="C29" s="84"/>
      <c r="D29" s="87" t="s">
        <v>88</v>
      </c>
      <c r="E29" s="83"/>
      <c r="F29" s="83"/>
      <c r="G29" s="84"/>
      <c r="H29" s="87" t="s">
        <v>89</v>
      </c>
      <c r="I29" s="83"/>
      <c r="J29" s="83"/>
      <c r="K29" s="83"/>
      <c r="L29" s="84"/>
      <c r="M29" s="87" t="s">
        <v>90</v>
      </c>
      <c r="N29" s="83"/>
      <c r="O29" s="83"/>
      <c r="P29" s="83"/>
      <c r="Q29" s="83"/>
      <c r="R29" s="84"/>
      <c r="S29" s="2"/>
      <c r="T29" s="2"/>
      <c r="U29" s="2"/>
      <c r="V29" s="2"/>
      <c r="W29" s="2"/>
      <c r="X29" s="2"/>
      <c r="Y29" s="2"/>
      <c r="Z29" s="2"/>
    </row>
    <row r="30" ht="57.75" customHeight="1">
      <c r="A30" s="88" t="s">
        <v>91</v>
      </c>
      <c r="B30" s="89"/>
      <c r="C30" s="90"/>
      <c r="D30" s="91" t="s">
        <v>92</v>
      </c>
      <c r="E30" s="89"/>
      <c r="F30" s="89"/>
      <c r="G30" s="90"/>
      <c r="H30" s="91" t="s">
        <v>93</v>
      </c>
      <c r="I30" s="89"/>
      <c r="J30" s="89"/>
      <c r="K30" s="89"/>
      <c r="L30" s="90"/>
      <c r="M30" s="91" t="s">
        <v>94</v>
      </c>
      <c r="N30" s="89"/>
      <c r="O30" s="89"/>
      <c r="P30" s="89"/>
      <c r="Q30" s="89"/>
      <c r="R30" s="90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92"/>
      <c r="N31" s="92"/>
      <c r="O31" s="9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9"/>
      <c r="N32" s="93"/>
      <c r="O32" s="93"/>
      <c r="P32" s="93"/>
      <c r="Q32" s="19"/>
      <c r="R32" s="2"/>
      <c r="S32" s="2"/>
      <c r="T32" s="2"/>
      <c r="U32" s="2"/>
      <c r="V32" s="2"/>
      <c r="W32" s="2"/>
      <c r="X32" s="2"/>
      <c r="Y32" s="2"/>
      <c r="Z32" s="2"/>
    </row>
    <row r="33">
      <c r="A33" s="93"/>
      <c r="B33" s="93"/>
      <c r="D33" s="93"/>
      <c r="E33" s="93"/>
      <c r="H33" s="93"/>
      <c r="J33" s="93"/>
      <c r="K33" s="19"/>
      <c r="L33" s="2"/>
      <c r="M33" s="19"/>
      <c r="N33" s="93"/>
      <c r="O33" s="93"/>
      <c r="P33" s="7" t="s">
        <v>95</v>
      </c>
      <c r="Q33" s="8"/>
      <c r="R33" s="9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9"/>
      <c r="N34" s="93"/>
      <c r="O34" s="93"/>
      <c r="P34" s="94" t="s">
        <v>15</v>
      </c>
      <c r="Q34" s="95"/>
      <c r="R34" s="96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9"/>
      <c r="N35" s="93"/>
      <c r="O35" s="93"/>
      <c r="P35" s="93"/>
      <c r="Q35" s="19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97"/>
      <c r="C36" s="97"/>
      <c r="D36" s="97"/>
      <c r="E36" s="97"/>
      <c r="F36" s="97"/>
      <c r="G36" s="97"/>
      <c r="H36" s="97"/>
      <c r="I36" s="2"/>
      <c r="J36" s="2"/>
      <c r="K36" s="2"/>
      <c r="L36" s="2"/>
      <c r="M36" s="93"/>
      <c r="N36" s="93"/>
      <c r="O36" s="93"/>
      <c r="P36" s="93"/>
      <c r="Q36" s="19"/>
      <c r="R36" s="2"/>
      <c r="S36" s="2"/>
      <c r="T36" s="2"/>
      <c r="U36" s="2"/>
      <c r="V36" s="2"/>
      <c r="W36" s="2"/>
      <c r="X36" s="2"/>
      <c r="Y36" s="2"/>
      <c r="Z36" s="2"/>
    </row>
    <row r="37">
      <c r="A37" s="19"/>
      <c r="B37" s="97"/>
      <c r="C37" s="97"/>
      <c r="D37" s="97"/>
      <c r="E37" s="97"/>
      <c r="F37" s="97"/>
      <c r="G37" s="97"/>
      <c r="H37" s="97"/>
      <c r="I37" s="33"/>
      <c r="J37" s="33"/>
      <c r="K37" s="19"/>
      <c r="L37" s="19"/>
      <c r="M37" s="19"/>
      <c r="N37" s="93"/>
      <c r="O37" s="93"/>
      <c r="P37" s="93"/>
      <c r="Q37" s="19"/>
      <c r="R37" s="2"/>
      <c r="S37" s="2"/>
      <c r="T37" s="2"/>
      <c r="U37" s="2"/>
      <c r="V37" s="2"/>
      <c r="W37" s="2"/>
      <c r="X37" s="2"/>
      <c r="Y37" s="2"/>
      <c r="Z37" s="2"/>
    </row>
    <row r="38">
      <c r="A38" s="19"/>
      <c r="B38" s="97"/>
      <c r="C38" s="97"/>
      <c r="D38" s="97"/>
      <c r="E38" s="97"/>
      <c r="F38" s="97"/>
      <c r="G38" s="97"/>
      <c r="H38" s="97"/>
      <c r="I38" s="98"/>
      <c r="J38" s="98"/>
      <c r="K38" s="19"/>
      <c r="L38" s="19"/>
      <c r="M38" s="19"/>
      <c r="N38" s="93"/>
      <c r="O38" s="93"/>
      <c r="P38" s="93"/>
      <c r="Q38" s="19"/>
      <c r="R38" s="2"/>
      <c r="S38" s="2"/>
      <c r="T38" s="2"/>
      <c r="U38" s="2"/>
      <c r="V38" s="2"/>
      <c r="W38" s="2"/>
      <c r="X38" s="2"/>
      <c r="Y38" s="2"/>
      <c r="Z38" s="2"/>
    </row>
    <row r="39">
      <c r="A39" s="19"/>
      <c r="B39" s="99"/>
      <c r="C39" s="97"/>
      <c r="D39" s="97"/>
      <c r="E39" s="97"/>
      <c r="F39" s="97"/>
      <c r="G39" s="97"/>
      <c r="H39" s="97"/>
      <c r="I39" s="97"/>
      <c r="J39" s="97"/>
      <c r="K39" s="19"/>
      <c r="L39" s="19"/>
      <c r="M39" s="19"/>
      <c r="N39" s="19"/>
      <c r="O39" s="19"/>
      <c r="P39" s="19"/>
      <c r="Q39" s="19"/>
      <c r="R39" s="2"/>
      <c r="S39" s="2"/>
      <c r="T39" s="2"/>
      <c r="U39" s="2"/>
      <c r="V39" s="2"/>
      <c r="W39" s="2"/>
      <c r="X39" s="2"/>
      <c r="Y39" s="2"/>
      <c r="Z39" s="2"/>
    </row>
    <row r="40">
      <c r="A40" s="19"/>
      <c r="B40" s="99"/>
      <c r="C40" s="97"/>
      <c r="D40" s="97"/>
      <c r="E40" s="97"/>
      <c r="F40" s="97"/>
      <c r="G40" s="97"/>
      <c r="H40" s="97"/>
      <c r="I40" s="97"/>
      <c r="J40" s="97"/>
      <c r="K40" s="19"/>
      <c r="L40" s="19"/>
      <c r="M40" s="1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"/>
      <c r="B41" s="99"/>
      <c r="C41" s="97"/>
      <c r="D41" s="97"/>
      <c r="E41" s="97"/>
      <c r="F41" s="97"/>
      <c r="G41" s="97"/>
      <c r="H41" s="97"/>
      <c r="I41" s="97"/>
      <c r="J41" s="97"/>
      <c r="K41" s="19"/>
      <c r="L41" s="19"/>
      <c r="M41" s="1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9"/>
      <c r="B42" s="99"/>
      <c r="C42" s="97"/>
      <c r="D42" s="97"/>
      <c r="E42" s="97"/>
      <c r="F42" s="97"/>
      <c r="G42" s="97"/>
      <c r="H42" s="97"/>
      <c r="I42" s="97"/>
      <c r="J42" s="97"/>
      <c r="K42" s="19"/>
      <c r="L42" s="19"/>
      <c r="M42" s="1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/>
      <c r="B43" s="99"/>
      <c r="C43" s="97"/>
      <c r="D43" s="97"/>
      <c r="E43" s="97"/>
      <c r="F43" s="97"/>
      <c r="G43" s="97"/>
      <c r="H43" s="97"/>
      <c r="I43" s="97"/>
      <c r="J43" s="97"/>
      <c r="K43" s="19"/>
      <c r="L43" s="19"/>
      <c r="M43" s="1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9"/>
      <c r="B44" s="99"/>
      <c r="C44" s="97"/>
      <c r="D44" s="97"/>
      <c r="E44" s="97"/>
      <c r="F44" s="97"/>
      <c r="G44" s="97"/>
      <c r="H44" s="97"/>
      <c r="I44" s="97"/>
      <c r="J44" s="97"/>
      <c r="K44" s="19"/>
      <c r="L44" s="19"/>
      <c r="M44" s="1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9"/>
      <c r="B45" s="99"/>
      <c r="C45" s="97"/>
      <c r="D45" s="97"/>
      <c r="E45" s="97"/>
      <c r="F45" s="97"/>
      <c r="G45" s="97"/>
      <c r="H45" s="97"/>
      <c r="I45" s="97"/>
      <c r="J45" s="97"/>
      <c r="K45" s="19"/>
      <c r="L45" s="19"/>
      <c r="M45" s="1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/>
      <c r="B46" s="99"/>
      <c r="C46" s="97"/>
      <c r="D46" s="97"/>
      <c r="E46" s="97"/>
      <c r="F46" s="97"/>
      <c r="G46" s="97"/>
      <c r="H46" s="97"/>
      <c r="I46" s="97"/>
      <c r="J46" s="97"/>
      <c r="K46" s="19"/>
      <c r="L46" s="19"/>
      <c r="M46" s="1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9"/>
      <c r="B47" s="99"/>
      <c r="C47" s="97"/>
      <c r="D47" s="97"/>
      <c r="E47" s="97"/>
      <c r="F47" s="97"/>
      <c r="G47" s="97"/>
      <c r="H47" s="97"/>
      <c r="I47" s="97"/>
      <c r="J47" s="97"/>
      <c r="K47" s="19"/>
      <c r="L47" s="19"/>
      <c r="M47" s="1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"/>
      <c r="B48" s="99"/>
      <c r="C48" s="97"/>
      <c r="D48" s="97"/>
      <c r="E48" s="97"/>
      <c r="F48" s="97"/>
      <c r="G48" s="97"/>
      <c r="H48" s="97"/>
      <c r="I48" s="97"/>
      <c r="J48" s="97"/>
      <c r="K48" s="19"/>
      <c r="L48" s="19"/>
      <c r="M48" s="1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9"/>
      <c r="B49" s="99"/>
      <c r="C49" s="97"/>
      <c r="D49" s="97"/>
      <c r="E49" s="97"/>
      <c r="F49" s="97"/>
      <c r="G49" s="97"/>
      <c r="H49" s="97"/>
      <c r="I49" s="97"/>
      <c r="J49" s="97"/>
      <c r="K49" s="19"/>
      <c r="L49" s="19"/>
      <c r="M49" s="1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9"/>
      <c r="B50" s="99"/>
      <c r="C50" s="97"/>
      <c r="D50" s="97"/>
      <c r="E50" s="97"/>
      <c r="F50" s="97"/>
      <c r="G50" s="97"/>
      <c r="H50" s="97"/>
      <c r="I50" s="97"/>
      <c r="J50" s="97"/>
      <c r="K50" s="19"/>
      <c r="L50" s="19"/>
      <c r="M50" s="1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9"/>
      <c r="B51" s="99"/>
      <c r="C51" s="97"/>
      <c r="D51" s="97"/>
      <c r="E51" s="97"/>
      <c r="F51" s="97"/>
      <c r="G51" s="97"/>
      <c r="H51" s="97"/>
      <c r="I51" s="97"/>
      <c r="J51" s="97"/>
      <c r="K51" s="19"/>
      <c r="L51" s="19"/>
      <c r="M51" s="1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9"/>
      <c r="B52" s="99"/>
      <c r="C52" s="97"/>
      <c r="D52" s="97"/>
      <c r="E52" s="97"/>
      <c r="F52" s="97"/>
      <c r="G52" s="97"/>
      <c r="H52" s="97"/>
      <c r="I52" s="97"/>
      <c r="J52" s="97"/>
      <c r="K52" s="19"/>
      <c r="L52" s="19"/>
      <c r="M52" s="1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55">
    <mergeCell ref="A27:C27"/>
    <mergeCell ref="D27:G27"/>
    <mergeCell ref="H27:L27"/>
    <mergeCell ref="M27:R27"/>
    <mergeCell ref="D28:G28"/>
    <mergeCell ref="H28:L28"/>
    <mergeCell ref="M28:R28"/>
    <mergeCell ref="H30:L30"/>
    <mergeCell ref="M30:R30"/>
    <mergeCell ref="B33:C33"/>
    <mergeCell ref="E33:G33"/>
    <mergeCell ref="H33:I33"/>
    <mergeCell ref="P33:R33"/>
    <mergeCell ref="P34:R34"/>
    <mergeCell ref="A28:C28"/>
    <mergeCell ref="A29:C29"/>
    <mergeCell ref="D29:G29"/>
    <mergeCell ref="H29:L29"/>
    <mergeCell ref="M29:R29"/>
    <mergeCell ref="A30:C30"/>
    <mergeCell ref="D30:G30"/>
    <mergeCell ref="A1:R1"/>
    <mergeCell ref="A2:R2"/>
    <mergeCell ref="A3:D3"/>
    <mergeCell ref="E3:H3"/>
    <mergeCell ref="I3:M3"/>
    <mergeCell ref="N3:R3"/>
    <mergeCell ref="A5:R5"/>
    <mergeCell ref="B8:D10"/>
    <mergeCell ref="C11:D11"/>
    <mergeCell ref="K8:M10"/>
    <mergeCell ref="L11:M11"/>
    <mergeCell ref="B7:D7"/>
    <mergeCell ref="F7:H7"/>
    <mergeCell ref="K7:M7"/>
    <mergeCell ref="O7:Q7"/>
    <mergeCell ref="F8:H10"/>
    <mergeCell ref="O8:Q10"/>
    <mergeCell ref="G11:H11"/>
    <mergeCell ref="M25:R25"/>
    <mergeCell ref="M26:R26"/>
    <mergeCell ref="P11:Q11"/>
    <mergeCell ref="A14:R14"/>
    <mergeCell ref="A15:R18"/>
    <mergeCell ref="A21:R22"/>
    <mergeCell ref="D23:G24"/>
    <mergeCell ref="H23:L24"/>
    <mergeCell ref="M23:R24"/>
    <mergeCell ref="A23:C24"/>
    <mergeCell ref="A25:C25"/>
    <mergeCell ref="D25:G25"/>
    <mergeCell ref="H25:L25"/>
    <mergeCell ref="A26:C26"/>
    <mergeCell ref="D26:G26"/>
    <mergeCell ref="H26:L26"/>
  </mergeCells>
  <hyperlinks>
    <hyperlink display="Открыть →" location="'М и Х Bambu Lab'!A1" ref="C11"/>
    <hyperlink display="Открыть →" location="'Из наличия'!A1" ref="G11"/>
    <hyperlink display="Открыть →" location="'Предзаказ'!A1" ref="L11"/>
    <hyperlink display="Открыть →" location="'Доставка  самовывоз'!A1" ref="P11"/>
    <hyperlink display="Открыть →" location="'Главная'!A1" ref="P3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8.25"/>
    <col customWidth="1" min="3" max="3" width="15.0"/>
    <col customWidth="1" min="4" max="4" width="15.25"/>
    <col customWidth="1" min="8" max="8" width="3.5"/>
  </cols>
  <sheetData>
    <row r="1">
      <c r="A1" s="2"/>
      <c r="B1" s="100"/>
      <c r="C1" s="10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101" t="s">
        <v>96</v>
      </c>
      <c r="C2" s="102"/>
      <c r="D2" s="2"/>
      <c r="E2" s="2"/>
      <c r="F2" s="2"/>
      <c r="G2" s="2"/>
      <c r="H2" s="2"/>
      <c r="I2" s="2"/>
      <c r="J2" s="2"/>
      <c r="K2" s="2"/>
      <c r="L2" s="2"/>
      <c r="M2" s="10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104"/>
      <c r="H3" s="104"/>
      <c r="I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05" t="s">
        <v>97</v>
      </c>
      <c r="C4" s="106" t="s">
        <v>98</v>
      </c>
      <c r="D4" s="106" t="s">
        <v>99</v>
      </c>
      <c r="E4" s="106" t="s">
        <v>100</v>
      </c>
      <c r="F4" s="106" t="s">
        <v>101</v>
      </c>
      <c r="G4" s="106" t="s">
        <v>102</v>
      </c>
      <c r="H4" s="107"/>
      <c r="I4" s="108" t="s">
        <v>103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09" t="s">
        <v>104</v>
      </c>
      <c r="C5" s="110" t="s">
        <v>105</v>
      </c>
      <c r="D5" s="110" t="s">
        <v>9</v>
      </c>
      <c r="E5" s="111" t="s">
        <v>106</v>
      </c>
      <c r="F5" s="112" t="s">
        <v>107</v>
      </c>
      <c r="G5" s="113">
        <f>IFERROR(__xludf.DUMMYFUNCTION("IMPORTRANGE(""https://docs.google.com/spreadsheets/d/1FPA6S4g2zCmxgAh8tBnq2ZI2RHjFsZbYGZ2v8df4HU8/edit"", ""'Unit-экономика'!U3:U20"")"),37500.0)</f>
        <v>37500</v>
      </c>
      <c r="H5" s="114"/>
      <c r="I5" s="115">
        <f t="shared" ref="I5:I22" si="1">G5 * 1.07</f>
        <v>40125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16" t="s">
        <v>104</v>
      </c>
      <c r="C6" s="110" t="s">
        <v>108</v>
      </c>
      <c r="D6" s="110" t="s">
        <v>9</v>
      </c>
      <c r="E6" s="111" t="s">
        <v>106</v>
      </c>
      <c r="F6" s="112" t="s">
        <v>107</v>
      </c>
      <c r="G6" s="113">
        <f>IFERROR(__xludf.DUMMYFUNCTION("""COMPUTED_VALUE"""),46990.0)</f>
        <v>46990</v>
      </c>
      <c r="H6" s="114"/>
      <c r="I6" s="115">
        <f t="shared" si="1"/>
        <v>50279.3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09" t="s">
        <v>104</v>
      </c>
      <c r="C7" s="110" t="s">
        <v>109</v>
      </c>
      <c r="D7" s="110" t="s">
        <v>9</v>
      </c>
      <c r="E7" s="111" t="s">
        <v>106</v>
      </c>
      <c r="F7" s="112" t="s">
        <v>107</v>
      </c>
      <c r="G7" s="113">
        <f>IFERROR(__xludf.DUMMYFUNCTION("""COMPUTED_VALUE"""),94900.0)</f>
        <v>94900</v>
      </c>
      <c r="H7" s="114"/>
      <c r="I7" s="115">
        <f t="shared" si="1"/>
        <v>101543</v>
      </c>
      <c r="J7" s="2"/>
      <c r="K7" s="1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09" t="s">
        <v>104</v>
      </c>
      <c r="C8" s="110" t="s">
        <v>110</v>
      </c>
      <c r="D8" s="110" t="s">
        <v>9</v>
      </c>
      <c r="E8" s="111" t="s">
        <v>106</v>
      </c>
      <c r="F8" s="112" t="s">
        <v>107</v>
      </c>
      <c r="G8" s="113">
        <f>IFERROR(__xludf.DUMMYFUNCTION("""COMPUTED_VALUE"""),189000.0)</f>
        <v>189000</v>
      </c>
      <c r="H8" s="114"/>
      <c r="I8" s="115">
        <f t="shared" si="1"/>
        <v>202230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16" t="s">
        <v>104</v>
      </c>
      <c r="C9" s="110" t="s">
        <v>111</v>
      </c>
      <c r="D9" s="110" t="s">
        <v>9</v>
      </c>
      <c r="E9" s="111" t="s">
        <v>106</v>
      </c>
      <c r="F9" s="112" t="s">
        <v>107</v>
      </c>
      <c r="G9" s="113">
        <f>IFERROR(__xludf.DUMMYFUNCTION("""COMPUTED_VALUE"""),149000.0)</f>
        <v>149000</v>
      </c>
      <c r="H9" s="114"/>
      <c r="I9" s="115">
        <f t="shared" si="1"/>
        <v>159430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4"/>
      <c r="B10" s="118" t="s">
        <v>112</v>
      </c>
      <c r="C10" s="119" t="s">
        <v>111</v>
      </c>
      <c r="D10" s="119" t="s">
        <v>9</v>
      </c>
      <c r="E10" s="120" t="s">
        <v>106</v>
      </c>
      <c r="F10" s="121" t="s">
        <v>107</v>
      </c>
      <c r="G10" s="113">
        <f>IFERROR(__xludf.DUMMYFUNCTION("""COMPUTED_VALUE"""),139000.0)</f>
        <v>139000</v>
      </c>
      <c r="H10" s="114"/>
      <c r="I10" s="115">
        <f t="shared" si="1"/>
        <v>148730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4"/>
      <c r="B11" s="109" t="s">
        <v>104</v>
      </c>
      <c r="C11" s="110" t="s">
        <v>113</v>
      </c>
      <c r="D11" s="110" t="s">
        <v>9</v>
      </c>
      <c r="E11" s="111" t="s">
        <v>106</v>
      </c>
      <c r="F11" s="112" t="s">
        <v>107</v>
      </c>
      <c r="G11" s="113">
        <f>IFERROR(__xludf.DUMMYFUNCTION("""COMPUTED_VALUE"""),269000.0)</f>
        <v>269000</v>
      </c>
      <c r="H11" s="114"/>
      <c r="I11" s="115">
        <f t="shared" si="1"/>
        <v>287830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16" t="s">
        <v>104</v>
      </c>
      <c r="C12" s="110" t="s">
        <v>114</v>
      </c>
      <c r="D12" s="110" t="s">
        <v>9</v>
      </c>
      <c r="E12" s="111" t="s">
        <v>106</v>
      </c>
      <c r="F12" s="112" t="s">
        <v>107</v>
      </c>
      <c r="G12" s="113">
        <f>IFERROR(__xludf.DUMMYFUNCTION("""COMPUTED_VALUE"""),289000.0)</f>
        <v>289000</v>
      </c>
      <c r="H12" s="114"/>
      <c r="I12" s="115">
        <f t="shared" si="1"/>
        <v>309230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16" t="s">
        <v>104</v>
      </c>
      <c r="C13" s="110" t="s">
        <v>115</v>
      </c>
      <c r="D13" s="110" t="s">
        <v>9</v>
      </c>
      <c r="E13" s="111" t="s">
        <v>106</v>
      </c>
      <c r="F13" s="112" t="s">
        <v>107</v>
      </c>
      <c r="G13" s="113">
        <f>IFERROR(__xludf.DUMMYFUNCTION("""COMPUTED_VALUE"""),199000.0)</f>
        <v>199000</v>
      </c>
      <c r="H13" s="114"/>
      <c r="I13" s="115">
        <f t="shared" si="1"/>
        <v>212930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16" t="s">
        <v>104</v>
      </c>
      <c r="C14" s="110" t="s">
        <v>116</v>
      </c>
      <c r="D14" s="110" t="s">
        <v>9</v>
      </c>
      <c r="E14" s="111" t="s">
        <v>106</v>
      </c>
      <c r="F14" s="112" t="s">
        <v>107</v>
      </c>
      <c r="G14" s="113">
        <f>IFERROR(__xludf.DUMMYFUNCTION("""COMPUTED_VALUE"""),299000.0)</f>
        <v>299000</v>
      </c>
      <c r="H14" s="114"/>
      <c r="I14" s="115">
        <f t="shared" si="1"/>
        <v>319930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18" t="s">
        <v>112</v>
      </c>
      <c r="C15" s="119" t="s">
        <v>115</v>
      </c>
      <c r="D15" s="119" t="s">
        <v>9</v>
      </c>
      <c r="E15" s="120" t="s">
        <v>106</v>
      </c>
      <c r="F15" s="121" t="s">
        <v>107</v>
      </c>
      <c r="G15" s="113">
        <f>IFERROR(__xludf.DUMMYFUNCTION("""COMPUTED_VALUE"""),159000.0)</f>
        <v>159000</v>
      </c>
      <c r="H15" s="114"/>
      <c r="I15" s="115">
        <f t="shared" si="1"/>
        <v>170130</v>
      </c>
      <c r="L15" s="2"/>
      <c r="M15" s="104"/>
      <c r="N15" s="104"/>
      <c r="O15" s="122"/>
      <c r="P15" s="104"/>
      <c r="Q15" s="104"/>
      <c r="R15" s="104"/>
      <c r="S15" s="2"/>
      <c r="T15" s="2"/>
      <c r="U15" s="2"/>
      <c r="V15" s="2"/>
      <c r="W15" s="2"/>
      <c r="X15" s="2"/>
      <c r="Y15" s="2"/>
      <c r="Z15" s="2"/>
      <c r="AA15" s="2"/>
    </row>
    <row r="16">
      <c r="B16" s="118" t="s">
        <v>112</v>
      </c>
      <c r="C16" s="119" t="s">
        <v>113</v>
      </c>
      <c r="D16" s="119" t="s">
        <v>9</v>
      </c>
      <c r="E16" s="120" t="s">
        <v>106</v>
      </c>
      <c r="F16" s="121" t="s">
        <v>107</v>
      </c>
      <c r="G16" s="113">
        <f>IFERROR(__xludf.DUMMYFUNCTION("""COMPUTED_VALUE"""),229000.0)</f>
        <v>229000</v>
      </c>
      <c r="H16" s="114"/>
      <c r="I16" s="115">
        <f t="shared" si="1"/>
        <v>245030</v>
      </c>
      <c r="L16" s="2"/>
      <c r="M16" s="104"/>
      <c r="N16" s="104"/>
      <c r="O16" s="122"/>
      <c r="P16" s="104"/>
      <c r="Q16" s="104"/>
      <c r="R16" s="104"/>
      <c r="S16" s="2"/>
      <c r="T16" s="2"/>
      <c r="U16" s="2"/>
      <c r="V16" s="2"/>
      <c r="W16" s="2"/>
      <c r="X16" s="2"/>
      <c r="Y16" s="2"/>
      <c r="Z16" s="2"/>
      <c r="AA16" s="2"/>
    </row>
    <row r="17">
      <c r="B17" s="118" t="s">
        <v>112</v>
      </c>
      <c r="C17" s="119" t="s">
        <v>114</v>
      </c>
      <c r="D17" s="119" t="s">
        <v>9</v>
      </c>
      <c r="E17" s="120" t="s">
        <v>106</v>
      </c>
      <c r="F17" s="121" t="s">
        <v>107</v>
      </c>
      <c r="G17" s="113">
        <f>IFERROR(__xludf.DUMMYFUNCTION("""COMPUTED_VALUE"""),259000.0)</f>
        <v>259000</v>
      </c>
      <c r="H17" s="114"/>
      <c r="I17" s="115">
        <f t="shared" si="1"/>
        <v>277130</v>
      </c>
      <c r="L17" s="2"/>
      <c r="M17" s="104"/>
      <c r="N17" s="104"/>
      <c r="O17" s="122"/>
      <c r="P17" s="104"/>
      <c r="Q17" s="104"/>
      <c r="R17" s="104"/>
      <c r="S17" s="2"/>
      <c r="T17" s="2"/>
      <c r="U17" s="2"/>
      <c r="V17" s="2"/>
      <c r="W17" s="2"/>
      <c r="X17" s="2"/>
      <c r="Y17" s="2"/>
      <c r="Z17" s="2"/>
      <c r="AA17" s="2"/>
    </row>
    <row r="18">
      <c r="B18" s="123" t="s">
        <v>112</v>
      </c>
      <c r="C18" s="119" t="s">
        <v>116</v>
      </c>
      <c r="D18" s="119" t="s">
        <v>9</v>
      </c>
      <c r="E18" s="120" t="s">
        <v>106</v>
      </c>
      <c r="F18" s="121" t="s">
        <v>107</v>
      </c>
      <c r="G18" s="113">
        <f>IFERROR(__xludf.DUMMYFUNCTION("""COMPUTED_VALUE"""),329000.0)</f>
        <v>329000</v>
      </c>
      <c r="H18" s="114"/>
      <c r="I18" s="115">
        <f t="shared" si="1"/>
        <v>352030</v>
      </c>
      <c r="L18" s="2"/>
      <c r="M18" s="104"/>
      <c r="N18" s="104"/>
      <c r="O18" s="104"/>
      <c r="P18" s="104"/>
      <c r="Q18" s="104"/>
      <c r="R18" s="104"/>
      <c r="S18" s="2"/>
      <c r="T18" s="2"/>
      <c r="U18" s="2"/>
      <c r="V18" s="2"/>
      <c r="W18" s="2"/>
      <c r="X18" s="2"/>
      <c r="Y18" s="2"/>
      <c r="Z18" s="2"/>
      <c r="AA18" s="2"/>
    </row>
    <row r="19">
      <c r="B19" s="116" t="s">
        <v>104</v>
      </c>
      <c r="C19" s="110" t="s">
        <v>117</v>
      </c>
      <c r="D19" s="112" t="s">
        <v>9</v>
      </c>
      <c r="E19" s="111" t="s">
        <v>106</v>
      </c>
      <c r="F19" s="112" t="s">
        <v>107</v>
      </c>
      <c r="G19" s="113">
        <f>IFERROR(__xludf.DUMMYFUNCTION("""COMPUTED_VALUE"""),274000.0)</f>
        <v>274000</v>
      </c>
      <c r="H19" s="114"/>
      <c r="I19" s="115">
        <f t="shared" si="1"/>
        <v>293180</v>
      </c>
      <c r="L19" s="2"/>
      <c r="M19" s="104"/>
      <c r="N19" s="104"/>
      <c r="O19" s="104"/>
      <c r="P19" s="104"/>
      <c r="Q19" s="104"/>
      <c r="R19" s="104"/>
      <c r="S19" s="2"/>
      <c r="T19" s="2"/>
      <c r="U19" s="2"/>
      <c r="V19" s="2"/>
      <c r="W19" s="2"/>
      <c r="X19" s="2"/>
      <c r="Y19" s="2"/>
      <c r="Z19" s="2"/>
      <c r="AA19" s="2"/>
    </row>
    <row r="20">
      <c r="B20" s="116" t="s">
        <v>104</v>
      </c>
      <c r="C20" s="110" t="s">
        <v>118</v>
      </c>
      <c r="D20" s="110" t="s">
        <v>9</v>
      </c>
      <c r="E20" s="111" t="s">
        <v>106</v>
      </c>
      <c r="F20" s="112" t="s">
        <v>107</v>
      </c>
      <c r="G20" s="113">
        <f>IFERROR(__xludf.DUMMYFUNCTION("""COMPUTED_VALUE"""),309000.0)</f>
        <v>309000</v>
      </c>
      <c r="H20" s="114"/>
      <c r="I20" s="115">
        <f t="shared" si="1"/>
        <v>330630</v>
      </c>
      <c r="L20" s="2"/>
      <c r="M20" s="104"/>
      <c r="N20" s="104"/>
      <c r="O20" s="104"/>
      <c r="P20" s="104"/>
      <c r="Q20" s="104"/>
      <c r="R20" s="104"/>
      <c r="S20" s="2"/>
      <c r="T20" s="2"/>
      <c r="U20" s="2"/>
      <c r="V20" s="2"/>
      <c r="W20" s="2"/>
      <c r="X20" s="2"/>
      <c r="Y20" s="2"/>
      <c r="Z20" s="2"/>
      <c r="AA20" s="2"/>
    </row>
    <row r="21">
      <c r="B21" s="116" t="s">
        <v>104</v>
      </c>
      <c r="C21" s="110" t="s">
        <v>119</v>
      </c>
      <c r="D21" s="112" t="s">
        <v>9</v>
      </c>
      <c r="E21" s="111" t="s">
        <v>106</v>
      </c>
      <c r="F21" s="112" t="s">
        <v>107</v>
      </c>
      <c r="G21" s="113">
        <f>IFERROR(__xludf.DUMMYFUNCTION("""COMPUTED_VALUE"""),239000.0)</f>
        <v>239000</v>
      </c>
      <c r="H21" s="114"/>
      <c r="I21" s="115">
        <f t="shared" si="1"/>
        <v>255730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24" t="s">
        <v>112</v>
      </c>
      <c r="C22" s="125" t="s">
        <v>119</v>
      </c>
      <c r="D22" s="126" t="s">
        <v>9</v>
      </c>
      <c r="E22" s="127" t="s">
        <v>106</v>
      </c>
      <c r="F22" s="126" t="s">
        <v>107</v>
      </c>
      <c r="G22" s="128">
        <f>IFERROR(__xludf.DUMMYFUNCTION("""COMPUTED_VALUE"""),194900.0)</f>
        <v>194900</v>
      </c>
      <c r="H22" s="129"/>
      <c r="I22" s="115">
        <f t="shared" si="1"/>
        <v>208543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30" t="s">
        <v>120</v>
      </c>
      <c r="C26" s="102"/>
      <c r="D26" s="2"/>
      <c r="E26" s="2"/>
      <c r="F26" s="2"/>
      <c r="G26" s="2"/>
      <c r="H26" s="2"/>
      <c r="I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131"/>
      <c r="C27" s="131"/>
      <c r="D27" s="2"/>
      <c r="E27" s="2"/>
      <c r="F27" s="2"/>
      <c r="G27" s="2"/>
      <c r="H27" s="2"/>
      <c r="I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132" t="s">
        <v>121</v>
      </c>
      <c r="C28" s="133"/>
      <c r="D28" s="134" t="s">
        <v>122</v>
      </c>
      <c r="E28" s="133"/>
      <c r="F28" s="132" t="s">
        <v>123</v>
      </c>
      <c r="G28" s="135"/>
      <c r="H28" s="133"/>
      <c r="I28" s="132" t="s">
        <v>115</v>
      </c>
      <c r="J28" s="133"/>
      <c r="K28" s="134" t="s">
        <v>124</v>
      </c>
      <c r="L28" s="133"/>
      <c r="M28" s="132" t="s">
        <v>119</v>
      </c>
      <c r="N28" s="133"/>
      <c r="Y28" s="2"/>
      <c r="Z28" s="2"/>
      <c r="AA28" s="2"/>
    </row>
    <row r="29">
      <c r="A29" s="2"/>
      <c r="B29" s="136" t="s">
        <v>125</v>
      </c>
      <c r="C29" s="133"/>
      <c r="D29" s="137" t="s">
        <v>126</v>
      </c>
      <c r="E29" s="133"/>
      <c r="F29" s="138" t="s">
        <v>127</v>
      </c>
      <c r="G29" s="135"/>
      <c r="H29" s="133"/>
      <c r="I29" s="137" t="s">
        <v>128</v>
      </c>
      <c r="J29" s="133"/>
      <c r="K29" s="138" t="s">
        <v>129</v>
      </c>
      <c r="L29" s="133"/>
      <c r="M29" s="137" t="s">
        <v>130</v>
      </c>
      <c r="N29" s="133"/>
      <c r="Y29" s="2"/>
      <c r="Z29" s="2"/>
      <c r="AA29" s="2"/>
    </row>
    <row r="30">
      <c r="A30" s="2"/>
      <c r="B30" s="139" t="s">
        <v>131</v>
      </c>
      <c r="C30" s="133"/>
      <c r="D30" s="140" t="s">
        <v>132</v>
      </c>
      <c r="E30" s="133"/>
      <c r="F30" s="141" t="s">
        <v>133</v>
      </c>
      <c r="G30" s="135"/>
      <c r="H30" s="133"/>
      <c r="I30" s="140" t="s">
        <v>134</v>
      </c>
      <c r="J30" s="133"/>
      <c r="K30" s="141" t="s">
        <v>135</v>
      </c>
      <c r="L30" s="133"/>
      <c r="M30" s="140" t="s">
        <v>136</v>
      </c>
      <c r="N30" s="133"/>
      <c r="Y30" s="2"/>
      <c r="Z30" s="2"/>
      <c r="AA30" s="2"/>
    </row>
    <row r="31">
      <c r="A31" s="2"/>
      <c r="B31" s="136" t="s">
        <v>137</v>
      </c>
      <c r="C31" s="133"/>
      <c r="D31" s="137" t="s">
        <v>138</v>
      </c>
      <c r="E31" s="133"/>
      <c r="F31" s="138" t="s">
        <v>139</v>
      </c>
      <c r="G31" s="135"/>
      <c r="H31" s="133"/>
      <c r="I31" s="137" t="s">
        <v>139</v>
      </c>
      <c r="J31" s="133"/>
      <c r="K31" s="138" t="s">
        <v>139</v>
      </c>
      <c r="L31" s="133"/>
      <c r="M31" s="137" t="s">
        <v>140</v>
      </c>
      <c r="N31" s="133"/>
      <c r="Y31" s="2"/>
      <c r="Z31" s="2"/>
      <c r="AA31" s="2"/>
    </row>
    <row r="32">
      <c r="A32" s="2"/>
      <c r="B32" s="136" t="s">
        <v>141</v>
      </c>
      <c r="C32" s="133"/>
      <c r="D32" s="140" t="s">
        <v>142</v>
      </c>
      <c r="E32" s="133"/>
      <c r="F32" s="141" t="s">
        <v>142</v>
      </c>
      <c r="G32" s="135"/>
      <c r="H32" s="133"/>
      <c r="I32" s="140" t="s">
        <v>143</v>
      </c>
      <c r="J32" s="133"/>
      <c r="K32" s="141" t="s">
        <v>143</v>
      </c>
      <c r="L32" s="133"/>
      <c r="M32" s="137" t="s">
        <v>143</v>
      </c>
      <c r="N32" s="133"/>
      <c r="Y32" s="2"/>
      <c r="Z32" s="2"/>
      <c r="AA32" s="2"/>
    </row>
    <row r="33">
      <c r="A33" s="2"/>
      <c r="B33" s="136" t="s">
        <v>144</v>
      </c>
      <c r="C33" s="133"/>
      <c r="D33" s="137" t="s">
        <v>145</v>
      </c>
      <c r="E33" s="133"/>
      <c r="F33" s="138" t="s">
        <v>146</v>
      </c>
      <c r="G33" s="135"/>
      <c r="H33" s="133"/>
      <c r="I33" s="137" t="s">
        <v>147</v>
      </c>
      <c r="J33" s="133"/>
      <c r="K33" s="138" t="s">
        <v>147</v>
      </c>
      <c r="L33" s="133"/>
      <c r="M33" s="137" t="s">
        <v>148</v>
      </c>
      <c r="N33" s="133"/>
      <c r="Y33" s="2"/>
      <c r="Z33" s="2"/>
      <c r="AA33" s="2"/>
    </row>
    <row r="34">
      <c r="A34" s="2"/>
      <c r="B34" s="136" t="s">
        <v>149</v>
      </c>
      <c r="C34" s="133"/>
      <c r="D34" s="137" t="s">
        <v>150</v>
      </c>
      <c r="E34" s="133"/>
      <c r="F34" s="138" t="s">
        <v>150</v>
      </c>
      <c r="G34" s="135"/>
      <c r="H34" s="133"/>
      <c r="I34" s="137" t="s">
        <v>151</v>
      </c>
      <c r="J34" s="133"/>
      <c r="K34" s="138" t="s">
        <v>151</v>
      </c>
      <c r="L34" s="133"/>
      <c r="M34" s="140" t="s">
        <v>152</v>
      </c>
      <c r="N34" s="133"/>
      <c r="Y34" s="2"/>
      <c r="Z34" s="2"/>
      <c r="AA34" s="2"/>
    </row>
    <row r="35">
      <c r="A35" s="2"/>
      <c r="B35" s="136" t="s">
        <v>153</v>
      </c>
      <c r="C35" s="133"/>
      <c r="D35" s="137" t="s">
        <v>154</v>
      </c>
      <c r="E35" s="133"/>
      <c r="F35" s="140" t="s">
        <v>155</v>
      </c>
      <c r="G35" s="135"/>
      <c r="H35" s="133"/>
      <c r="I35" s="137" t="s">
        <v>156</v>
      </c>
      <c r="J35" s="133"/>
      <c r="K35" s="141" t="s">
        <v>157</v>
      </c>
      <c r="L35" s="133"/>
      <c r="M35" s="137" t="s">
        <v>156</v>
      </c>
      <c r="N35" s="133"/>
      <c r="Y35" s="2"/>
      <c r="Z35" s="2"/>
      <c r="AA35" s="2"/>
    </row>
    <row r="36">
      <c r="A36" s="2"/>
      <c r="B36" s="136" t="s">
        <v>158</v>
      </c>
      <c r="C36" s="133"/>
      <c r="D36" s="137" t="s">
        <v>159</v>
      </c>
      <c r="E36" s="133"/>
      <c r="F36" s="138" t="s">
        <v>160</v>
      </c>
      <c r="G36" s="135"/>
      <c r="H36" s="133"/>
      <c r="I36" s="137" t="s">
        <v>161</v>
      </c>
      <c r="J36" s="133"/>
      <c r="K36" s="141" t="s">
        <v>162</v>
      </c>
      <c r="L36" s="133"/>
      <c r="M36" s="137" t="s">
        <v>163</v>
      </c>
      <c r="N36" s="133"/>
      <c r="Y36" s="2"/>
      <c r="Z36" s="2"/>
      <c r="AA36" s="2"/>
    </row>
    <row r="37">
      <c r="A37" s="2"/>
      <c r="B37" s="104"/>
      <c r="C37" s="104"/>
      <c r="D37" s="104"/>
      <c r="E37" s="104"/>
      <c r="F37" s="104"/>
      <c r="G37" s="104"/>
      <c r="H37" s="10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104"/>
      <c r="C38" s="104"/>
      <c r="D38" s="104"/>
      <c r="E38" s="104"/>
      <c r="F38" s="104"/>
      <c r="G38" s="104"/>
      <c r="H38" s="10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142" t="s">
        <v>164</v>
      </c>
      <c r="C39" s="133"/>
      <c r="D39" s="142" t="s">
        <v>165</v>
      </c>
      <c r="E39" s="135"/>
      <c r="F39" s="135"/>
      <c r="G39" s="135"/>
      <c r="H39" s="135"/>
      <c r="I39" s="133"/>
      <c r="J39" s="142" t="s">
        <v>166</v>
      </c>
      <c r="K39" s="135"/>
      <c r="L39" s="135"/>
      <c r="M39" s="135"/>
      <c r="N39" s="13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43" t="s">
        <v>167</v>
      </c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44" t="s">
        <v>122</v>
      </c>
      <c r="C41" s="133"/>
      <c r="D41" s="145" t="s">
        <v>168</v>
      </c>
      <c r="E41" s="135"/>
      <c r="F41" s="135"/>
      <c r="G41" s="135"/>
      <c r="H41" s="135"/>
      <c r="I41" s="133"/>
      <c r="J41" s="145" t="s">
        <v>169</v>
      </c>
      <c r="K41" s="135"/>
      <c r="L41" s="135"/>
      <c r="M41" s="135"/>
      <c r="N41" s="13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146" t="s">
        <v>170</v>
      </c>
      <c r="C42" s="133"/>
      <c r="D42" s="145" t="s">
        <v>171</v>
      </c>
      <c r="E42" s="135"/>
      <c r="F42" s="135"/>
      <c r="G42" s="135"/>
      <c r="H42" s="135"/>
      <c r="I42" s="133"/>
      <c r="J42" s="145" t="s">
        <v>172</v>
      </c>
      <c r="K42" s="135"/>
      <c r="L42" s="135"/>
      <c r="M42" s="135"/>
      <c r="N42" s="13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144" t="s">
        <v>173</v>
      </c>
      <c r="C43" s="133"/>
      <c r="D43" s="145" t="s">
        <v>174</v>
      </c>
      <c r="E43" s="135"/>
      <c r="F43" s="135"/>
      <c r="G43" s="135"/>
      <c r="H43" s="135"/>
      <c r="I43" s="133"/>
      <c r="J43" s="145" t="s">
        <v>175</v>
      </c>
      <c r="K43" s="135"/>
      <c r="L43" s="135"/>
      <c r="M43" s="135"/>
      <c r="N43" s="13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144" t="s">
        <v>176</v>
      </c>
      <c r="C44" s="133"/>
      <c r="D44" s="145" t="s">
        <v>177</v>
      </c>
      <c r="E44" s="135"/>
      <c r="F44" s="135"/>
      <c r="G44" s="135"/>
      <c r="H44" s="135"/>
      <c r="I44" s="133"/>
      <c r="J44" s="145" t="s">
        <v>178</v>
      </c>
      <c r="K44" s="135"/>
      <c r="L44" s="135"/>
      <c r="M44" s="135"/>
      <c r="N44" s="13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144" t="s">
        <v>179</v>
      </c>
      <c r="C45" s="133"/>
      <c r="D45" s="145" t="s">
        <v>180</v>
      </c>
      <c r="E45" s="135"/>
      <c r="F45" s="135"/>
      <c r="G45" s="135"/>
      <c r="H45" s="135"/>
      <c r="I45" s="133"/>
      <c r="J45" s="145" t="s">
        <v>178</v>
      </c>
      <c r="K45" s="135"/>
      <c r="L45" s="135"/>
      <c r="M45" s="135"/>
      <c r="N45" s="13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144" t="s">
        <v>119</v>
      </c>
      <c r="C46" s="133"/>
      <c r="D46" s="145" t="s">
        <v>181</v>
      </c>
      <c r="E46" s="135"/>
      <c r="F46" s="135"/>
      <c r="G46" s="135"/>
      <c r="H46" s="135"/>
      <c r="I46" s="133"/>
      <c r="J46" s="145" t="s">
        <v>182</v>
      </c>
      <c r="K46" s="135"/>
      <c r="L46" s="135"/>
      <c r="M46" s="135"/>
      <c r="N46" s="13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78">
    <mergeCell ref="D36:E36"/>
    <mergeCell ref="F36:H36"/>
    <mergeCell ref="B35:C35"/>
    <mergeCell ref="D35:E35"/>
    <mergeCell ref="F35:H35"/>
    <mergeCell ref="I35:J35"/>
    <mergeCell ref="K35:L35"/>
    <mergeCell ref="M35:N35"/>
    <mergeCell ref="B36:C36"/>
    <mergeCell ref="M36:N36"/>
    <mergeCell ref="D41:I41"/>
    <mergeCell ref="J41:N41"/>
    <mergeCell ref="I36:J36"/>
    <mergeCell ref="K36:L36"/>
    <mergeCell ref="B39:C39"/>
    <mergeCell ref="D39:I39"/>
    <mergeCell ref="J39:N39"/>
    <mergeCell ref="B40:N40"/>
    <mergeCell ref="B41:C41"/>
    <mergeCell ref="D44:I44"/>
    <mergeCell ref="J44:N44"/>
    <mergeCell ref="B42:C42"/>
    <mergeCell ref="D42:I42"/>
    <mergeCell ref="J42:N42"/>
    <mergeCell ref="B43:C43"/>
    <mergeCell ref="D43:I43"/>
    <mergeCell ref="J43:N43"/>
    <mergeCell ref="B44:C44"/>
    <mergeCell ref="B2:C2"/>
    <mergeCell ref="B26:C26"/>
    <mergeCell ref="D28:E28"/>
    <mergeCell ref="F28:H28"/>
    <mergeCell ref="I28:J28"/>
    <mergeCell ref="K28:L28"/>
    <mergeCell ref="M28:N28"/>
    <mergeCell ref="B28:C28"/>
    <mergeCell ref="B29:C29"/>
    <mergeCell ref="D29:E29"/>
    <mergeCell ref="F29:H29"/>
    <mergeCell ref="I29:J29"/>
    <mergeCell ref="K29:L29"/>
    <mergeCell ref="M29:N29"/>
    <mergeCell ref="I31:J31"/>
    <mergeCell ref="K31:L31"/>
    <mergeCell ref="I32:J32"/>
    <mergeCell ref="K32:L32"/>
    <mergeCell ref="M32:N32"/>
    <mergeCell ref="I33:J33"/>
    <mergeCell ref="K33:L33"/>
    <mergeCell ref="M33:N33"/>
    <mergeCell ref="B30:C30"/>
    <mergeCell ref="D30:E30"/>
    <mergeCell ref="F30:H30"/>
    <mergeCell ref="I30:J30"/>
    <mergeCell ref="K30:L30"/>
    <mergeCell ref="M30:N30"/>
    <mergeCell ref="B31:C31"/>
    <mergeCell ref="M31:N31"/>
    <mergeCell ref="D31:E31"/>
    <mergeCell ref="F31:H31"/>
    <mergeCell ref="B32:C32"/>
    <mergeCell ref="D32:E32"/>
    <mergeCell ref="F32:H32"/>
    <mergeCell ref="D33:E33"/>
    <mergeCell ref="F33:H33"/>
    <mergeCell ref="B33:C33"/>
    <mergeCell ref="B34:C34"/>
    <mergeCell ref="D34:E34"/>
    <mergeCell ref="F34:H34"/>
    <mergeCell ref="I34:J34"/>
    <mergeCell ref="K34:L34"/>
    <mergeCell ref="M34:N34"/>
    <mergeCell ref="B45:C45"/>
    <mergeCell ref="D45:I45"/>
    <mergeCell ref="J45:N45"/>
    <mergeCell ref="B46:C46"/>
    <mergeCell ref="D46:I46"/>
    <mergeCell ref="J46:N46"/>
  </mergeCells>
  <dataValidations>
    <dataValidation type="list" allowBlank="1" showErrorMessage="1" sqref="D5:D22">
      <formula1>"Сток и предзаказ,Транзит,Предзаказ"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15" max="16" width="14.75"/>
  </cols>
  <sheetData>
    <row r="2">
      <c r="B2" s="147"/>
      <c r="C2" s="147"/>
      <c r="D2" s="147"/>
      <c r="E2" s="147"/>
      <c r="F2" s="147"/>
      <c r="G2" s="147"/>
      <c r="H2" s="147"/>
      <c r="I2" s="147"/>
      <c r="L2" s="148" t="s">
        <v>183</v>
      </c>
      <c r="M2" s="102"/>
      <c r="N2" s="149"/>
      <c r="O2" s="149"/>
    </row>
    <row r="3" ht="22.5" customHeight="1">
      <c r="B3" s="150" t="s">
        <v>184</v>
      </c>
      <c r="C3" s="150" t="s">
        <v>185</v>
      </c>
      <c r="D3" s="150" t="s">
        <v>186</v>
      </c>
      <c r="E3" s="150" t="s">
        <v>187</v>
      </c>
      <c r="F3" s="150" t="s">
        <v>188</v>
      </c>
      <c r="G3" s="150" t="s">
        <v>189</v>
      </c>
      <c r="H3" s="150" t="s">
        <v>190</v>
      </c>
      <c r="I3" s="150" t="s">
        <v>191</v>
      </c>
      <c r="L3" s="151" t="s">
        <v>192</v>
      </c>
      <c r="M3" s="152"/>
      <c r="N3" s="152"/>
      <c r="O3" s="152"/>
      <c r="P3" s="153"/>
    </row>
    <row r="4" ht="22.5" customHeight="1">
      <c r="B4" s="154">
        <v>1.0</v>
      </c>
      <c r="C4" s="155" t="s">
        <v>193</v>
      </c>
      <c r="D4" s="156"/>
      <c r="E4" s="157" t="s">
        <v>194</v>
      </c>
      <c r="F4" s="158" t="s">
        <v>195</v>
      </c>
      <c r="G4" s="158" t="s">
        <v>196</v>
      </c>
      <c r="H4" s="156"/>
      <c r="I4" s="159"/>
      <c r="L4" s="160"/>
      <c r="P4" s="161"/>
    </row>
    <row r="5" ht="22.5" customHeight="1">
      <c r="B5" s="162">
        <v>2.0</v>
      </c>
      <c r="C5" s="163" t="s">
        <v>197</v>
      </c>
      <c r="D5" s="164"/>
      <c r="E5" s="165" t="s">
        <v>198</v>
      </c>
      <c r="F5" s="166" t="s">
        <v>199</v>
      </c>
      <c r="G5" s="167"/>
      <c r="H5" s="164"/>
      <c r="I5" s="168"/>
      <c r="L5" s="160"/>
      <c r="P5" s="161"/>
    </row>
    <row r="6" ht="22.5" customHeight="1">
      <c r="B6" s="154">
        <v>3.0</v>
      </c>
      <c r="C6" s="155" t="s">
        <v>200</v>
      </c>
      <c r="D6" s="169" t="s">
        <v>201</v>
      </c>
      <c r="E6" s="157" t="s">
        <v>202</v>
      </c>
      <c r="F6" s="158" t="s">
        <v>203</v>
      </c>
      <c r="G6" s="158" t="s">
        <v>204</v>
      </c>
      <c r="H6" s="155" t="s">
        <v>205</v>
      </c>
      <c r="I6" s="159"/>
      <c r="L6" s="160"/>
      <c r="P6" s="161"/>
    </row>
    <row r="7" ht="22.5" customHeight="1">
      <c r="B7" s="154">
        <v>4.0</v>
      </c>
      <c r="C7" s="163" t="s">
        <v>206</v>
      </c>
      <c r="D7" s="170" t="s">
        <v>207</v>
      </c>
      <c r="E7" s="165" t="s">
        <v>208</v>
      </c>
      <c r="F7" s="166" t="s">
        <v>209</v>
      </c>
      <c r="G7" s="171" t="s">
        <v>210</v>
      </c>
      <c r="H7" s="163" t="s">
        <v>211</v>
      </c>
      <c r="I7" s="168"/>
      <c r="L7" s="160"/>
      <c r="P7" s="161"/>
    </row>
    <row r="8" ht="22.5" customHeight="1">
      <c r="B8" s="162">
        <v>5.0</v>
      </c>
      <c r="C8" s="155" t="s">
        <v>212</v>
      </c>
      <c r="D8" s="169" t="s">
        <v>207</v>
      </c>
      <c r="E8" s="157" t="s">
        <v>213</v>
      </c>
      <c r="F8" s="158" t="s">
        <v>214</v>
      </c>
      <c r="G8" s="172" t="s">
        <v>215</v>
      </c>
      <c r="H8" s="155" t="s">
        <v>216</v>
      </c>
      <c r="I8" s="159"/>
      <c r="L8" s="160"/>
      <c r="P8" s="161"/>
    </row>
    <row r="9" ht="22.5" customHeight="1">
      <c r="B9" s="154">
        <v>6.0</v>
      </c>
      <c r="C9" s="163" t="s">
        <v>217</v>
      </c>
      <c r="D9" s="164"/>
      <c r="E9" s="165" t="s">
        <v>218</v>
      </c>
      <c r="F9" s="167"/>
      <c r="G9" s="167"/>
      <c r="H9" s="164"/>
      <c r="I9" s="168"/>
      <c r="L9" s="160"/>
      <c r="P9" s="161"/>
    </row>
    <row r="10" ht="22.5" customHeight="1">
      <c r="B10" s="154">
        <v>7.0</v>
      </c>
      <c r="C10" s="173" t="s">
        <v>219</v>
      </c>
      <c r="D10" s="174" t="s">
        <v>220</v>
      </c>
      <c r="E10" s="175" t="s">
        <v>221</v>
      </c>
      <c r="F10" s="176" t="s">
        <v>222</v>
      </c>
      <c r="G10" s="176" t="s">
        <v>223</v>
      </c>
      <c r="H10" s="173" t="s">
        <v>224</v>
      </c>
      <c r="I10" s="177"/>
      <c r="L10" s="160"/>
      <c r="P10" s="161"/>
    </row>
    <row r="11" ht="22.5" customHeight="1">
      <c r="B11" s="162">
        <v>8.0</v>
      </c>
      <c r="C11" s="178" t="s">
        <v>225</v>
      </c>
      <c r="D11" s="179" t="s">
        <v>226</v>
      </c>
      <c r="E11" s="180" t="s">
        <v>227</v>
      </c>
      <c r="F11" s="181" t="s">
        <v>228</v>
      </c>
      <c r="G11" s="181" t="s">
        <v>215</v>
      </c>
      <c r="H11" s="178" t="s">
        <v>229</v>
      </c>
      <c r="I11" s="182"/>
      <c r="L11" s="160"/>
      <c r="P11" s="161"/>
    </row>
    <row r="12" ht="22.5" customHeight="1">
      <c r="B12" s="154">
        <v>9.0</v>
      </c>
      <c r="C12" s="155" t="s">
        <v>230</v>
      </c>
      <c r="D12" s="156"/>
      <c r="E12" s="157" t="s">
        <v>231</v>
      </c>
      <c r="F12" s="183"/>
      <c r="G12" s="156"/>
      <c r="H12" s="156"/>
      <c r="I12" s="159"/>
      <c r="L12" s="160"/>
      <c r="P12" s="161"/>
    </row>
    <row r="13" ht="22.5" customHeight="1">
      <c r="B13" s="154">
        <v>10.0</v>
      </c>
      <c r="C13" s="163" t="s">
        <v>232</v>
      </c>
      <c r="D13" s="164"/>
      <c r="E13" s="165" t="s">
        <v>233</v>
      </c>
      <c r="F13" s="167"/>
      <c r="G13" s="164"/>
      <c r="H13" s="164"/>
      <c r="I13" s="168"/>
      <c r="L13" s="160"/>
      <c r="P13" s="161"/>
    </row>
    <row r="14" ht="22.5" customHeight="1">
      <c r="B14" s="162">
        <v>11.0</v>
      </c>
      <c r="C14" s="173" t="s">
        <v>234</v>
      </c>
      <c r="D14" s="174" t="s">
        <v>235</v>
      </c>
      <c r="E14" s="175" t="s">
        <v>236</v>
      </c>
      <c r="F14" s="176" t="s">
        <v>237</v>
      </c>
      <c r="G14" s="173" t="s">
        <v>223</v>
      </c>
      <c r="H14" s="173" t="s">
        <v>238</v>
      </c>
      <c r="I14" s="177"/>
      <c r="L14" s="160"/>
      <c r="P14" s="161"/>
    </row>
    <row r="15" ht="22.5" customHeight="1">
      <c r="B15" s="154">
        <v>12.0</v>
      </c>
      <c r="C15" s="163" t="s">
        <v>239</v>
      </c>
      <c r="D15" s="164"/>
      <c r="E15" s="165" t="s">
        <v>240</v>
      </c>
      <c r="F15" s="167"/>
      <c r="G15" s="164"/>
      <c r="H15" s="164"/>
      <c r="I15" s="168"/>
      <c r="L15" s="160"/>
      <c r="P15" s="161"/>
    </row>
    <row r="16" ht="22.5" customHeight="1">
      <c r="B16" s="154">
        <v>13.0</v>
      </c>
      <c r="C16" s="155" t="s">
        <v>241</v>
      </c>
      <c r="D16" s="169" t="s">
        <v>242</v>
      </c>
      <c r="E16" s="157" t="s">
        <v>243</v>
      </c>
      <c r="F16" s="158" t="s">
        <v>244</v>
      </c>
      <c r="G16" s="155" t="s">
        <v>223</v>
      </c>
      <c r="H16" s="155" t="s">
        <v>245</v>
      </c>
      <c r="I16" s="159"/>
      <c r="L16" s="160"/>
      <c r="P16" s="161"/>
    </row>
    <row r="17" ht="22.5" customHeight="1">
      <c r="B17" s="162">
        <v>14.0</v>
      </c>
      <c r="C17" s="163" t="s">
        <v>246</v>
      </c>
      <c r="D17" s="170" t="s">
        <v>247</v>
      </c>
      <c r="E17" s="165" t="s">
        <v>248</v>
      </c>
      <c r="F17" s="166" t="s">
        <v>249</v>
      </c>
      <c r="G17" s="163" t="s">
        <v>250</v>
      </c>
      <c r="H17" s="163" t="s">
        <v>251</v>
      </c>
      <c r="I17" s="168"/>
      <c r="L17" s="160"/>
      <c r="P17" s="161"/>
    </row>
    <row r="18" ht="22.5" customHeight="1">
      <c r="B18" s="154">
        <v>15.0</v>
      </c>
      <c r="C18" s="155" t="s">
        <v>252</v>
      </c>
      <c r="D18" s="169" t="s">
        <v>253</v>
      </c>
      <c r="E18" s="157" t="s">
        <v>254</v>
      </c>
      <c r="F18" s="158" t="s">
        <v>255</v>
      </c>
      <c r="G18" s="155" t="s">
        <v>215</v>
      </c>
      <c r="H18" s="155" t="s">
        <v>256</v>
      </c>
      <c r="I18" s="159"/>
      <c r="L18" s="160"/>
      <c r="P18" s="161"/>
    </row>
    <row r="19" ht="22.5" customHeight="1">
      <c r="B19" s="154">
        <v>16.0</v>
      </c>
      <c r="C19" s="163" t="s">
        <v>257</v>
      </c>
      <c r="D19" s="170" t="s">
        <v>258</v>
      </c>
      <c r="E19" s="165" t="s">
        <v>259</v>
      </c>
      <c r="F19" s="166" t="s">
        <v>260</v>
      </c>
      <c r="G19" s="163" t="s">
        <v>215</v>
      </c>
      <c r="H19" s="163" t="s">
        <v>261</v>
      </c>
      <c r="I19" s="168"/>
      <c r="L19" s="160"/>
      <c r="P19" s="161"/>
    </row>
    <row r="20" ht="22.5" customHeight="1">
      <c r="B20" s="162">
        <v>17.0</v>
      </c>
      <c r="C20" s="173" t="s">
        <v>262</v>
      </c>
      <c r="D20" s="156"/>
      <c r="E20" s="155" t="s">
        <v>263</v>
      </c>
      <c r="F20" s="183"/>
      <c r="G20" s="156"/>
      <c r="H20" s="156"/>
      <c r="I20" s="159"/>
      <c r="L20" s="160"/>
      <c r="P20" s="161"/>
    </row>
    <row r="21" ht="22.5" customHeight="1">
      <c r="B21" s="154">
        <v>18.0</v>
      </c>
      <c r="C21" s="163" t="s">
        <v>264</v>
      </c>
      <c r="D21" s="164"/>
      <c r="E21" s="165" t="s">
        <v>265</v>
      </c>
      <c r="F21" s="167"/>
      <c r="G21" s="164"/>
      <c r="H21" s="164"/>
      <c r="I21" s="168"/>
      <c r="L21" s="160"/>
      <c r="P21" s="161"/>
    </row>
    <row r="22" ht="22.5" customHeight="1">
      <c r="B22" s="154">
        <v>19.0</v>
      </c>
      <c r="C22" s="155" t="s">
        <v>266</v>
      </c>
      <c r="D22" s="156"/>
      <c r="E22" s="157" t="s">
        <v>267</v>
      </c>
      <c r="F22" s="183"/>
      <c r="G22" s="156"/>
      <c r="H22" s="156"/>
      <c r="I22" s="159"/>
      <c r="L22" s="160"/>
      <c r="P22" s="161"/>
    </row>
    <row r="23" ht="22.5" customHeight="1">
      <c r="B23" s="162">
        <v>20.0</v>
      </c>
      <c r="C23" s="178" t="s">
        <v>268</v>
      </c>
      <c r="D23" s="179" t="s">
        <v>269</v>
      </c>
      <c r="E23" s="180" t="s">
        <v>270</v>
      </c>
      <c r="F23" s="181" t="s">
        <v>271</v>
      </c>
      <c r="G23" s="178" t="s">
        <v>272</v>
      </c>
      <c r="H23" s="178" t="s">
        <v>273</v>
      </c>
      <c r="I23" s="182"/>
      <c r="L23" s="184"/>
      <c r="M23" s="185"/>
      <c r="N23" s="185"/>
      <c r="O23" s="185"/>
      <c r="P23" s="186"/>
    </row>
    <row r="24" ht="22.5" customHeight="1">
      <c r="B24" s="154">
        <v>21.0</v>
      </c>
      <c r="C24" s="173" t="s">
        <v>274</v>
      </c>
      <c r="D24" s="174" t="s">
        <v>275</v>
      </c>
      <c r="E24" s="175" t="s">
        <v>276</v>
      </c>
      <c r="F24" s="176" t="s">
        <v>277</v>
      </c>
      <c r="G24" s="173" t="s">
        <v>223</v>
      </c>
      <c r="H24" s="173" t="s">
        <v>278</v>
      </c>
      <c r="I24" s="177"/>
    </row>
    <row r="25" ht="22.5" customHeight="1">
      <c r="B25" s="154">
        <v>22.0</v>
      </c>
      <c r="C25" s="178" t="s">
        <v>279</v>
      </c>
      <c r="D25" s="179" t="s">
        <v>280</v>
      </c>
      <c r="E25" s="180" t="s">
        <v>281</v>
      </c>
      <c r="F25" s="181" t="s">
        <v>282</v>
      </c>
      <c r="G25" s="178" t="s">
        <v>283</v>
      </c>
      <c r="H25" s="178" t="s">
        <v>261</v>
      </c>
      <c r="I25" s="182"/>
      <c r="L25" s="187" t="s">
        <v>284</v>
      </c>
      <c r="M25" s="102"/>
      <c r="N25" s="187" t="s">
        <v>285</v>
      </c>
      <c r="O25" s="102"/>
      <c r="P25" s="187" t="s">
        <v>286</v>
      </c>
      <c r="Q25" s="102"/>
    </row>
    <row r="26" ht="22.5" customHeight="1">
      <c r="B26" s="162">
        <v>23.0</v>
      </c>
      <c r="C26" s="188" t="s">
        <v>287</v>
      </c>
      <c r="D26" s="189" t="s">
        <v>288</v>
      </c>
      <c r="E26" s="190" t="s">
        <v>289</v>
      </c>
      <c r="F26" s="191" t="s">
        <v>290</v>
      </c>
      <c r="G26" s="188" t="s">
        <v>283</v>
      </c>
      <c r="H26" s="188" t="s">
        <v>273</v>
      </c>
      <c r="I26" s="192"/>
      <c r="L26" s="193" t="s">
        <v>291</v>
      </c>
      <c r="M26" s="153"/>
      <c r="N26" s="193" t="s">
        <v>292</v>
      </c>
      <c r="O26" s="153"/>
      <c r="P26" s="193" t="s">
        <v>293</v>
      </c>
      <c r="Q26" s="153"/>
    </row>
    <row r="27" ht="22.5" customHeight="1">
      <c r="B27" s="154">
        <v>24.0</v>
      </c>
      <c r="C27" s="163" t="s">
        <v>294</v>
      </c>
      <c r="D27" s="164"/>
      <c r="E27" s="165" t="s">
        <v>295</v>
      </c>
      <c r="F27" s="167"/>
      <c r="G27" s="164"/>
      <c r="H27" s="164"/>
      <c r="I27" s="168"/>
      <c r="L27" s="160"/>
      <c r="M27" s="161"/>
      <c r="N27" s="160"/>
      <c r="O27" s="161"/>
      <c r="P27" s="160"/>
      <c r="Q27" s="161"/>
    </row>
    <row r="28" ht="22.5" customHeight="1">
      <c r="B28" s="154">
        <v>25.0</v>
      </c>
      <c r="C28" s="155" t="s">
        <v>296</v>
      </c>
      <c r="D28" s="169" t="s">
        <v>297</v>
      </c>
      <c r="E28" s="157" t="s">
        <v>298</v>
      </c>
      <c r="F28" s="158" t="s">
        <v>299</v>
      </c>
      <c r="G28" s="155" t="s">
        <v>300</v>
      </c>
      <c r="H28" s="155" t="s">
        <v>301</v>
      </c>
      <c r="I28" s="159"/>
      <c r="L28" s="160"/>
      <c r="M28" s="161"/>
      <c r="N28" s="160"/>
      <c r="O28" s="161"/>
      <c r="P28" s="160"/>
      <c r="Q28" s="161"/>
    </row>
    <row r="29" ht="22.5" customHeight="1">
      <c r="B29" s="162">
        <v>26.0</v>
      </c>
      <c r="C29" s="194" t="s">
        <v>302</v>
      </c>
      <c r="D29" s="195"/>
      <c r="E29" s="196" t="s">
        <v>303</v>
      </c>
      <c r="F29" s="197"/>
      <c r="G29" s="195"/>
      <c r="H29" s="195"/>
      <c r="I29" s="198"/>
      <c r="L29" s="160"/>
      <c r="M29" s="161"/>
      <c r="N29" s="160"/>
      <c r="O29" s="161"/>
      <c r="P29" s="160"/>
      <c r="Q29" s="161"/>
    </row>
    <row r="30" ht="22.5" customHeight="1">
      <c r="B30" s="154">
        <v>27.0</v>
      </c>
      <c r="C30" s="199" t="s">
        <v>304</v>
      </c>
      <c r="D30" s="200"/>
      <c r="E30" s="201" t="s">
        <v>305</v>
      </c>
      <c r="F30" s="202"/>
      <c r="G30" s="200"/>
      <c r="H30" s="200"/>
      <c r="I30" s="203"/>
      <c r="L30" s="184"/>
      <c r="M30" s="186"/>
      <c r="N30" s="184"/>
      <c r="O30" s="186"/>
      <c r="P30" s="184"/>
      <c r="Q30" s="186"/>
    </row>
    <row r="31">
      <c r="L31" s="204"/>
      <c r="M31" s="204"/>
      <c r="N31" s="31"/>
      <c r="O31" s="204"/>
      <c r="P31" s="204"/>
      <c r="Q31" s="31"/>
    </row>
    <row r="34">
      <c r="L34" s="205" t="s">
        <v>306</v>
      </c>
      <c r="M34" s="133"/>
      <c r="N34" s="149"/>
      <c r="O34" s="149"/>
    </row>
    <row r="35" ht="22.5" customHeight="1">
      <c r="B35" s="150" t="s">
        <v>184</v>
      </c>
      <c r="C35" s="150" t="s">
        <v>185</v>
      </c>
      <c r="D35" s="150" t="s">
        <v>186</v>
      </c>
      <c r="E35" s="150" t="s">
        <v>187</v>
      </c>
      <c r="F35" s="150" t="s">
        <v>188</v>
      </c>
      <c r="G35" s="150" t="s">
        <v>189</v>
      </c>
      <c r="H35" s="150" t="s">
        <v>190</v>
      </c>
      <c r="I35" s="150" t="s">
        <v>191</v>
      </c>
      <c r="L35" s="206" t="s">
        <v>307</v>
      </c>
      <c r="M35" s="207"/>
      <c r="N35" s="207"/>
      <c r="O35" s="207"/>
      <c r="P35" s="208"/>
    </row>
    <row r="36" ht="22.5" customHeight="1">
      <c r="B36" s="209">
        <v>1.0</v>
      </c>
      <c r="C36" s="155" t="s">
        <v>308</v>
      </c>
      <c r="D36" s="156"/>
      <c r="E36" s="157" t="s">
        <v>309</v>
      </c>
      <c r="F36" s="183"/>
      <c r="G36" s="183"/>
      <c r="H36" s="156"/>
      <c r="I36" s="210"/>
      <c r="L36" s="211"/>
      <c r="P36" s="212"/>
    </row>
    <row r="37" ht="22.5" customHeight="1">
      <c r="B37" s="213">
        <v>2.0</v>
      </c>
      <c r="C37" s="163" t="s">
        <v>310</v>
      </c>
      <c r="D37" s="164"/>
      <c r="E37" s="165" t="s">
        <v>311</v>
      </c>
      <c r="F37" s="167"/>
      <c r="G37" s="167"/>
      <c r="H37" s="164"/>
      <c r="I37" s="214"/>
      <c r="L37" s="211"/>
      <c r="P37" s="212"/>
    </row>
    <row r="38" ht="22.5" customHeight="1">
      <c r="B38" s="209">
        <v>3.0</v>
      </c>
      <c r="C38" s="155" t="s">
        <v>312</v>
      </c>
      <c r="D38" s="156"/>
      <c r="E38" s="157" t="s">
        <v>313</v>
      </c>
      <c r="F38" s="183"/>
      <c r="G38" s="183"/>
      <c r="H38" s="156"/>
      <c r="I38" s="210"/>
      <c r="L38" s="211"/>
      <c r="P38" s="212"/>
    </row>
    <row r="39" ht="22.5" customHeight="1">
      <c r="B39" s="213">
        <v>4.0</v>
      </c>
      <c r="C39" s="163" t="s">
        <v>314</v>
      </c>
      <c r="D39" s="164"/>
      <c r="E39" s="165" t="s">
        <v>315</v>
      </c>
      <c r="F39" s="167"/>
      <c r="G39" s="167"/>
      <c r="H39" s="164"/>
      <c r="I39" s="214"/>
      <c r="L39" s="211"/>
      <c r="P39" s="212"/>
    </row>
    <row r="40" ht="22.5" customHeight="1">
      <c r="B40" s="209">
        <v>5.0</v>
      </c>
      <c r="C40" s="155" t="s">
        <v>316</v>
      </c>
      <c r="D40" s="156"/>
      <c r="E40" s="157" t="s">
        <v>317</v>
      </c>
      <c r="F40" s="183"/>
      <c r="G40" s="183"/>
      <c r="H40" s="156"/>
      <c r="I40" s="210"/>
      <c r="L40" s="211"/>
      <c r="P40" s="212"/>
    </row>
    <row r="41" ht="22.5" customHeight="1">
      <c r="B41" s="213">
        <v>6.0</v>
      </c>
      <c r="C41" s="178" t="s">
        <v>318</v>
      </c>
      <c r="D41" s="179" t="s">
        <v>319</v>
      </c>
      <c r="E41" s="180" t="s">
        <v>320</v>
      </c>
      <c r="F41" s="181" t="s">
        <v>321</v>
      </c>
      <c r="G41" s="181" t="s">
        <v>204</v>
      </c>
      <c r="H41" s="178" t="s">
        <v>322</v>
      </c>
      <c r="I41" s="182"/>
      <c r="L41" s="211"/>
      <c r="P41" s="212"/>
    </row>
    <row r="42" ht="22.5" customHeight="1">
      <c r="B42" s="209">
        <v>7.0</v>
      </c>
      <c r="C42" s="155" t="s">
        <v>323</v>
      </c>
      <c r="D42" s="156"/>
      <c r="E42" s="157" t="s">
        <v>324</v>
      </c>
      <c r="F42" s="183"/>
      <c r="G42" s="215"/>
      <c r="H42" s="156"/>
      <c r="I42" s="159"/>
      <c r="L42" s="211"/>
      <c r="P42" s="212"/>
    </row>
    <row r="43" ht="22.5" customHeight="1">
      <c r="B43" s="213">
        <v>8.0</v>
      </c>
      <c r="C43" s="163" t="s">
        <v>325</v>
      </c>
      <c r="D43" s="164"/>
      <c r="E43" s="165" t="s">
        <v>326</v>
      </c>
      <c r="F43" s="167"/>
      <c r="G43" s="216"/>
      <c r="H43" s="164"/>
      <c r="I43" s="168"/>
      <c r="L43" s="211"/>
      <c r="P43" s="212"/>
    </row>
    <row r="44" ht="22.5" customHeight="1">
      <c r="B44" s="209">
        <v>9.0</v>
      </c>
      <c r="C44" s="173" t="s">
        <v>327</v>
      </c>
      <c r="D44" s="174" t="s">
        <v>328</v>
      </c>
      <c r="E44" s="175" t="s">
        <v>329</v>
      </c>
      <c r="F44" s="176" t="s">
        <v>330</v>
      </c>
      <c r="G44" s="217" t="s">
        <v>223</v>
      </c>
      <c r="H44" s="173" t="s">
        <v>331</v>
      </c>
      <c r="I44" s="177"/>
      <c r="L44" s="211"/>
      <c r="P44" s="212"/>
    </row>
    <row r="45" ht="22.5" customHeight="1">
      <c r="B45" s="213">
        <v>10.0</v>
      </c>
      <c r="C45" s="163" t="s">
        <v>332</v>
      </c>
      <c r="D45" s="164"/>
      <c r="E45" s="165" t="s">
        <v>333</v>
      </c>
      <c r="F45" s="167"/>
      <c r="G45" s="216"/>
      <c r="H45" s="164"/>
      <c r="I45" s="168"/>
      <c r="L45" s="211"/>
      <c r="P45" s="212"/>
    </row>
    <row r="46" ht="22.5" customHeight="1">
      <c r="B46" s="209">
        <v>11.0</v>
      </c>
      <c r="C46" s="155" t="s">
        <v>334</v>
      </c>
      <c r="D46" s="169" t="s">
        <v>335</v>
      </c>
      <c r="E46" s="157" t="s">
        <v>336</v>
      </c>
      <c r="F46" s="158" t="s">
        <v>337</v>
      </c>
      <c r="G46" s="172" t="s">
        <v>338</v>
      </c>
      <c r="H46" s="155" t="s">
        <v>339</v>
      </c>
      <c r="I46" s="159"/>
      <c r="L46" s="211"/>
      <c r="P46" s="212"/>
    </row>
    <row r="47" ht="22.5" customHeight="1">
      <c r="B47" s="213">
        <v>12.0</v>
      </c>
      <c r="C47" s="163" t="s">
        <v>340</v>
      </c>
      <c r="D47" s="170" t="s">
        <v>341</v>
      </c>
      <c r="E47" s="165" t="s">
        <v>342</v>
      </c>
      <c r="F47" s="166" t="s">
        <v>255</v>
      </c>
      <c r="G47" s="218" t="s">
        <v>300</v>
      </c>
      <c r="H47" s="163" t="s">
        <v>343</v>
      </c>
      <c r="I47" s="168"/>
      <c r="L47" s="211"/>
      <c r="P47" s="212"/>
    </row>
    <row r="48" ht="22.5" customHeight="1">
      <c r="B48" s="209">
        <v>13.0</v>
      </c>
      <c r="C48" s="155" t="s">
        <v>344</v>
      </c>
      <c r="D48" s="156"/>
      <c r="E48" s="157" t="s">
        <v>345</v>
      </c>
      <c r="F48" s="183"/>
      <c r="G48" s="183"/>
      <c r="H48" s="156"/>
      <c r="I48" s="159"/>
      <c r="L48" s="211"/>
      <c r="P48" s="212"/>
    </row>
    <row r="49" ht="22.5" customHeight="1">
      <c r="B49" s="213">
        <v>14.0</v>
      </c>
      <c r="C49" s="163" t="s">
        <v>346</v>
      </c>
      <c r="D49" s="164"/>
      <c r="E49" s="165" t="s">
        <v>347</v>
      </c>
      <c r="F49" s="167"/>
      <c r="G49" s="219"/>
      <c r="H49" s="164"/>
      <c r="I49" s="168"/>
      <c r="L49" s="211"/>
      <c r="P49" s="212"/>
    </row>
    <row r="50" ht="22.5" customHeight="1">
      <c r="B50" s="209">
        <v>15.0</v>
      </c>
      <c r="C50" s="155" t="s">
        <v>348</v>
      </c>
      <c r="D50" s="169" t="s">
        <v>349</v>
      </c>
      <c r="E50" s="157" t="s">
        <v>350</v>
      </c>
      <c r="F50" s="158" t="s">
        <v>271</v>
      </c>
      <c r="G50" s="158" t="s">
        <v>300</v>
      </c>
      <c r="H50" s="155" t="s">
        <v>351</v>
      </c>
      <c r="I50" s="159"/>
      <c r="L50" s="211"/>
      <c r="P50" s="212"/>
    </row>
    <row r="51" ht="22.5" customHeight="1">
      <c r="B51" s="213">
        <v>16.0</v>
      </c>
      <c r="C51" s="163" t="s">
        <v>352</v>
      </c>
      <c r="D51" s="164"/>
      <c r="E51" s="165" t="s">
        <v>353</v>
      </c>
      <c r="F51" s="167"/>
      <c r="G51" s="164"/>
      <c r="H51" s="164"/>
      <c r="I51" s="168"/>
      <c r="L51" s="211"/>
      <c r="P51" s="212"/>
    </row>
    <row r="52" ht="22.5" customHeight="1">
      <c r="B52" s="209">
        <v>17.0</v>
      </c>
      <c r="C52" s="173" t="s">
        <v>354</v>
      </c>
      <c r="D52" s="174" t="s">
        <v>355</v>
      </c>
      <c r="E52" s="220"/>
      <c r="F52" s="176" t="s">
        <v>282</v>
      </c>
      <c r="G52" s="173" t="s">
        <v>356</v>
      </c>
      <c r="H52" s="173" t="s">
        <v>357</v>
      </c>
      <c r="I52" s="177"/>
      <c r="L52" s="211"/>
      <c r="P52" s="212"/>
    </row>
    <row r="53" ht="22.5" customHeight="1">
      <c r="B53" s="213">
        <v>18.0</v>
      </c>
      <c r="C53" s="178" t="s">
        <v>358</v>
      </c>
      <c r="D53" s="179" t="s">
        <v>355</v>
      </c>
      <c r="E53" s="180" t="s">
        <v>359</v>
      </c>
      <c r="F53" s="181" t="s">
        <v>290</v>
      </c>
      <c r="G53" s="178" t="s">
        <v>356</v>
      </c>
      <c r="H53" s="178" t="s">
        <v>357</v>
      </c>
      <c r="I53" s="182"/>
      <c r="L53" s="211"/>
      <c r="P53" s="212"/>
    </row>
    <row r="54" ht="22.5" customHeight="1">
      <c r="B54" s="209">
        <v>19.0</v>
      </c>
      <c r="C54" s="173" t="s">
        <v>360</v>
      </c>
      <c r="D54" s="174" t="s">
        <v>361</v>
      </c>
      <c r="E54" s="175" t="s">
        <v>362</v>
      </c>
      <c r="F54" s="176" t="s">
        <v>363</v>
      </c>
      <c r="G54" s="173" t="s">
        <v>364</v>
      </c>
      <c r="H54" s="173" t="s">
        <v>365</v>
      </c>
      <c r="I54" s="177"/>
      <c r="L54" s="211"/>
      <c r="P54" s="212"/>
    </row>
    <row r="55" ht="22.5" customHeight="1">
      <c r="B55" s="213">
        <v>20.0</v>
      </c>
      <c r="C55" s="178" t="s">
        <v>366</v>
      </c>
      <c r="D55" s="179" t="s">
        <v>367</v>
      </c>
      <c r="E55" s="221"/>
      <c r="F55" s="181" t="s">
        <v>368</v>
      </c>
      <c r="G55" s="178" t="s">
        <v>369</v>
      </c>
      <c r="H55" s="178" t="s">
        <v>370</v>
      </c>
      <c r="I55" s="182"/>
      <c r="L55" s="222"/>
      <c r="M55" s="223"/>
      <c r="N55" s="223"/>
      <c r="O55" s="223"/>
      <c r="P55" s="224"/>
    </row>
    <row r="56" ht="22.5" customHeight="1">
      <c r="B56" s="209">
        <v>21.0</v>
      </c>
      <c r="C56" s="225" t="s">
        <v>371</v>
      </c>
      <c r="D56" s="226" t="s">
        <v>372</v>
      </c>
      <c r="E56" s="227"/>
      <c r="F56" s="228" t="s">
        <v>373</v>
      </c>
      <c r="G56" s="225" t="s">
        <v>374</v>
      </c>
      <c r="H56" s="225" t="s">
        <v>375</v>
      </c>
      <c r="I56" s="229"/>
    </row>
    <row r="57" ht="22.5" customHeight="1">
      <c r="B57" s="213">
        <v>22.0</v>
      </c>
      <c r="C57" s="230" t="s">
        <v>376</v>
      </c>
      <c r="D57" s="231" t="s">
        <v>377</v>
      </c>
      <c r="E57" s="232"/>
      <c r="F57" s="233" t="s">
        <v>378</v>
      </c>
      <c r="G57" s="230" t="s">
        <v>379</v>
      </c>
      <c r="H57" s="230" t="s">
        <v>380</v>
      </c>
      <c r="I57" s="234"/>
      <c r="L57" s="235" t="s">
        <v>306</v>
      </c>
      <c r="M57" s="104"/>
      <c r="N57" s="104"/>
      <c r="O57" s="2"/>
      <c r="P57" s="2"/>
      <c r="Q57" s="2"/>
    </row>
    <row r="58" ht="22.5" customHeight="1">
      <c r="B58" s="209">
        <v>23.0</v>
      </c>
      <c r="C58" s="225" t="s">
        <v>381</v>
      </c>
      <c r="D58" s="226" t="s">
        <v>382</v>
      </c>
      <c r="E58" s="227"/>
      <c r="F58" s="228" t="s">
        <v>383</v>
      </c>
      <c r="G58" s="225" t="s">
        <v>384</v>
      </c>
      <c r="H58" s="225" t="s">
        <v>385</v>
      </c>
      <c r="I58" s="229"/>
      <c r="L58" s="236" t="s">
        <v>284</v>
      </c>
      <c r="M58" s="102"/>
      <c r="N58" s="236" t="s">
        <v>285</v>
      </c>
      <c r="O58" s="102"/>
      <c r="P58" s="236" t="s">
        <v>286</v>
      </c>
      <c r="Q58" s="102"/>
    </row>
    <row r="59" ht="22.5" customHeight="1">
      <c r="B59" s="213">
        <v>24.0</v>
      </c>
      <c r="C59" s="237" t="s">
        <v>386</v>
      </c>
      <c r="D59" s="238" t="s">
        <v>387</v>
      </c>
      <c r="E59" s="239"/>
      <c r="F59" s="240" t="s">
        <v>388</v>
      </c>
      <c r="G59" s="237" t="s">
        <v>389</v>
      </c>
      <c r="H59" s="237" t="s">
        <v>390</v>
      </c>
      <c r="I59" s="241"/>
      <c r="L59" s="242" t="s">
        <v>391</v>
      </c>
      <c r="M59" s="153"/>
      <c r="N59" s="242" t="s">
        <v>392</v>
      </c>
      <c r="O59" s="153"/>
      <c r="P59" s="242" t="s">
        <v>393</v>
      </c>
      <c r="Q59" s="153"/>
    </row>
    <row r="60">
      <c r="L60" s="160"/>
      <c r="M60" s="161"/>
      <c r="N60" s="160"/>
      <c r="O60" s="161"/>
      <c r="P60" s="160"/>
      <c r="Q60" s="161"/>
    </row>
    <row r="61">
      <c r="L61" s="160"/>
      <c r="M61" s="161"/>
      <c r="N61" s="160"/>
      <c r="O61" s="161"/>
      <c r="P61" s="160"/>
      <c r="Q61" s="161"/>
    </row>
    <row r="62">
      <c r="L62" s="184"/>
      <c r="M62" s="186"/>
      <c r="N62" s="184"/>
      <c r="O62" s="186"/>
      <c r="P62" s="184"/>
      <c r="Q62" s="186"/>
    </row>
    <row r="63">
      <c r="K63" s="31"/>
      <c r="L63" s="204"/>
      <c r="M63" s="204"/>
      <c r="N63" s="204"/>
      <c r="O63" s="31"/>
      <c r="P63" s="31"/>
    </row>
    <row r="64">
      <c r="K64" s="31"/>
      <c r="L64" s="204"/>
      <c r="M64" s="204"/>
      <c r="N64" s="204"/>
      <c r="O64" s="31"/>
      <c r="P64" s="31"/>
    </row>
    <row r="65">
      <c r="K65" s="31"/>
      <c r="L65" s="204"/>
      <c r="M65" s="204"/>
      <c r="N65" s="204"/>
      <c r="O65" s="31"/>
      <c r="P65" s="31"/>
    </row>
    <row r="66">
      <c r="K66" s="31"/>
      <c r="L66" s="243" t="s">
        <v>394</v>
      </c>
      <c r="M66" s="102"/>
      <c r="N66" s="149"/>
      <c r="O66" s="149"/>
      <c r="P66" s="149"/>
    </row>
    <row r="67" ht="22.5" customHeight="1">
      <c r="B67" s="150" t="s">
        <v>184</v>
      </c>
      <c r="C67" s="150" t="s">
        <v>185</v>
      </c>
      <c r="D67" s="150" t="s">
        <v>186</v>
      </c>
      <c r="E67" s="150" t="s">
        <v>187</v>
      </c>
      <c r="F67" s="150" t="s">
        <v>188</v>
      </c>
      <c r="G67" s="150" t="s">
        <v>189</v>
      </c>
      <c r="H67" s="150" t="s">
        <v>190</v>
      </c>
      <c r="I67" s="150" t="s">
        <v>191</v>
      </c>
      <c r="K67" s="31"/>
      <c r="L67" s="244" t="s">
        <v>395</v>
      </c>
      <c r="M67" s="152"/>
      <c r="N67" s="152"/>
      <c r="O67" s="152"/>
      <c r="P67" s="153"/>
    </row>
    <row r="68" ht="22.5" customHeight="1">
      <c r="B68" s="245">
        <v>1.0</v>
      </c>
      <c r="C68" s="155" t="s">
        <v>396</v>
      </c>
      <c r="D68" s="169" t="s">
        <v>397</v>
      </c>
      <c r="E68" s="157" t="s">
        <v>342</v>
      </c>
      <c r="F68" s="158" t="s">
        <v>398</v>
      </c>
      <c r="G68" s="158" t="s">
        <v>399</v>
      </c>
      <c r="H68" s="155" t="s">
        <v>400</v>
      </c>
      <c r="I68" s="246"/>
      <c r="K68" s="31"/>
      <c r="L68" s="160"/>
      <c r="P68" s="161"/>
    </row>
    <row r="69" ht="22.5" customHeight="1">
      <c r="B69" s="247">
        <v>2.0</v>
      </c>
      <c r="C69" s="163" t="s">
        <v>401</v>
      </c>
      <c r="D69" s="170" t="s">
        <v>402</v>
      </c>
      <c r="E69" s="165" t="s">
        <v>403</v>
      </c>
      <c r="F69" s="166" t="s">
        <v>404</v>
      </c>
      <c r="G69" s="171" t="s">
        <v>399</v>
      </c>
      <c r="H69" s="163" t="s">
        <v>405</v>
      </c>
      <c r="I69" s="248"/>
      <c r="K69" s="31"/>
      <c r="L69" s="160"/>
      <c r="P69" s="161"/>
    </row>
    <row r="70" ht="22.5" customHeight="1">
      <c r="B70" s="245">
        <v>3.0</v>
      </c>
      <c r="C70" s="155" t="s">
        <v>406</v>
      </c>
      <c r="D70" s="169" t="s">
        <v>407</v>
      </c>
      <c r="E70" s="157" t="s">
        <v>408</v>
      </c>
      <c r="F70" s="158" t="s">
        <v>255</v>
      </c>
      <c r="G70" s="172" t="s">
        <v>409</v>
      </c>
      <c r="H70" s="155" t="s">
        <v>410</v>
      </c>
      <c r="I70" s="246"/>
      <c r="K70" s="31"/>
      <c r="L70" s="160"/>
      <c r="P70" s="161"/>
    </row>
    <row r="71" ht="22.5" customHeight="1">
      <c r="B71" s="245">
        <v>4.0</v>
      </c>
      <c r="C71" s="163" t="s">
        <v>411</v>
      </c>
      <c r="D71" s="164"/>
      <c r="E71" s="165" t="s">
        <v>412</v>
      </c>
      <c r="F71" s="167"/>
      <c r="G71" s="167"/>
      <c r="H71" s="164"/>
      <c r="I71" s="248"/>
      <c r="K71" s="31"/>
      <c r="L71" s="160"/>
      <c r="P71" s="161"/>
    </row>
    <row r="72" ht="22.5" customHeight="1">
      <c r="B72" s="247">
        <v>5.0</v>
      </c>
      <c r="C72" s="173" t="s">
        <v>413</v>
      </c>
      <c r="D72" s="174" t="s">
        <v>414</v>
      </c>
      <c r="E72" s="175" t="s">
        <v>415</v>
      </c>
      <c r="F72" s="176" t="s">
        <v>416</v>
      </c>
      <c r="G72" s="176" t="s">
        <v>399</v>
      </c>
      <c r="H72" s="173" t="s">
        <v>417</v>
      </c>
      <c r="I72" s="249"/>
      <c r="K72" s="31"/>
      <c r="L72" s="160"/>
      <c r="P72" s="161"/>
    </row>
    <row r="73" ht="22.5" customHeight="1">
      <c r="B73" s="245">
        <v>6.0</v>
      </c>
      <c r="C73" s="178" t="s">
        <v>418</v>
      </c>
      <c r="D73" s="179" t="s">
        <v>419</v>
      </c>
      <c r="E73" s="180" t="s">
        <v>420</v>
      </c>
      <c r="F73" s="181" t="s">
        <v>282</v>
      </c>
      <c r="G73" s="181" t="s">
        <v>421</v>
      </c>
      <c r="H73" s="178" t="s">
        <v>422</v>
      </c>
      <c r="I73" s="250"/>
      <c r="K73" s="31"/>
      <c r="L73" s="160"/>
      <c r="P73" s="161"/>
    </row>
    <row r="74" ht="22.5" customHeight="1">
      <c r="B74" s="245">
        <v>7.0</v>
      </c>
      <c r="C74" s="173" t="s">
        <v>423</v>
      </c>
      <c r="D74" s="174" t="s">
        <v>424</v>
      </c>
      <c r="E74" s="175" t="s">
        <v>425</v>
      </c>
      <c r="F74" s="176" t="s">
        <v>388</v>
      </c>
      <c r="G74" s="173" t="s">
        <v>426</v>
      </c>
      <c r="H74" s="173" t="s">
        <v>427</v>
      </c>
      <c r="I74" s="249"/>
      <c r="L74" s="160"/>
      <c r="P74" s="161"/>
    </row>
    <row r="75" ht="22.5" customHeight="1">
      <c r="B75" s="247">
        <v>8.0</v>
      </c>
      <c r="C75" s="178" t="s">
        <v>428</v>
      </c>
      <c r="D75" s="179" t="s">
        <v>429</v>
      </c>
      <c r="E75" s="180" t="s">
        <v>430</v>
      </c>
      <c r="F75" s="181" t="s">
        <v>368</v>
      </c>
      <c r="G75" s="178" t="s">
        <v>431</v>
      </c>
      <c r="H75" s="178" t="s">
        <v>432</v>
      </c>
      <c r="I75" s="250"/>
      <c r="L75" s="160"/>
      <c r="P75" s="161"/>
    </row>
    <row r="76" ht="22.5" customHeight="1">
      <c r="B76" s="245">
        <v>9.0</v>
      </c>
      <c r="C76" s="173" t="s">
        <v>433</v>
      </c>
      <c r="D76" s="174" t="s">
        <v>434</v>
      </c>
      <c r="E76" s="175" t="s">
        <v>435</v>
      </c>
      <c r="F76" s="176" t="s">
        <v>436</v>
      </c>
      <c r="G76" s="173" t="s">
        <v>437</v>
      </c>
      <c r="H76" s="173" t="s">
        <v>438</v>
      </c>
      <c r="I76" s="249"/>
      <c r="L76" s="160"/>
      <c r="P76" s="161"/>
    </row>
    <row r="77" ht="22.5" customHeight="1">
      <c r="B77" s="245">
        <v>10.0</v>
      </c>
      <c r="C77" s="230" t="s">
        <v>439</v>
      </c>
      <c r="D77" s="231" t="s">
        <v>440</v>
      </c>
      <c r="E77" s="251" t="s">
        <v>441</v>
      </c>
      <c r="F77" s="233" t="s">
        <v>277</v>
      </c>
      <c r="G77" s="230" t="s">
        <v>399</v>
      </c>
      <c r="H77" s="230" t="s">
        <v>442</v>
      </c>
      <c r="I77" s="252"/>
      <c r="L77" s="160"/>
      <c r="P77" s="161"/>
    </row>
    <row r="78" ht="22.5" customHeight="1">
      <c r="B78" s="247">
        <v>11.0</v>
      </c>
      <c r="C78" s="225" t="s">
        <v>443</v>
      </c>
      <c r="D78" s="226" t="s">
        <v>444</v>
      </c>
      <c r="E78" s="253" t="s">
        <v>445</v>
      </c>
      <c r="F78" s="228" t="s">
        <v>378</v>
      </c>
      <c r="G78" s="225" t="s">
        <v>399</v>
      </c>
      <c r="H78" s="225" t="s">
        <v>446</v>
      </c>
      <c r="I78" s="254"/>
      <c r="L78" s="160"/>
      <c r="P78" s="161"/>
    </row>
    <row r="79" ht="22.5" customHeight="1">
      <c r="B79" s="245">
        <v>12.0</v>
      </c>
      <c r="C79" s="230" t="s">
        <v>447</v>
      </c>
      <c r="D79" s="231" t="s">
        <v>448</v>
      </c>
      <c r="E79" s="251" t="s">
        <v>449</v>
      </c>
      <c r="F79" s="233" t="s">
        <v>450</v>
      </c>
      <c r="G79" s="230" t="s">
        <v>451</v>
      </c>
      <c r="H79" s="230" t="s">
        <v>452</v>
      </c>
      <c r="I79" s="252"/>
      <c r="L79" s="160"/>
      <c r="P79" s="161"/>
    </row>
    <row r="80" ht="22.5" customHeight="1">
      <c r="B80" s="245">
        <v>13.0</v>
      </c>
      <c r="C80" s="225" t="s">
        <v>453</v>
      </c>
      <c r="D80" s="226" t="s">
        <v>454</v>
      </c>
      <c r="E80" s="253" t="s">
        <v>455</v>
      </c>
      <c r="F80" s="228" t="s">
        <v>456</v>
      </c>
      <c r="G80" s="225" t="s">
        <v>457</v>
      </c>
      <c r="H80" s="225" t="s">
        <v>458</v>
      </c>
      <c r="I80" s="254"/>
      <c r="L80" s="160"/>
      <c r="P80" s="161"/>
    </row>
    <row r="81" ht="22.5" customHeight="1">
      <c r="B81" s="247">
        <v>14.0</v>
      </c>
      <c r="C81" s="255" t="s">
        <v>459</v>
      </c>
      <c r="D81" s="256" t="s">
        <v>460</v>
      </c>
      <c r="E81" s="257" t="s">
        <v>461</v>
      </c>
      <c r="F81" s="258" t="s">
        <v>462</v>
      </c>
      <c r="G81" s="255" t="s">
        <v>463</v>
      </c>
      <c r="H81" s="255" t="s">
        <v>464</v>
      </c>
      <c r="I81" s="259"/>
      <c r="L81" s="184"/>
      <c r="M81" s="185"/>
      <c r="N81" s="185"/>
      <c r="O81" s="185"/>
      <c r="P81" s="186"/>
    </row>
    <row r="84">
      <c r="L84" s="260" t="s">
        <v>465</v>
      </c>
      <c r="M84" s="149"/>
      <c r="N84" s="149"/>
    </row>
    <row r="85">
      <c r="L85" s="261" t="s">
        <v>284</v>
      </c>
      <c r="M85" s="102"/>
      <c r="N85" s="261" t="s">
        <v>285</v>
      </c>
      <c r="O85" s="102"/>
      <c r="P85" s="261" t="s">
        <v>286</v>
      </c>
      <c r="Q85" s="102"/>
    </row>
    <row r="86">
      <c r="L86" s="262" t="s">
        <v>466</v>
      </c>
      <c r="M86" s="153"/>
      <c r="N86" s="262" t="s">
        <v>467</v>
      </c>
      <c r="O86" s="153"/>
      <c r="P86" s="262" t="s">
        <v>468</v>
      </c>
      <c r="Q86" s="153"/>
    </row>
    <row r="87">
      <c r="L87" s="160"/>
      <c r="M87" s="161"/>
      <c r="N87" s="160"/>
      <c r="O87" s="161"/>
      <c r="P87" s="160"/>
      <c r="Q87" s="161"/>
    </row>
    <row r="88">
      <c r="L88" s="160"/>
      <c r="M88" s="161"/>
      <c r="N88" s="160"/>
      <c r="O88" s="161"/>
      <c r="P88" s="160"/>
      <c r="Q88" s="161"/>
    </row>
    <row r="89">
      <c r="L89" s="184"/>
      <c r="M89" s="186"/>
      <c r="N89" s="184"/>
      <c r="O89" s="186"/>
      <c r="P89" s="184"/>
      <c r="Q89" s="186"/>
    </row>
    <row r="90">
      <c r="L90" s="204"/>
      <c r="M90" s="204"/>
      <c r="N90" s="204"/>
      <c r="O90" s="31"/>
    </row>
    <row r="91">
      <c r="L91" s="204"/>
      <c r="M91" s="204"/>
      <c r="N91" s="204"/>
      <c r="O91" s="31"/>
    </row>
    <row r="94">
      <c r="L94" s="263" t="s">
        <v>469</v>
      </c>
      <c r="M94" s="133"/>
      <c r="N94" s="149"/>
      <c r="O94" s="149"/>
      <c r="P94" s="149"/>
      <c r="Q94" s="149"/>
    </row>
    <row r="95" ht="22.5" customHeight="1">
      <c r="B95" s="150" t="s">
        <v>184</v>
      </c>
      <c r="C95" s="150" t="s">
        <v>185</v>
      </c>
      <c r="D95" s="150" t="s">
        <v>186</v>
      </c>
      <c r="E95" s="150" t="s">
        <v>187</v>
      </c>
      <c r="F95" s="150" t="s">
        <v>188</v>
      </c>
      <c r="G95" s="150" t="s">
        <v>189</v>
      </c>
      <c r="H95" s="150" t="s">
        <v>190</v>
      </c>
      <c r="I95" s="150" t="s">
        <v>191</v>
      </c>
      <c r="L95" s="264" t="s">
        <v>470</v>
      </c>
      <c r="M95" s="207"/>
      <c r="N95" s="207"/>
      <c r="O95" s="207"/>
      <c r="P95" s="207"/>
      <c r="Q95" s="208"/>
    </row>
    <row r="96" ht="22.5" customHeight="1">
      <c r="B96" s="245">
        <v>1.0</v>
      </c>
      <c r="C96" s="155" t="s">
        <v>471</v>
      </c>
      <c r="D96" s="169" t="s">
        <v>472</v>
      </c>
      <c r="E96" s="157" t="s">
        <v>473</v>
      </c>
      <c r="F96" s="158" t="s">
        <v>474</v>
      </c>
      <c r="G96" s="158" t="s">
        <v>475</v>
      </c>
      <c r="H96" s="155" t="s">
        <v>476</v>
      </c>
      <c r="I96" s="246"/>
      <c r="L96" s="211"/>
      <c r="Q96" s="212"/>
    </row>
    <row r="97" ht="22.5" customHeight="1">
      <c r="B97" s="265">
        <v>2.0</v>
      </c>
      <c r="C97" s="163" t="s">
        <v>477</v>
      </c>
      <c r="D97" s="164"/>
      <c r="E97" s="165" t="s">
        <v>478</v>
      </c>
      <c r="F97" s="167"/>
      <c r="G97" s="266"/>
      <c r="H97" s="164"/>
      <c r="I97" s="248"/>
      <c r="L97" s="211"/>
      <c r="Q97" s="212"/>
    </row>
    <row r="98" ht="22.5" customHeight="1">
      <c r="B98" s="245">
        <v>3.0</v>
      </c>
      <c r="C98" s="173" t="s">
        <v>479</v>
      </c>
      <c r="D98" s="174" t="s">
        <v>480</v>
      </c>
      <c r="E98" s="175" t="s">
        <v>481</v>
      </c>
      <c r="F98" s="176" t="s">
        <v>368</v>
      </c>
      <c r="G98" s="267" t="s">
        <v>482</v>
      </c>
      <c r="H98" s="173" t="s">
        <v>483</v>
      </c>
      <c r="I98" s="249"/>
      <c r="L98" s="211"/>
      <c r="Q98" s="212"/>
    </row>
    <row r="99" ht="22.5" customHeight="1">
      <c r="B99" s="265">
        <v>4.0</v>
      </c>
      <c r="C99" s="163" t="s">
        <v>484</v>
      </c>
      <c r="D99" s="164"/>
      <c r="E99" s="165" t="s">
        <v>485</v>
      </c>
      <c r="F99" s="167"/>
      <c r="G99" s="266"/>
      <c r="H99" s="164"/>
      <c r="I99" s="248"/>
      <c r="L99" s="211"/>
      <c r="Q99" s="212"/>
    </row>
    <row r="100" ht="22.5" customHeight="1">
      <c r="B100" s="245">
        <v>5.0</v>
      </c>
      <c r="C100" s="155" t="s">
        <v>486</v>
      </c>
      <c r="D100" s="169" t="s">
        <v>487</v>
      </c>
      <c r="E100" s="157" t="s">
        <v>488</v>
      </c>
      <c r="F100" s="158" t="s">
        <v>456</v>
      </c>
      <c r="G100" s="172" t="s">
        <v>489</v>
      </c>
      <c r="H100" s="155" t="s">
        <v>490</v>
      </c>
      <c r="I100" s="246"/>
      <c r="L100" s="211"/>
      <c r="Q100" s="212"/>
    </row>
    <row r="101" ht="22.5" customHeight="1">
      <c r="B101" s="265">
        <v>6.0</v>
      </c>
      <c r="C101" s="230" t="s">
        <v>491</v>
      </c>
      <c r="D101" s="231" t="s">
        <v>492</v>
      </c>
      <c r="E101" s="251" t="s">
        <v>493</v>
      </c>
      <c r="F101" s="233" t="s">
        <v>398</v>
      </c>
      <c r="G101" s="233" t="s">
        <v>494</v>
      </c>
      <c r="H101" s="230" t="s">
        <v>495</v>
      </c>
      <c r="I101" s="252"/>
      <c r="L101" s="211"/>
      <c r="Q101" s="212"/>
    </row>
    <row r="102" ht="22.5" customHeight="1">
      <c r="B102" s="245">
        <v>7.0</v>
      </c>
      <c r="C102" s="225" t="s">
        <v>496</v>
      </c>
      <c r="D102" s="226" t="s">
        <v>497</v>
      </c>
      <c r="E102" s="253" t="s">
        <v>498</v>
      </c>
      <c r="F102" s="228" t="s">
        <v>404</v>
      </c>
      <c r="G102" s="228" t="s">
        <v>499</v>
      </c>
      <c r="H102" s="225" t="s">
        <v>500</v>
      </c>
      <c r="I102" s="254"/>
      <c r="L102" s="211"/>
      <c r="Q102" s="212"/>
    </row>
    <row r="103" ht="22.5" customHeight="1">
      <c r="B103" s="265">
        <v>8.0</v>
      </c>
      <c r="C103" s="230" t="s">
        <v>501</v>
      </c>
      <c r="D103" s="231" t="s">
        <v>502</v>
      </c>
      <c r="E103" s="251" t="s">
        <v>503</v>
      </c>
      <c r="F103" s="233" t="s">
        <v>277</v>
      </c>
      <c r="G103" s="230" t="s">
        <v>504</v>
      </c>
      <c r="H103" s="230" t="s">
        <v>505</v>
      </c>
      <c r="I103" s="252"/>
      <c r="L103" s="211"/>
      <c r="Q103" s="212"/>
    </row>
    <row r="104" ht="22.5" customHeight="1">
      <c r="B104" s="245">
        <v>9.0</v>
      </c>
      <c r="C104" s="225" t="s">
        <v>506</v>
      </c>
      <c r="D104" s="227"/>
      <c r="E104" s="253" t="s">
        <v>507</v>
      </c>
      <c r="F104" s="268"/>
      <c r="G104" s="227"/>
      <c r="H104" s="227"/>
      <c r="I104" s="254"/>
      <c r="L104" s="211"/>
      <c r="Q104" s="212"/>
    </row>
    <row r="105" ht="22.5" customHeight="1">
      <c r="B105" s="265">
        <v>10.0</v>
      </c>
      <c r="C105" s="230" t="s">
        <v>508</v>
      </c>
      <c r="D105" s="231" t="s">
        <v>509</v>
      </c>
      <c r="E105" s="251" t="s">
        <v>510</v>
      </c>
      <c r="F105" s="233" t="s">
        <v>282</v>
      </c>
      <c r="G105" s="230" t="s">
        <v>511</v>
      </c>
      <c r="H105" s="230" t="s">
        <v>512</v>
      </c>
      <c r="I105" s="252"/>
      <c r="L105" s="211"/>
      <c r="Q105" s="212"/>
    </row>
    <row r="106" ht="22.5" customHeight="1">
      <c r="B106" s="245">
        <v>11.0</v>
      </c>
      <c r="C106" s="225" t="s">
        <v>513</v>
      </c>
      <c r="D106" s="226" t="s">
        <v>514</v>
      </c>
      <c r="E106" s="269" t="s">
        <v>515</v>
      </c>
      <c r="F106" s="228" t="s">
        <v>450</v>
      </c>
      <c r="G106" s="225" t="s">
        <v>516</v>
      </c>
      <c r="H106" s="225" t="s">
        <v>517</v>
      </c>
      <c r="I106" s="254"/>
      <c r="L106" s="211"/>
      <c r="Q106" s="212"/>
    </row>
    <row r="107" ht="22.5" customHeight="1">
      <c r="B107" s="265">
        <v>12.0</v>
      </c>
      <c r="C107" s="270" t="s">
        <v>518</v>
      </c>
      <c r="D107" s="271"/>
      <c r="E107" s="165" t="s">
        <v>519</v>
      </c>
      <c r="F107" s="272"/>
      <c r="G107" s="273"/>
      <c r="H107" s="273"/>
      <c r="I107" s="274"/>
      <c r="L107" s="211"/>
      <c r="Q107" s="212"/>
    </row>
    <row r="108" ht="22.5" customHeight="1">
      <c r="B108" s="245">
        <v>13.0</v>
      </c>
      <c r="C108" s="275" t="s">
        <v>520</v>
      </c>
      <c r="D108" s="276" t="s">
        <v>521</v>
      </c>
      <c r="E108" s="277" t="s">
        <v>522</v>
      </c>
      <c r="F108" s="278" t="s">
        <v>462</v>
      </c>
      <c r="G108" s="275" t="s">
        <v>523</v>
      </c>
      <c r="H108" s="275" t="s">
        <v>524</v>
      </c>
      <c r="I108" s="279"/>
      <c r="L108" s="222"/>
      <c r="M108" s="223"/>
      <c r="N108" s="223"/>
      <c r="O108" s="223"/>
      <c r="P108" s="223"/>
      <c r="Q108" s="224"/>
    </row>
    <row r="111">
      <c r="L111" s="280" t="s">
        <v>525</v>
      </c>
      <c r="M111" s="149"/>
      <c r="N111" s="149"/>
    </row>
    <row r="112">
      <c r="L112" s="281" t="s">
        <v>284</v>
      </c>
      <c r="M112" s="102"/>
      <c r="N112" s="281" t="s">
        <v>285</v>
      </c>
      <c r="O112" s="102"/>
      <c r="P112" s="281" t="s">
        <v>286</v>
      </c>
      <c r="Q112" s="102"/>
    </row>
    <row r="113">
      <c r="L113" s="282" t="s">
        <v>526</v>
      </c>
      <c r="M113" s="153"/>
      <c r="N113" s="282" t="s">
        <v>527</v>
      </c>
      <c r="O113" s="153"/>
      <c r="P113" s="282" t="s">
        <v>528</v>
      </c>
      <c r="Q113" s="153"/>
    </row>
    <row r="114">
      <c r="L114" s="160"/>
      <c r="M114" s="161"/>
      <c r="N114" s="160"/>
      <c r="O114" s="161"/>
      <c r="P114" s="160"/>
      <c r="Q114" s="161"/>
    </row>
    <row r="115">
      <c r="L115" s="160"/>
      <c r="M115" s="161"/>
      <c r="N115" s="160"/>
      <c r="O115" s="161"/>
      <c r="P115" s="160"/>
      <c r="Q115" s="161"/>
    </row>
    <row r="116">
      <c r="L116" s="160"/>
      <c r="M116" s="161"/>
      <c r="N116" s="160"/>
      <c r="O116" s="161"/>
      <c r="P116" s="160"/>
      <c r="Q116" s="161"/>
    </row>
    <row r="117">
      <c r="L117" s="184"/>
      <c r="M117" s="186"/>
      <c r="N117" s="184"/>
      <c r="O117" s="186"/>
      <c r="P117" s="184"/>
      <c r="Q117" s="186"/>
    </row>
    <row r="118">
      <c r="L118" s="204"/>
      <c r="M118" s="204"/>
      <c r="N118" s="204"/>
    </row>
  </sheetData>
  <mergeCells count="32">
    <mergeCell ref="L2:M2"/>
    <mergeCell ref="L3:P23"/>
    <mergeCell ref="L25:M25"/>
    <mergeCell ref="N25:O25"/>
    <mergeCell ref="P25:Q25"/>
    <mergeCell ref="N26:O30"/>
    <mergeCell ref="P26:Q30"/>
    <mergeCell ref="N59:O62"/>
    <mergeCell ref="P59:Q62"/>
    <mergeCell ref="L26:M30"/>
    <mergeCell ref="L34:M34"/>
    <mergeCell ref="L35:P55"/>
    <mergeCell ref="L58:M58"/>
    <mergeCell ref="N58:O58"/>
    <mergeCell ref="P58:Q58"/>
    <mergeCell ref="L59:M62"/>
    <mergeCell ref="L86:M89"/>
    <mergeCell ref="L94:M94"/>
    <mergeCell ref="L95:Q108"/>
    <mergeCell ref="L112:M112"/>
    <mergeCell ref="N112:O112"/>
    <mergeCell ref="P112:Q112"/>
    <mergeCell ref="L113:M117"/>
    <mergeCell ref="N113:O117"/>
    <mergeCell ref="P113:Q117"/>
    <mergeCell ref="L66:M66"/>
    <mergeCell ref="L67:P81"/>
    <mergeCell ref="L85:M85"/>
    <mergeCell ref="N85:O85"/>
    <mergeCell ref="P85:Q85"/>
    <mergeCell ref="N86:O89"/>
    <mergeCell ref="P86:Q89"/>
  </mergeCells>
  <dataValidations>
    <dataValidation allowBlank="1" showDropDown="1" sqref="F4:F30 F36:F59 F68:F81 F96:F108"/>
  </dataValidations>
  <hyperlinks>
    <hyperlink r:id="rId1" ref="D6"/>
    <hyperlink r:id="rId2" ref="D7"/>
    <hyperlink r:id="rId3" ref="D8"/>
    <hyperlink r:id="rId4" ref="D10"/>
    <hyperlink r:id="rId5" ref="D11"/>
    <hyperlink r:id="rId6" ref="D14"/>
    <hyperlink r:id="rId7" ref="D16"/>
    <hyperlink r:id="rId8" ref="D17"/>
    <hyperlink r:id="rId9" ref="D18"/>
    <hyperlink r:id="rId10" ref="D19"/>
    <hyperlink r:id="rId11" ref="D23"/>
    <hyperlink r:id="rId12" ref="D24"/>
    <hyperlink r:id="rId13" ref="D25"/>
    <hyperlink r:id="rId14" ref="D26"/>
    <hyperlink r:id="rId15" ref="D28"/>
    <hyperlink r:id="rId16" ref="D41"/>
    <hyperlink r:id="rId17" ref="D44"/>
    <hyperlink r:id="rId18" ref="D46"/>
    <hyperlink r:id="rId19" ref="D47"/>
    <hyperlink r:id="rId20" ref="D50"/>
    <hyperlink r:id="rId21" ref="D52"/>
    <hyperlink r:id="rId22" ref="D53"/>
    <hyperlink r:id="rId23" ref="D54"/>
    <hyperlink r:id="rId24" ref="D55"/>
    <hyperlink r:id="rId25" ref="D56"/>
    <hyperlink r:id="rId26" ref="D57"/>
    <hyperlink r:id="rId27" ref="D58"/>
    <hyperlink r:id="rId28" ref="D59"/>
    <hyperlink r:id="rId29" ref="D68"/>
    <hyperlink r:id="rId30" ref="D69"/>
    <hyperlink r:id="rId31" ref="D70"/>
    <hyperlink r:id="rId32" ref="D72"/>
    <hyperlink r:id="rId33" ref="D73"/>
    <hyperlink r:id="rId34" ref="D74"/>
    <hyperlink r:id="rId35" ref="D75"/>
    <hyperlink r:id="rId36" ref="D76"/>
    <hyperlink r:id="rId37" ref="D77"/>
    <hyperlink r:id="rId38" ref="D78"/>
    <hyperlink r:id="rId39" ref="D79"/>
    <hyperlink r:id="rId40" ref="D80"/>
    <hyperlink r:id="rId41" ref="D81"/>
    <hyperlink r:id="rId42" ref="D96"/>
    <hyperlink r:id="rId43" ref="D98"/>
    <hyperlink r:id="rId44" ref="D100"/>
    <hyperlink r:id="rId45" ref="D101"/>
    <hyperlink r:id="rId46" ref="D102"/>
    <hyperlink r:id="rId47" ref="D103"/>
    <hyperlink r:id="rId48" ref="D105"/>
    <hyperlink r:id="rId49" ref="D106"/>
    <hyperlink r:id="rId50" ref="D108"/>
  </hyperlinks>
  <drawing r:id="rId51"/>
  <tableParts count="4">
    <tablePart r:id="rId56"/>
    <tablePart r:id="rId57"/>
    <tablePart r:id="rId58"/>
    <tablePart r:id="rId5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529</v>
      </c>
      <c r="S1" s="2"/>
      <c r="T1" s="2"/>
      <c r="U1" s="2"/>
      <c r="V1" s="2"/>
      <c r="W1" s="2"/>
      <c r="X1" s="2"/>
      <c r="Y1" s="2"/>
      <c r="Z1" s="2"/>
    </row>
    <row r="2">
      <c r="A2" s="3" t="s">
        <v>530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4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83" t="s">
        <v>7</v>
      </c>
      <c r="C7" s="8"/>
      <c r="D7" s="9"/>
      <c r="E7" s="2"/>
      <c r="F7" s="283" t="s">
        <v>10</v>
      </c>
      <c r="G7" s="8"/>
      <c r="H7" s="9"/>
      <c r="I7" s="149"/>
      <c r="J7" s="149"/>
      <c r="K7" s="283" t="s">
        <v>16</v>
      </c>
      <c r="L7" s="8"/>
      <c r="M7" s="9"/>
      <c r="N7" s="2"/>
      <c r="O7" s="283" t="s">
        <v>17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84" t="s">
        <v>11</v>
      </c>
      <c r="D8" s="11"/>
      <c r="E8" s="2"/>
      <c r="F8" s="284" t="s">
        <v>14</v>
      </c>
      <c r="H8" s="11"/>
      <c r="I8" s="149"/>
      <c r="J8" s="149"/>
      <c r="K8" s="284" t="s">
        <v>20</v>
      </c>
      <c r="M8" s="11"/>
      <c r="N8" s="2"/>
      <c r="O8" s="284" t="s">
        <v>21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149"/>
      <c r="J9" s="149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149"/>
      <c r="J10" s="149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85"/>
      <c r="C11" s="286" t="s">
        <v>15</v>
      </c>
      <c r="D11" s="18"/>
      <c r="E11" s="2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2"/>
      <c r="O11" s="149"/>
      <c r="P11" s="286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287" t="s">
        <v>531</v>
      </c>
      <c r="S13" s="2"/>
      <c r="T13" s="2"/>
      <c r="U13" s="2"/>
      <c r="V13" s="2"/>
      <c r="W13" s="2"/>
      <c r="X13" s="2"/>
      <c r="Y13" s="2"/>
      <c r="Z13" s="2"/>
    </row>
    <row r="14" ht="43.5" customHeight="1">
      <c r="A14" s="288" t="s">
        <v>532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9" t="s">
        <v>533</v>
      </c>
      <c r="B17" s="290" t="s">
        <v>534</v>
      </c>
      <c r="C17" s="8"/>
      <c r="D17" s="290" t="s">
        <v>535</v>
      </c>
      <c r="E17" s="8"/>
      <c r="F17" s="290" t="s">
        <v>536</v>
      </c>
      <c r="G17" s="8"/>
      <c r="H17" s="8"/>
      <c r="I17" s="290" t="s">
        <v>537</v>
      </c>
      <c r="J17" s="8"/>
      <c r="K17" s="290" t="s">
        <v>538</v>
      </c>
      <c r="L17" s="8"/>
      <c r="M17" s="290" t="s">
        <v>539</v>
      </c>
      <c r="N17" s="290" t="s">
        <v>71</v>
      </c>
      <c r="O17" s="8"/>
      <c r="P17" s="290" t="s">
        <v>540</v>
      </c>
      <c r="Q17" s="8"/>
      <c r="R17" s="9"/>
      <c r="S17" s="2"/>
      <c r="T17" s="2"/>
      <c r="U17" s="2"/>
      <c r="V17" s="2"/>
      <c r="W17" s="2"/>
      <c r="X17" s="2"/>
      <c r="Y17" s="2"/>
      <c r="Z17" s="2"/>
    </row>
    <row r="18">
      <c r="A18" s="291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292"/>
      <c r="S18" s="2"/>
      <c r="T18" s="2"/>
      <c r="U18" s="2"/>
      <c r="V18" s="2"/>
      <c r="W18" s="2"/>
      <c r="X18" s="2"/>
      <c r="Y18" s="2"/>
      <c r="Z18" s="2"/>
    </row>
    <row r="19">
      <c r="A19" s="293">
        <v>1.0</v>
      </c>
      <c r="B19" s="294" t="s">
        <v>541</v>
      </c>
      <c r="C19" s="295"/>
      <c r="D19" s="294" t="s">
        <v>542</v>
      </c>
      <c r="E19" s="48"/>
      <c r="F19" s="294" t="s">
        <v>543</v>
      </c>
      <c r="G19" s="48"/>
      <c r="H19" s="295"/>
      <c r="I19" s="294" t="s">
        <v>544</v>
      </c>
      <c r="J19" s="48"/>
      <c r="K19" s="296" t="s">
        <v>545</v>
      </c>
      <c r="L19" s="295"/>
      <c r="M19" s="297" t="s">
        <v>546</v>
      </c>
      <c r="N19" s="294" t="s">
        <v>547</v>
      </c>
      <c r="O19" s="295"/>
      <c r="P19" s="294" t="s">
        <v>548</v>
      </c>
      <c r="Q19" s="48"/>
      <c r="R19" s="49"/>
      <c r="S19" s="2"/>
      <c r="T19" s="2"/>
      <c r="U19" s="2"/>
      <c r="V19" s="2"/>
      <c r="W19" s="2"/>
      <c r="X19" s="2"/>
      <c r="Y19" s="2"/>
      <c r="Z19" s="2"/>
    </row>
    <row r="20">
      <c r="A20" s="298">
        <v>2.0</v>
      </c>
      <c r="B20" s="299" t="s">
        <v>549</v>
      </c>
      <c r="C20" s="295"/>
      <c r="D20" s="299" t="s">
        <v>550</v>
      </c>
      <c r="E20" s="48"/>
      <c r="F20" s="299" t="s">
        <v>551</v>
      </c>
      <c r="G20" s="48"/>
      <c r="H20" s="295"/>
      <c r="I20" s="299" t="s">
        <v>552</v>
      </c>
      <c r="J20" s="48"/>
      <c r="K20" s="300" t="s">
        <v>553</v>
      </c>
      <c r="L20" s="295"/>
      <c r="M20" s="301" t="s">
        <v>554</v>
      </c>
      <c r="N20" s="299" t="s">
        <v>555</v>
      </c>
      <c r="O20" s="295"/>
      <c r="P20" s="299" t="s">
        <v>556</v>
      </c>
      <c r="Q20" s="48"/>
      <c r="R20" s="49"/>
      <c r="S20" s="2"/>
      <c r="T20" s="2"/>
      <c r="U20" s="2"/>
      <c r="V20" s="2"/>
      <c r="W20" s="2"/>
      <c r="X20" s="2"/>
      <c r="Y20" s="2"/>
      <c r="Z20" s="2"/>
    </row>
    <row r="21">
      <c r="A21" s="293">
        <v>3.0</v>
      </c>
      <c r="B21" s="294" t="s">
        <v>557</v>
      </c>
      <c r="C21" s="295"/>
      <c r="D21" s="294" t="s">
        <v>558</v>
      </c>
      <c r="E21" s="48"/>
      <c r="F21" s="294" t="s">
        <v>559</v>
      </c>
      <c r="G21" s="48"/>
      <c r="H21" s="295"/>
      <c r="I21" s="294" t="s">
        <v>560</v>
      </c>
      <c r="J21" s="48"/>
      <c r="K21" s="296" t="s">
        <v>561</v>
      </c>
      <c r="L21" s="295"/>
      <c r="M21" s="297" t="s">
        <v>562</v>
      </c>
      <c r="N21" s="294" t="s">
        <v>563</v>
      </c>
      <c r="O21" s="295"/>
      <c r="P21" s="294" t="s">
        <v>564</v>
      </c>
      <c r="Q21" s="48"/>
      <c r="R21" s="49"/>
      <c r="S21" s="2"/>
      <c r="T21" s="2"/>
      <c r="U21" s="2"/>
      <c r="V21" s="2"/>
      <c r="W21" s="2"/>
      <c r="X21" s="2"/>
      <c r="Y21" s="2"/>
      <c r="Z21" s="2"/>
    </row>
    <row r="22">
      <c r="A22" s="302">
        <v>4.0</v>
      </c>
      <c r="B22" s="303" t="s">
        <v>565</v>
      </c>
      <c r="C22" s="295"/>
      <c r="D22" s="303" t="s">
        <v>566</v>
      </c>
      <c r="E22" s="48"/>
      <c r="F22" s="303" t="s">
        <v>567</v>
      </c>
      <c r="G22" s="48"/>
      <c r="H22" s="295"/>
      <c r="I22" s="303" t="s">
        <v>568</v>
      </c>
      <c r="J22" s="48"/>
      <c r="K22" s="304" t="s">
        <v>569</v>
      </c>
      <c r="L22" s="295"/>
      <c r="M22" s="305" t="s">
        <v>554</v>
      </c>
      <c r="N22" s="303" t="s">
        <v>570</v>
      </c>
      <c r="O22" s="295"/>
      <c r="P22" s="303" t="s">
        <v>571</v>
      </c>
      <c r="Q22" s="48"/>
      <c r="R22" s="49"/>
      <c r="S22" s="2"/>
      <c r="T22" s="2"/>
      <c r="U22" s="2"/>
      <c r="V22" s="2"/>
      <c r="W22" s="2"/>
      <c r="X22" s="2"/>
      <c r="Y22" s="2"/>
      <c r="Z22" s="2"/>
    </row>
    <row r="23">
      <c r="A23" s="293">
        <v>5.0</v>
      </c>
      <c r="B23" s="294" t="s">
        <v>572</v>
      </c>
      <c r="C23" s="295"/>
      <c r="D23" s="294" t="s">
        <v>573</v>
      </c>
      <c r="E23" s="48"/>
      <c r="F23" s="294" t="s">
        <v>574</v>
      </c>
      <c r="G23" s="48"/>
      <c r="H23" s="295"/>
      <c r="I23" s="294" t="s">
        <v>554</v>
      </c>
      <c r="J23" s="48"/>
      <c r="K23" s="296" t="s">
        <v>575</v>
      </c>
      <c r="L23" s="295"/>
      <c r="M23" s="297" t="s">
        <v>554</v>
      </c>
      <c r="N23" s="294" t="s">
        <v>576</v>
      </c>
      <c r="O23" s="295"/>
      <c r="P23" s="294" t="s">
        <v>577</v>
      </c>
      <c r="Q23" s="48"/>
      <c r="R23" s="49"/>
      <c r="S23" s="2"/>
      <c r="T23" s="2"/>
      <c r="U23" s="2"/>
      <c r="V23" s="2"/>
      <c r="W23" s="2"/>
      <c r="X23" s="2"/>
      <c r="Y23" s="2"/>
      <c r="Z23" s="2"/>
    </row>
    <row r="24">
      <c r="A24" s="302">
        <v>6.0</v>
      </c>
      <c r="B24" s="303" t="s">
        <v>578</v>
      </c>
      <c r="C24" s="295"/>
      <c r="D24" s="303" t="s">
        <v>579</v>
      </c>
      <c r="E24" s="48"/>
      <c r="F24" s="303" t="s">
        <v>580</v>
      </c>
      <c r="G24" s="48"/>
      <c r="H24" s="295"/>
      <c r="I24" s="303" t="s">
        <v>581</v>
      </c>
      <c r="J24" s="48"/>
      <c r="K24" s="304" t="s">
        <v>582</v>
      </c>
      <c r="L24" s="295"/>
      <c r="M24" s="305" t="s">
        <v>583</v>
      </c>
      <c r="N24" s="303" t="s">
        <v>584</v>
      </c>
      <c r="O24" s="295"/>
      <c r="P24" s="303" t="s">
        <v>585</v>
      </c>
      <c r="Q24" s="48"/>
      <c r="R24" s="49"/>
      <c r="S24" s="2"/>
      <c r="T24" s="2"/>
      <c r="U24" s="2"/>
      <c r="V24" s="2"/>
      <c r="W24" s="2"/>
      <c r="X24" s="2"/>
      <c r="Y24" s="2"/>
      <c r="Z24" s="2"/>
    </row>
    <row r="25">
      <c r="A25" s="293">
        <v>7.0</v>
      </c>
      <c r="B25" s="294" t="s">
        <v>586</v>
      </c>
      <c r="C25" s="295"/>
      <c r="D25" s="294" t="s">
        <v>587</v>
      </c>
      <c r="E25" s="48"/>
      <c r="F25" s="294" t="s">
        <v>588</v>
      </c>
      <c r="G25" s="48"/>
      <c r="H25" s="295"/>
      <c r="I25" s="294" t="s">
        <v>589</v>
      </c>
      <c r="J25" s="48"/>
      <c r="K25" s="296" t="s">
        <v>590</v>
      </c>
      <c r="L25" s="295"/>
      <c r="M25" s="297" t="s">
        <v>591</v>
      </c>
      <c r="N25" s="294" t="s">
        <v>592</v>
      </c>
      <c r="O25" s="295"/>
      <c r="P25" s="294" t="s">
        <v>593</v>
      </c>
      <c r="Q25" s="48"/>
      <c r="R25" s="49"/>
      <c r="S25" s="2"/>
      <c r="T25" s="2"/>
      <c r="U25" s="2"/>
      <c r="V25" s="2"/>
      <c r="W25" s="2"/>
      <c r="X25" s="2"/>
      <c r="Y25" s="2"/>
      <c r="Z25" s="2"/>
    </row>
    <row r="26">
      <c r="A26" s="306">
        <v>8.0</v>
      </c>
      <c r="B26" s="307" t="s">
        <v>594</v>
      </c>
      <c r="C26" s="308"/>
      <c r="D26" s="307" t="s">
        <v>595</v>
      </c>
      <c r="E26" s="309"/>
      <c r="F26" s="307" t="s">
        <v>596</v>
      </c>
      <c r="G26" s="309"/>
      <c r="H26" s="308"/>
      <c r="I26" s="307" t="s">
        <v>597</v>
      </c>
      <c r="J26" s="309"/>
      <c r="K26" s="310" t="s">
        <v>598</v>
      </c>
      <c r="L26" s="308"/>
      <c r="M26" s="311" t="s">
        <v>546</v>
      </c>
      <c r="N26" s="307" t="s">
        <v>599</v>
      </c>
      <c r="O26" s="308"/>
      <c r="P26" s="307" t="s">
        <v>600</v>
      </c>
      <c r="Q26" s="309"/>
      <c r="R26" s="312"/>
      <c r="S26" s="2"/>
      <c r="T26" s="2"/>
      <c r="U26" s="2"/>
      <c r="V26" s="2"/>
      <c r="W26" s="2"/>
      <c r="X26" s="2"/>
      <c r="Y26" s="2"/>
      <c r="Z26" s="2"/>
    </row>
    <row r="27">
      <c r="A27" s="293">
        <v>9.0</v>
      </c>
      <c r="B27" s="294" t="s">
        <v>601</v>
      </c>
      <c r="C27" s="295"/>
      <c r="D27" s="313" t="s">
        <v>602</v>
      </c>
      <c r="E27" s="77"/>
      <c r="F27" s="294" t="s">
        <v>603</v>
      </c>
      <c r="G27" s="48"/>
      <c r="H27" s="295"/>
      <c r="I27" s="313" t="s">
        <v>604</v>
      </c>
      <c r="J27" s="77"/>
      <c r="K27" s="314" t="s">
        <v>605</v>
      </c>
      <c r="L27" s="315"/>
      <c r="M27" s="297" t="s">
        <v>546</v>
      </c>
      <c r="N27" s="294" t="s">
        <v>606</v>
      </c>
      <c r="O27" s="295"/>
      <c r="P27" s="294" t="s">
        <v>607</v>
      </c>
      <c r="Q27" s="48"/>
      <c r="R27" s="49"/>
      <c r="S27" s="2"/>
      <c r="T27" s="2"/>
      <c r="U27" s="2"/>
      <c r="V27" s="2"/>
      <c r="W27" s="2"/>
      <c r="X27" s="2"/>
      <c r="Y27" s="2"/>
      <c r="Z27" s="2"/>
    </row>
    <row r="28">
      <c r="A28" s="306">
        <v>10.0</v>
      </c>
      <c r="B28" s="307" t="s">
        <v>608</v>
      </c>
      <c r="C28" s="308"/>
      <c r="D28" s="307" t="s">
        <v>609</v>
      </c>
      <c r="E28" s="309"/>
      <c r="F28" s="307" t="s">
        <v>610</v>
      </c>
      <c r="G28" s="309"/>
      <c r="H28" s="308"/>
      <c r="I28" s="307" t="s">
        <v>562</v>
      </c>
      <c r="J28" s="309"/>
      <c r="K28" s="310" t="s">
        <v>611</v>
      </c>
      <c r="L28" s="308"/>
      <c r="M28" s="311" t="s">
        <v>562</v>
      </c>
      <c r="N28" s="307" t="s">
        <v>612</v>
      </c>
      <c r="O28" s="308"/>
      <c r="P28" s="307" t="s">
        <v>613</v>
      </c>
      <c r="Q28" s="309"/>
      <c r="R28" s="31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L29" s="2"/>
      <c r="M29" s="2"/>
      <c r="N29" s="2"/>
      <c r="O29" s="2"/>
      <c r="S29" s="2"/>
      <c r="T29" s="2"/>
      <c r="U29" s="2"/>
      <c r="V29" s="2"/>
      <c r="W29" s="2"/>
      <c r="X29" s="2"/>
      <c r="Y29" s="2"/>
      <c r="Z29" s="2"/>
    </row>
    <row r="30">
      <c r="B30" s="2"/>
      <c r="C30" s="2"/>
      <c r="D30" s="2"/>
      <c r="E30" s="2"/>
      <c r="F30" s="2"/>
      <c r="G30" s="2"/>
      <c r="H30" s="2"/>
      <c r="L30" s="2"/>
      <c r="M30" s="2"/>
      <c r="N30" s="2"/>
      <c r="O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L31" s="2"/>
      <c r="M31" s="2"/>
      <c r="N31" s="2"/>
      <c r="O31" s="2"/>
      <c r="P31" s="7" t="s">
        <v>95</v>
      </c>
      <c r="Q31" s="8"/>
      <c r="R31" s="9"/>
      <c r="S31" s="19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L32" s="2"/>
      <c r="M32" s="2"/>
      <c r="N32" s="2"/>
      <c r="O32" s="2"/>
      <c r="P32" s="94" t="s">
        <v>15</v>
      </c>
      <c r="Q32" s="95"/>
      <c r="R32" s="96"/>
      <c r="S32" s="19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L33" s="2"/>
      <c r="M33" s="2"/>
      <c r="N33" s="2"/>
      <c r="O33" s="2"/>
      <c r="P33" s="19"/>
      <c r="Q33" s="316"/>
      <c r="S33" s="19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103">
    <mergeCell ref="B20:C20"/>
    <mergeCell ref="D20:E20"/>
    <mergeCell ref="F20:H20"/>
    <mergeCell ref="I20:J20"/>
    <mergeCell ref="K20:L20"/>
    <mergeCell ref="N20:O20"/>
    <mergeCell ref="P20:R20"/>
    <mergeCell ref="B21:C21"/>
    <mergeCell ref="D21:E21"/>
    <mergeCell ref="F21:H21"/>
    <mergeCell ref="I21:J21"/>
    <mergeCell ref="K21:L21"/>
    <mergeCell ref="N21:O21"/>
    <mergeCell ref="P21:R21"/>
    <mergeCell ref="B22:C22"/>
    <mergeCell ref="D22:E22"/>
    <mergeCell ref="F22:H22"/>
    <mergeCell ref="I22:J22"/>
    <mergeCell ref="K22:L22"/>
    <mergeCell ref="N22:O22"/>
    <mergeCell ref="P22:R22"/>
    <mergeCell ref="B23:C23"/>
    <mergeCell ref="D23:E23"/>
    <mergeCell ref="F23:H23"/>
    <mergeCell ref="I23:J23"/>
    <mergeCell ref="K23:L23"/>
    <mergeCell ref="N23:O23"/>
    <mergeCell ref="P23:R23"/>
    <mergeCell ref="B24:C24"/>
    <mergeCell ref="D24:E24"/>
    <mergeCell ref="F24:H24"/>
    <mergeCell ref="I24:J24"/>
    <mergeCell ref="K24:L24"/>
    <mergeCell ref="N24:O24"/>
    <mergeCell ref="P24:R24"/>
    <mergeCell ref="B25:C25"/>
    <mergeCell ref="D25:E25"/>
    <mergeCell ref="F25:H25"/>
    <mergeCell ref="I25:J25"/>
    <mergeCell ref="K25:L25"/>
    <mergeCell ref="N25:O25"/>
    <mergeCell ref="P25:R25"/>
    <mergeCell ref="B26:C26"/>
    <mergeCell ref="D26:E26"/>
    <mergeCell ref="F26:H26"/>
    <mergeCell ref="I26:J26"/>
    <mergeCell ref="K26:L26"/>
    <mergeCell ref="N26:O26"/>
    <mergeCell ref="P26:R26"/>
    <mergeCell ref="B27:C27"/>
    <mergeCell ref="D27:E27"/>
    <mergeCell ref="F27:H27"/>
    <mergeCell ref="I27:J27"/>
    <mergeCell ref="K27:L27"/>
    <mergeCell ref="N27:O27"/>
    <mergeCell ref="P27:R27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K17:L18"/>
    <mergeCell ref="M17:M18"/>
    <mergeCell ref="N17:O18"/>
    <mergeCell ref="P17:R18"/>
    <mergeCell ref="P11:Q11"/>
    <mergeCell ref="A13:R13"/>
    <mergeCell ref="A14:R14"/>
    <mergeCell ref="B7:D7"/>
    <mergeCell ref="F7:H7"/>
    <mergeCell ref="K7:M7"/>
    <mergeCell ref="O7:Q7"/>
    <mergeCell ref="F8:H10"/>
    <mergeCell ref="O8:Q10"/>
    <mergeCell ref="G11:H11"/>
    <mergeCell ref="B8:D10"/>
    <mergeCell ref="C11:D11"/>
    <mergeCell ref="A17:A18"/>
    <mergeCell ref="B17:C18"/>
    <mergeCell ref="D17:E18"/>
    <mergeCell ref="F17:H18"/>
    <mergeCell ref="I17:J18"/>
    <mergeCell ref="B19:C19"/>
    <mergeCell ref="D19:E19"/>
    <mergeCell ref="F19:H19"/>
    <mergeCell ref="I19:J19"/>
    <mergeCell ref="K19:L19"/>
    <mergeCell ref="N19:O19"/>
    <mergeCell ref="P19:R19"/>
    <mergeCell ref="P31:R31"/>
    <mergeCell ref="P32:R32"/>
    <mergeCell ref="Q33:R33"/>
    <mergeCell ref="B28:C28"/>
    <mergeCell ref="D28:E28"/>
    <mergeCell ref="F28:H28"/>
    <mergeCell ref="I28:J28"/>
    <mergeCell ref="K28:L28"/>
    <mergeCell ref="N28:O28"/>
    <mergeCell ref="P28:R28"/>
  </mergeCells>
  <hyperlinks>
    <hyperlink display="Открыть →" location="'М и Х Bambu Lab'!A1" ref="C11"/>
    <hyperlink display="Открыть →" location="'Доставка  самовывоз'!A1" ref="G11"/>
    <hyperlink display="Открыть →" location="'Мой склад - Документы'!A1" ref="L11"/>
    <hyperlink display="Открыть →" location="'Поставщик'!A1" ref="P11"/>
    <hyperlink display="Открыть →" location="'Главная'!A1" ref="P32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  <col customWidth="1" min="18" max="18" width="14.38"/>
  </cols>
  <sheetData>
    <row r="1">
      <c r="A1" s="1" t="s">
        <v>614</v>
      </c>
    </row>
    <row r="2">
      <c r="A2" s="3" t="s">
        <v>615</v>
      </c>
    </row>
    <row r="3">
      <c r="A3" s="59" t="s">
        <v>2</v>
      </c>
      <c r="E3" s="59" t="s">
        <v>3</v>
      </c>
      <c r="I3" s="59" t="s">
        <v>4</v>
      </c>
      <c r="N3" s="59" t="s">
        <v>616</v>
      </c>
      <c r="Q3" s="59" t="s">
        <v>617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83" t="s">
        <v>7</v>
      </c>
      <c r="C7" s="8"/>
      <c r="D7" s="9"/>
      <c r="E7" s="2"/>
      <c r="F7" s="283" t="s">
        <v>10</v>
      </c>
      <c r="G7" s="8"/>
      <c r="H7" s="9"/>
      <c r="I7" s="149"/>
      <c r="J7" s="149"/>
      <c r="K7" s="283" t="s">
        <v>16</v>
      </c>
      <c r="L7" s="8"/>
      <c r="M7" s="9"/>
      <c r="N7" s="2"/>
      <c r="O7" s="283" t="s">
        <v>17</v>
      </c>
      <c r="P7" s="8"/>
      <c r="Q7" s="9"/>
      <c r="R7" s="2"/>
    </row>
    <row r="8">
      <c r="A8" s="2"/>
      <c r="B8" s="284" t="s">
        <v>11</v>
      </c>
      <c r="D8" s="11"/>
      <c r="E8" s="2"/>
      <c r="F8" s="284" t="s">
        <v>14</v>
      </c>
      <c r="H8" s="11"/>
      <c r="I8" s="149"/>
      <c r="J8" s="149"/>
      <c r="K8" s="284" t="s">
        <v>20</v>
      </c>
      <c r="M8" s="11"/>
      <c r="N8" s="2"/>
      <c r="O8" s="284" t="s">
        <v>21</v>
      </c>
      <c r="Q8" s="11"/>
      <c r="R8" s="2"/>
    </row>
    <row r="9">
      <c r="A9" s="2"/>
      <c r="B9" s="12"/>
      <c r="D9" s="11"/>
      <c r="E9" s="2"/>
      <c r="F9" s="12"/>
      <c r="H9" s="11"/>
      <c r="I9" s="149"/>
      <c r="J9" s="149"/>
      <c r="K9" s="12"/>
      <c r="M9" s="11"/>
      <c r="N9" s="2"/>
      <c r="O9" s="12"/>
      <c r="Q9" s="11"/>
      <c r="R9" s="2"/>
    </row>
    <row r="10">
      <c r="A10" s="2"/>
      <c r="B10" s="13"/>
      <c r="C10" s="14"/>
      <c r="D10" s="15"/>
      <c r="E10" s="2"/>
      <c r="F10" s="13"/>
      <c r="G10" s="14"/>
      <c r="H10" s="15"/>
      <c r="I10" s="149"/>
      <c r="J10" s="149"/>
      <c r="K10" s="13"/>
      <c r="L10" s="14"/>
      <c r="M10" s="15"/>
      <c r="N10" s="2"/>
      <c r="O10" s="13"/>
      <c r="P10" s="14"/>
      <c r="Q10" s="15"/>
      <c r="R10" s="2"/>
    </row>
    <row r="11">
      <c r="A11" s="2"/>
      <c r="B11" s="285"/>
      <c r="C11" s="286" t="s">
        <v>15</v>
      </c>
      <c r="D11" s="18"/>
      <c r="E11" s="2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2"/>
      <c r="O11" s="149"/>
      <c r="P11" s="286" t="s">
        <v>15</v>
      </c>
      <c r="Q11" s="18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317" t="s">
        <v>618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  <row r="16">
      <c r="A16" s="318" t="s">
        <v>533</v>
      </c>
      <c r="B16" s="319" t="s">
        <v>534</v>
      </c>
      <c r="C16" s="8"/>
      <c r="D16" s="319" t="s">
        <v>619</v>
      </c>
      <c r="E16" s="8"/>
      <c r="F16" s="8"/>
      <c r="G16" s="8"/>
      <c r="H16" s="320" t="s">
        <v>537</v>
      </c>
      <c r="I16" s="8"/>
      <c r="J16" s="319" t="s">
        <v>540</v>
      </c>
      <c r="K16" s="8"/>
      <c r="L16" s="8"/>
      <c r="M16" s="319" t="s">
        <v>538</v>
      </c>
      <c r="N16" s="8"/>
      <c r="O16" s="8"/>
      <c r="P16" s="8"/>
      <c r="Q16" s="319" t="s">
        <v>71</v>
      </c>
      <c r="R16" s="8"/>
    </row>
    <row r="17">
      <c r="A17" s="291"/>
      <c r="B17" s="77"/>
      <c r="C17" s="77"/>
      <c r="D17" s="77"/>
      <c r="E17" s="77"/>
      <c r="F17" s="77"/>
      <c r="G17" s="77"/>
      <c r="H17" s="77"/>
      <c r="I17" s="77"/>
      <c r="M17" s="77"/>
      <c r="N17" s="77"/>
      <c r="O17" s="77"/>
      <c r="P17" s="77"/>
      <c r="Q17" s="77"/>
      <c r="R17" s="77"/>
    </row>
    <row r="18">
      <c r="A18" s="321">
        <v>1.0</v>
      </c>
      <c r="B18" s="294" t="s">
        <v>620</v>
      </c>
      <c r="C18" s="295"/>
      <c r="D18" s="296" t="s">
        <v>621</v>
      </c>
      <c r="E18" s="48"/>
      <c r="F18" s="48"/>
      <c r="G18" s="295"/>
      <c r="H18" s="296" t="s">
        <v>622</v>
      </c>
      <c r="I18" s="295"/>
      <c r="J18" s="294" t="s">
        <v>623</v>
      </c>
      <c r="K18" s="48"/>
      <c r="L18" s="48"/>
      <c r="M18" s="294" t="s">
        <v>624</v>
      </c>
      <c r="N18" s="48"/>
      <c r="O18" s="48"/>
      <c r="P18" s="295"/>
      <c r="Q18" s="294" t="s">
        <v>625</v>
      </c>
      <c r="R18" s="48"/>
    </row>
    <row r="19">
      <c r="A19" s="322">
        <v>2.0</v>
      </c>
      <c r="B19" s="303" t="s">
        <v>626</v>
      </c>
      <c r="C19" s="295"/>
      <c r="D19" s="304" t="s">
        <v>627</v>
      </c>
      <c r="E19" s="48"/>
      <c r="F19" s="48"/>
      <c r="G19" s="48"/>
      <c r="H19" s="304" t="s">
        <v>554</v>
      </c>
      <c r="I19" s="295"/>
      <c r="J19" s="303" t="s">
        <v>628</v>
      </c>
      <c r="K19" s="48"/>
      <c r="L19" s="48"/>
      <c r="M19" s="303" t="s">
        <v>629</v>
      </c>
      <c r="N19" s="48"/>
      <c r="O19" s="48"/>
      <c r="P19" s="295"/>
      <c r="Q19" s="303" t="s">
        <v>630</v>
      </c>
      <c r="R19" s="48"/>
    </row>
    <row r="20">
      <c r="A20" s="321">
        <v>3.0</v>
      </c>
      <c r="B20" s="294" t="s">
        <v>631</v>
      </c>
      <c r="C20" s="295"/>
      <c r="D20" s="296" t="s">
        <v>632</v>
      </c>
      <c r="E20" s="48"/>
      <c r="F20" s="48"/>
      <c r="G20" s="48"/>
      <c r="H20" s="296" t="s">
        <v>633</v>
      </c>
      <c r="I20" s="295"/>
      <c r="J20" s="294" t="s">
        <v>634</v>
      </c>
      <c r="K20" s="48"/>
      <c r="L20" s="48"/>
      <c r="M20" s="294" t="s">
        <v>635</v>
      </c>
      <c r="N20" s="48"/>
      <c r="O20" s="48"/>
      <c r="P20" s="295"/>
      <c r="Q20" s="294" t="s">
        <v>636</v>
      </c>
      <c r="R20" s="48"/>
    </row>
    <row r="21">
      <c r="A21" s="322">
        <v>4.0</v>
      </c>
      <c r="B21" s="303" t="s">
        <v>637</v>
      </c>
      <c r="C21" s="295"/>
      <c r="D21" s="303" t="s">
        <v>638</v>
      </c>
      <c r="E21" s="48"/>
      <c r="F21" s="48"/>
      <c r="G21" s="48"/>
      <c r="H21" s="304" t="s">
        <v>639</v>
      </c>
      <c r="I21" s="48"/>
      <c r="J21" s="303" t="s">
        <v>640</v>
      </c>
      <c r="K21" s="48"/>
      <c r="L21" s="48"/>
      <c r="M21" s="303" t="s">
        <v>641</v>
      </c>
      <c r="N21" s="48"/>
      <c r="O21" s="48"/>
      <c r="P21" s="295"/>
      <c r="Q21" s="303" t="s">
        <v>642</v>
      </c>
      <c r="R21" s="48"/>
    </row>
    <row r="22">
      <c r="A22" s="321">
        <v>5.0</v>
      </c>
      <c r="B22" s="294" t="s">
        <v>643</v>
      </c>
      <c r="C22" s="295"/>
      <c r="D22" s="296" t="s">
        <v>644</v>
      </c>
      <c r="E22" s="48"/>
      <c r="F22" s="48"/>
      <c r="G22" s="48"/>
      <c r="H22" s="296" t="s">
        <v>645</v>
      </c>
      <c r="I22" s="295"/>
      <c r="J22" s="294" t="s">
        <v>646</v>
      </c>
      <c r="K22" s="48"/>
      <c r="L22" s="48"/>
      <c r="M22" s="294" t="s">
        <v>647</v>
      </c>
      <c r="N22" s="48"/>
      <c r="O22" s="48"/>
      <c r="P22" s="295"/>
      <c r="Q22" s="294" t="s">
        <v>648</v>
      </c>
      <c r="R22" s="48"/>
    </row>
    <row r="23">
      <c r="A23" s="323">
        <v>6.0</v>
      </c>
      <c r="B23" s="299" t="s">
        <v>649</v>
      </c>
      <c r="C23" s="295"/>
      <c r="D23" s="300" t="s">
        <v>650</v>
      </c>
      <c r="E23" s="48"/>
      <c r="F23" s="48"/>
      <c r="G23" s="48"/>
      <c r="H23" s="300" t="s">
        <v>591</v>
      </c>
      <c r="I23" s="295"/>
      <c r="J23" s="299" t="s">
        <v>651</v>
      </c>
      <c r="K23" s="48"/>
      <c r="L23" s="48"/>
      <c r="M23" s="299" t="s">
        <v>652</v>
      </c>
      <c r="N23" s="48"/>
      <c r="O23" s="48"/>
      <c r="P23" s="295"/>
      <c r="Q23" s="299" t="s">
        <v>653</v>
      </c>
      <c r="R23" s="48"/>
    </row>
    <row r="24">
      <c r="A24" s="321">
        <v>7.0</v>
      </c>
      <c r="B24" s="294" t="s">
        <v>654</v>
      </c>
      <c r="C24" s="295"/>
      <c r="D24" s="296" t="s">
        <v>655</v>
      </c>
      <c r="E24" s="48"/>
      <c r="F24" s="48"/>
      <c r="G24" s="48"/>
      <c r="H24" s="296" t="s">
        <v>656</v>
      </c>
      <c r="I24" s="295"/>
      <c r="J24" s="294" t="s">
        <v>657</v>
      </c>
      <c r="K24" s="48"/>
      <c r="L24" s="48"/>
      <c r="M24" s="294" t="s">
        <v>658</v>
      </c>
      <c r="N24" s="48"/>
      <c r="O24" s="48"/>
      <c r="P24" s="295"/>
      <c r="Q24" s="294" t="s">
        <v>659</v>
      </c>
      <c r="R24" s="48"/>
    </row>
    <row r="25">
      <c r="A25" s="323">
        <v>8.0</v>
      </c>
      <c r="B25" s="324" t="s">
        <v>660</v>
      </c>
      <c r="C25" s="308"/>
      <c r="D25" s="325" t="s">
        <v>661</v>
      </c>
      <c r="E25" s="309"/>
      <c r="F25" s="309"/>
      <c r="G25" s="309"/>
      <c r="H25" s="325" t="s">
        <v>645</v>
      </c>
      <c r="I25" s="308"/>
      <c r="J25" s="324" t="s">
        <v>607</v>
      </c>
      <c r="K25" s="309"/>
      <c r="L25" s="309"/>
      <c r="M25" s="324" t="s">
        <v>662</v>
      </c>
      <c r="N25" s="309"/>
      <c r="O25" s="309"/>
      <c r="P25" s="309"/>
      <c r="Q25" s="325" t="s">
        <v>606</v>
      </c>
      <c r="R25" s="309"/>
    </row>
    <row r="28">
      <c r="M28" s="31"/>
      <c r="N28" s="92"/>
      <c r="O28" s="92"/>
      <c r="P28" s="7" t="s">
        <v>95</v>
      </c>
      <c r="Q28" s="8"/>
      <c r="R28" s="9"/>
    </row>
    <row r="29">
      <c r="M29" s="92"/>
      <c r="N29" s="92"/>
      <c r="O29" s="92"/>
      <c r="P29" s="94" t="s">
        <v>15</v>
      </c>
      <c r="Q29" s="95"/>
      <c r="R29" s="96"/>
    </row>
    <row r="30">
      <c r="M30" s="31"/>
      <c r="N30" s="93"/>
      <c r="O30" s="93"/>
      <c r="P30" s="93"/>
      <c r="Q30" s="31"/>
    </row>
    <row r="31">
      <c r="A31" s="93"/>
      <c r="B31" s="93"/>
      <c r="D31" s="93"/>
      <c r="E31" s="93"/>
      <c r="H31" s="93"/>
      <c r="J31" s="93"/>
      <c r="K31" s="31"/>
      <c r="M31" s="31"/>
      <c r="N31" s="93"/>
      <c r="O31" s="93"/>
      <c r="P31" s="93"/>
      <c r="Q31" s="31"/>
    </row>
    <row r="32">
      <c r="M32" s="31"/>
      <c r="N32" s="93"/>
      <c r="O32" s="93"/>
      <c r="P32" s="93"/>
      <c r="Q32" s="31"/>
    </row>
    <row r="33">
      <c r="M33" s="31"/>
      <c r="N33" s="93"/>
      <c r="O33" s="93"/>
      <c r="P33" s="93"/>
      <c r="Q33" s="31"/>
    </row>
    <row r="34">
      <c r="M34" s="93"/>
      <c r="N34" s="93"/>
      <c r="O34" s="93"/>
      <c r="P34" s="93"/>
      <c r="Q34" s="31"/>
    </row>
    <row r="35">
      <c r="M35" s="93"/>
      <c r="N35" s="93"/>
      <c r="O35" s="93"/>
      <c r="P35" s="93"/>
      <c r="Q35" s="31"/>
    </row>
    <row r="36">
      <c r="M36" s="93"/>
      <c r="N36" s="93"/>
      <c r="O36" s="93"/>
      <c r="P36" s="93"/>
      <c r="Q36" s="31"/>
    </row>
    <row r="37">
      <c r="M37" s="93"/>
      <c r="N37" s="93"/>
      <c r="O37" s="93"/>
      <c r="P37" s="93"/>
      <c r="Q37" s="31"/>
    </row>
    <row r="38">
      <c r="M38" s="93"/>
      <c r="N38" s="93"/>
      <c r="O38" s="93"/>
      <c r="P38" s="93"/>
      <c r="Q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93"/>
      <c r="N39" s="93"/>
      <c r="O39" s="93"/>
      <c r="P39" s="93"/>
      <c r="Q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93"/>
      <c r="N40" s="93"/>
      <c r="O40" s="93"/>
      <c r="P40" s="93"/>
      <c r="Q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93"/>
      <c r="O41" s="93"/>
      <c r="P41" s="93"/>
      <c r="Q41" s="31"/>
    </row>
    <row r="42">
      <c r="A42" s="31"/>
      <c r="B42" s="326"/>
      <c r="C42" s="326"/>
      <c r="D42" s="326"/>
      <c r="E42" s="326"/>
      <c r="F42" s="326"/>
      <c r="G42" s="326"/>
      <c r="H42" s="326"/>
      <c r="I42" s="326"/>
      <c r="J42" s="326"/>
      <c r="K42" s="31"/>
      <c r="L42" s="31"/>
      <c r="M42" s="31"/>
      <c r="N42" s="93"/>
      <c r="O42" s="93"/>
      <c r="P42" s="93"/>
      <c r="Q42" s="31"/>
    </row>
    <row r="43">
      <c r="A43" s="31"/>
      <c r="B43" s="327"/>
      <c r="C43" s="327"/>
      <c r="D43" s="327"/>
      <c r="E43" s="327"/>
      <c r="F43" s="327"/>
      <c r="G43" s="327"/>
      <c r="H43" s="327"/>
      <c r="I43" s="327"/>
      <c r="J43" s="327"/>
      <c r="K43" s="31"/>
      <c r="L43" s="31"/>
      <c r="M43" s="31"/>
      <c r="N43" s="93"/>
      <c r="O43" s="93"/>
      <c r="P43" s="93"/>
      <c r="Q43" s="31"/>
    </row>
    <row r="44">
      <c r="A44" s="31"/>
      <c r="B44" s="328"/>
      <c r="C44" s="329"/>
      <c r="D44" s="329"/>
      <c r="E44" s="329"/>
      <c r="F44" s="329"/>
      <c r="G44" s="329"/>
      <c r="H44" s="329"/>
      <c r="I44" s="329"/>
      <c r="J44" s="329"/>
      <c r="K44" s="31"/>
      <c r="L44" s="31"/>
      <c r="M44" s="31"/>
      <c r="N44" s="31"/>
      <c r="O44" s="31"/>
      <c r="P44" s="31"/>
      <c r="Q44" s="31"/>
    </row>
    <row r="45">
      <c r="A45" s="31"/>
      <c r="B45" s="328"/>
      <c r="C45" s="329"/>
      <c r="D45" s="329"/>
      <c r="E45" s="329"/>
      <c r="F45" s="329"/>
      <c r="G45" s="329"/>
      <c r="H45" s="329"/>
      <c r="I45" s="329"/>
      <c r="J45" s="329"/>
      <c r="K45" s="31"/>
      <c r="L45" s="31"/>
      <c r="M45" s="31"/>
    </row>
    <row r="46">
      <c r="A46" s="31"/>
      <c r="B46" s="328"/>
      <c r="C46" s="329"/>
      <c r="D46" s="329"/>
      <c r="E46" s="329"/>
      <c r="F46" s="329"/>
      <c r="G46" s="329"/>
      <c r="H46" s="329"/>
      <c r="I46" s="329"/>
      <c r="J46" s="329"/>
      <c r="K46" s="31"/>
      <c r="L46" s="31"/>
      <c r="M46" s="31"/>
    </row>
    <row r="47">
      <c r="A47" s="31"/>
      <c r="B47" s="328"/>
      <c r="C47" s="329"/>
      <c r="D47" s="329"/>
      <c r="E47" s="329"/>
      <c r="F47" s="329"/>
      <c r="G47" s="329"/>
      <c r="H47" s="329"/>
      <c r="I47" s="329"/>
      <c r="J47" s="329"/>
      <c r="K47" s="31"/>
      <c r="L47" s="31"/>
      <c r="M47" s="31"/>
    </row>
    <row r="48">
      <c r="A48" s="31"/>
      <c r="B48" s="328"/>
      <c r="C48" s="329"/>
      <c r="D48" s="329"/>
      <c r="E48" s="329"/>
      <c r="F48" s="329"/>
      <c r="G48" s="329"/>
      <c r="H48" s="329"/>
      <c r="I48" s="329"/>
      <c r="J48" s="329"/>
      <c r="K48" s="31"/>
      <c r="L48" s="31"/>
      <c r="M48" s="31"/>
    </row>
    <row r="49">
      <c r="A49" s="31"/>
      <c r="B49" s="328"/>
      <c r="C49" s="329"/>
      <c r="D49" s="329"/>
      <c r="E49" s="329"/>
      <c r="F49" s="329"/>
      <c r="G49" s="329"/>
      <c r="H49" s="329"/>
      <c r="I49" s="329"/>
      <c r="J49" s="329"/>
      <c r="K49" s="31"/>
      <c r="L49" s="31"/>
      <c r="M49" s="31"/>
    </row>
    <row r="50">
      <c r="A50" s="31"/>
      <c r="B50" s="328"/>
      <c r="C50" s="329"/>
      <c r="D50" s="329"/>
      <c r="E50" s="329"/>
      <c r="F50" s="329"/>
      <c r="G50" s="329"/>
      <c r="H50" s="329"/>
      <c r="I50" s="329"/>
      <c r="J50" s="329"/>
      <c r="K50" s="31"/>
      <c r="L50" s="31"/>
      <c r="M50" s="31"/>
    </row>
    <row r="51">
      <c r="A51" s="31"/>
      <c r="B51" s="328"/>
      <c r="C51" s="329"/>
      <c r="D51" s="329"/>
      <c r="E51" s="329"/>
      <c r="F51" s="329"/>
      <c r="G51" s="329"/>
      <c r="H51" s="329"/>
      <c r="I51" s="329"/>
      <c r="J51" s="329"/>
      <c r="K51" s="31"/>
      <c r="L51" s="31"/>
      <c r="M51" s="31"/>
    </row>
    <row r="52">
      <c r="A52" s="31"/>
      <c r="B52" s="328"/>
      <c r="C52" s="329"/>
      <c r="D52" s="329"/>
      <c r="E52" s="329"/>
      <c r="F52" s="329"/>
      <c r="G52" s="329"/>
      <c r="H52" s="329"/>
      <c r="I52" s="329"/>
      <c r="J52" s="329"/>
      <c r="K52" s="31"/>
      <c r="L52" s="31"/>
      <c r="M52" s="31"/>
    </row>
    <row r="53">
      <c r="A53" s="31"/>
      <c r="B53" s="328"/>
      <c r="C53" s="329"/>
      <c r="D53" s="329"/>
      <c r="E53" s="329"/>
      <c r="F53" s="329"/>
      <c r="G53" s="329"/>
      <c r="H53" s="329"/>
      <c r="I53" s="329"/>
      <c r="J53" s="329"/>
      <c r="K53" s="31"/>
      <c r="L53" s="31"/>
      <c r="M53" s="31"/>
    </row>
    <row r="54">
      <c r="A54" s="31"/>
      <c r="B54" s="328"/>
      <c r="C54" s="329"/>
      <c r="D54" s="329"/>
      <c r="E54" s="329"/>
      <c r="F54" s="329"/>
      <c r="G54" s="329"/>
      <c r="H54" s="329"/>
      <c r="I54" s="329"/>
      <c r="J54" s="329"/>
      <c r="K54" s="31"/>
      <c r="L54" s="31"/>
      <c r="M54" s="31"/>
    </row>
    <row r="55">
      <c r="A55" s="31"/>
      <c r="B55" s="328"/>
      <c r="C55" s="329"/>
      <c r="D55" s="329"/>
      <c r="E55" s="329"/>
      <c r="F55" s="329"/>
      <c r="G55" s="329"/>
      <c r="H55" s="329"/>
      <c r="I55" s="329"/>
      <c r="J55" s="329"/>
      <c r="K55" s="31"/>
      <c r="L55" s="31"/>
      <c r="M55" s="31"/>
    </row>
    <row r="56">
      <c r="A56" s="31"/>
      <c r="B56" s="328"/>
      <c r="C56" s="329"/>
      <c r="D56" s="329"/>
      <c r="E56" s="329"/>
      <c r="F56" s="329"/>
      <c r="G56" s="329"/>
      <c r="H56" s="329"/>
      <c r="I56" s="329"/>
      <c r="J56" s="329"/>
      <c r="K56" s="31"/>
      <c r="L56" s="31"/>
      <c r="M56" s="31"/>
    </row>
    <row r="57">
      <c r="A57" s="31"/>
      <c r="B57" s="328"/>
      <c r="C57" s="329"/>
      <c r="D57" s="329"/>
      <c r="E57" s="329"/>
      <c r="F57" s="329"/>
      <c r="G57" s="329"/>
      <c r="H57" s="329"/>
      <c r="I57" s="329"/>
      <c r="J57" s="329"/>
      <c r="K57" s="31"/>
      <c r="L57" s="31"/>
      <c r="M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</sheetData>
  <mergeCells count="81">
    <mergeCell ref="A1:R1"/>
    <mergeCell ref="A2:R2"/>
    <mergeCell ref="E3:H3"/>
    <mergeCell ref="I3:M3"/>
    <mergeCell ref="N3:P3"/>
    <mergeCell ref="Q3:R3"/>
    <mergeCell ref="A5:R5"/>
    <mergeCell ref="O7:Q7"/>
    <mergeCell ref="O8:Q10"/>
    <mergeCell ref="P11:Q11"/>
    <mergeCell ref="F8:H10"/>
    <mergeCell ref="G11:H11"/>
    <mergeCell ref="A3:D3"/>
    <mergeCell ref="B7:D7"/>
    <mergeCell ref="F7:H7"/>
    <mergeCell ref="K7:M7"/>
    <mergeCell ref="B8:D10"/>
    <mergeCell ref="K8:M10"/>
    <mergeCell ref="C11:D11"/>
    <mergeCell ref="M16:P17"/>
    <mergeCell ref="Q16:R17"/>
    <mergeCell ref="L11:M11"/>
    <mergeCell ref="A14:R15"/>
    <mergeCell ref="A16:A17"/>
    <mergeCell ref="B16:C17"/>
    <mergeCell ref="D16:G17"/>
    <mergeCell ref="H16:I17"/>
    <mergeCell ref="J16:L17"/>
    <mergeCell ref="D19:G19"/>
    <mergeCell ref="H19:I19"/>
    <mergeCell ref="B22:C22"/>
    <mergeCell ref="D22:G22"/>
    <mergeCell ref="H22:I22"/>
    <mergeCell ref="J22:L22"/>
    <mergeCell ref="M22:P22"/>
    <mergeCell ref="Q22:R22"/>
    <mergeCell ref="B23:C23"/>
    <mergeCell ref="Q23:R23"/>
    <mergeCell ref="D23:G23"/>
    <mergeCell ref="H23:I23"/>
    <mergeCell ref="B24:C24"/>
    <mergeCell ref="D24:G24"/>
    <mergeCell ref="H24:I24"/>
    <mergeCell ref="J24:L24"/>
    <mergeCell ref="J25:L25"/>
    <mergeCell ref="J19:L19"/>
    <mergeCell ref="M19:P19"/>
    <mergeCell ref="M20:P20"/>
    <mergeCell ref="Q20:R20"/>
    <mergeCell ref="B18:C18"/>
    <mergeCell ref="D18:G18"/>
    <mergeCell ref="H18:I18"/>
    <mergeCell ref="J18:L18"/>
    <mergeCell ref="M18:P18"/>
    <mergeCell ref="Q18:R18"/>
    <mergeCell ref="Q19:R19"/>
    <mergeCell ref="H21:I21"/>
    <mergeCell ref="J21:L21"/>
    <mergeCell ref="M21:P21"/>
    <mergeCell ref="Q21:R21"/>
    <mergeCell ref="B19:C19"/>
    <mergeCell ref="B20:C20"/>
    <mergeCell ref="D20:G20"/>
    <mergeCell ref="H20:I20"/>
    <mergeCell ref="J20:L20"/>
    <mergeCell ref="B21:C21"/>
    <mergeCell ref="D21:G21"/>
    <mergeCell ref="J23:L23"/>
    <mergeCell ref="M23:P23"/>
    <mergeCell ref="M24:P24"/>
    <mergeCell ref="Q24:R24"/>
    <mergeCell ref="P28:R28"/>
    <mergeCell ref="P29:R29"/>
    <mergeCell ref="D25:G25"/>
    <mergeCell ref="H25:I25"/>
    <mergeCell ref="M25:P25"/>
    <mergeCell ref="Q25:R25"/>
    <mergeCell ref="B25:C25"/>
    <mergeCell ref="B31:C31"/>
    <mergeCell ref="E31:G31"/>
    <mergeCell ref="H31:I31"/>
  </mergeCells>
  <hyperlinks>
    <hyperlink display="Открыть →" location="'М и Х Bambu Lab'!A1" ref="C11"/>
    <hyperlink display="Открыть →" location="'Доставка  самовывоз'!A1" ref="G11"/>
    <hyperlink display="Открыть →" location="'Мой склад - Документы'!A1" ref="L11"/>
    <hyperlink display="Открыть →" location="'Поставщик'!A1" ref="P11"/>
    <hyperlink display="Открыть →" location="'Главная'!A1" ref="P29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</cols>
  <sheetData>
    <row r="1">
      <c r="A1" s="1" t="s">
        <v>10</v>
      </c>
      <c r="S1" s="2"/>
      <c r="T1" s="2"/>
      <c r="U1" s="2"/>
      <c r="V1" s="2"/>
      <c r="W1" s="2"/>
      <c r="X1" s="2"/>
      <c r="Y1" s="2"/>
      <c r="Z1" s="2"/>
    </row>
    <row r="2">
      <c r="A2" s="3" t="s">
        <v>663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4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9"/>
      <c r="B7" s="283" t="s">
        <v>7</v>
      </c>
      <c r="C7" s="8"/>
      <c r="D7" s="9"/>
      <c r="E7" s="149"/>
      <c r="F7" s="283" t="s">
        <v>8</v>
      </c>
      <c r="G7" s="8"/>
      <c r="H7" s="9"/>
      <c r="I7" s="149"/>
      <c r="J7" s="149"/>
      <c r="K7" s="283" t="s">
        <v>9</v>
      </c>
      <c r="L7" s="8"/>
      <c r="M7" s="9"/>
      <c r="N7" s="149"/>
      <c r="O7" s="283" t="s">
        <v>16</v>
      </c>
      <c r="P7" s="8"/>
      <c r="Q7" s="9"/>
      <c r="R7" s="149"/>
      <c r="S7" s="149"/>
      <c r="T7" s="149"/>
      <c r="U7" s="149"/>
      <c r="V7" s="149"/>
      <c r="W7" s="2"/>
      <c r="X7" s="2"/>
      <c r="Y7" s="2"/>
      <c r="Z7" s="2"/>
    </row>
    <row r="8">
      <c r="A8" s="149"/>
      <c r="B8" s="284" t="s">
        <v>11</v>
      </c>
      <c r="D8" s="11"/>
      <c r="E8" s="149"/>
      <c r="F8" s="284" t="s">
        <v>12</v>
      </c>
      <c r="H8" s="11"/>
      <c r="I8" s="149"/>
      <c r="J8" s="149"/>
      <c r="K8" s="284" t="s">
        <v>13</v>
      </c>
      <c r="M8" s="11"/>
      <c r="N8" s="149"/>
      <c r="O8" s="284" t="s">
        <v>20</v>
      </c>
      <c r="Q8" s="11"/>
      <c r="R8" s="149"/>
      <c r="S8" s="149"/>
      <c r="T8" s="149"/>
      <c r="U8" s="149"/>
      <c r="V8" s="149"/>
      <c r="W8" s="2"/>
      <c r="X8" s="2"/>
      <c r="Y8" s="2"/>
      <c r="Z8" s="2"/>
    </row>
    <row r="9">
      <c r="A9" s="149"/>
      <c r="B9" s="12"/>
      <c r="D9" s="11"/>
      <c r="E9" s="149"/>
      <c r="F9" s="12"/>
      <c r="H9" s="11"/>
      <c r="I9" s="149"/>
      <c r="J9" s="149"/>
      <c r="K9" s="12"/>
      <c r="M9" s="11"/>
      <c r="N9" s="149"/>
      <c r="O9" s="12"/>
      <c r="Q9" s="11"/>
      <c r="R9" s="149"/>
      <c r="S9" s="149"/>
      <c r="T9" s="149"/>
      <c r="U9" s="149"/>
      <c r="V9" s="149"/>
      <c r="W9" s="2"/>
      <c r="X9" s="2"/>
      <c r="Y9" s="2"/>
      <c r="Z9" s="2"/>
    </row>
    <row r="10">
      <c r="A10" s="149"/>
      <c r="B10" s="13"/>
      <c r="C10" s="14"/>
      <c r="D10" s="15"/>
      <c r="E10" s="149"/>
      <c r="F10" s="13"/>
      <c r="G10" s="14"/>
      <c r="H10" s="15"/>
      <c r="I10" s="149"/>
      <c r="J10" s="149"/>
      <c r="K10" s="13"/>
      <c r="L10" s="14"/>
      <c r="M10" s="15"/>
      <c r="N10" s="149"/>
      <c r="O10" s="13"/>
      <c r="P10" s="14"/>
      <c r="Q10" s="15"/>
      <c r="R10" s="149"/>
      <c r="S10" s="149"/>
      <c r="T10" s="149"/>
      <c r="U10" s="149"/>
      <c r="V10" s="149"/>
      <c r="W10" s="2"/>
      <c r="X10" s="2"/>
      <c r="Y10" s="2"/>
      <c r="Z10" s="2"/>
    </row>
    <row r="11">
      <c r="A11" s="149"/>
      <c r="B11" s="285"/>
      <c r="C11" s="286" t="s">
        <v>15</v>
      </c>
      <c r="D11" s="18"/>
      <c r="E11" s="149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149"/>
      <c r="O11" s="149"/>
      <c r="P11" s="286" t="s">
        <v>15</v>
      </c>
      <c r="Q11" s="18"/>
      <c r="R11" s="149"/>
      <c r="S11" s="149"/>
      <c r="T11" s="149"/>
      <c r="U11" s="149"/>
      <c r="V11" s="149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0" t="s">
        <v>664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2"/>
      <c r="T14" s="2"/>
      <c r="U14" s="2"/>
      <c r="V14" s="2"/>
      <c r="W14" s="2"/>
      <c r="X14" s="2"/>
      <c r="Y14" s="2"/>
      <c r="Z14" s="2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2"/>
      <c r="T15" s="2"/>
      <c r="U15" s="2"/>
      <c r="V15" s="2"/>
      <c r="W15" s="2"/>
      <c r="X15" s="2"/>
      <c r="Y15" s="2"/>
      <c r="Z15" s="2"/>
    </row>
    <row r="16">
      <c r="A16" s="318" t="s">
        <v>533</v>
      </c>
      <c r="B16" s="319" t="s">
        <v>665</v>
      </c>
      <c r="C16" s="8"/>
      <c r="D16" s="319" t="s">
        <v>666</v>
      </c>
      <c r="E16" s="8"/>
      <c r="F16" s="319" t="s">
        <v>667</v>
      </c>
      <c r="G16" s="8"/>
      <c r="H16" s="8"/>
      <c r="I16" s="319" t="s">
        <v>668</v>
      </c>
      <c r="J16" s="8"/>
      <c r="K16" s="319" t="s">
        <v>669</v>
      </c>
      <c r="L16" s="8"/>
      <c r="M16" s="319" t="s">
        <v>71</v>
      </c>
      <c r="N16" s="8"/>
      <c r="O16" s="319" t="s">
        <v>670</v>
      </c>
      <c r="P16" s="8"/>
      <c r="Q16" s="8"/>
      <c r="R16" s="9"/>
      <c r="S16" s="2"/>
      <c r="T16" s="2"/>
      <c r="U16" s="2"/>
      <c r="V16" s="2"/>
      <c r="W16" s="2"/>
      <c r="X16" s="2"/>
      <c r="Y16" s="2"/>
      <c r="Z16" s="2"/>
    </row>
    <row r="17">
      <c r="A17" s="291"/>
      <c r="B17" s="77"/>
      <c r="C17" s="77"/>
      <c r="D17" s="77"/>
      <c r="E17" s="77"/>
      <c r="F17" s="77"/>
      <c r="G17" s="77"/>
      <c r="H17" s="77"/>
      <c r="I17" s="77"/>
      <c r="J17" s="77"/>
      <c r="M17" s="77"/>
      <c r="N17" s="77"/>
      <c r="O17" s="77"/>
      <c r="P17" s="77"/>
      <c r="Q17" s="77"/>
      <c r="R17" s="292"/>
      <c r="S17" s="2"/>
      <c r="T17" s="2"/>
      <c r="U17" s="2"/>
      <c r="V17" s="2"/>
      <c r="W17" s="2"/>
      <c r="X17" s="2"/>
      <c r="Y17" s="2"/>
      <c r="Z17" s="2"/>
    </row>
    <row r="18">
      <c r="A18" s="331">
        <v>1.0</v>
      </c>
      <c r="B18" s="332" t="s">
        <v>671</v>
      </c>
      <c r="C18" s="333"/>
      <c r="D18" s="332" t="s">
        <v>672</v>
      </c>
      <c r="E18" s="333"/>
      <c r="F18" s="332" t="s">
        <v>673</v>
      </c>
      <c r="G18" s="334"/>
      <c r="H18" s="333"/>
      <c r="I18" s="332" t="s">
        <v>674</v>
      </c>
      <c r="J18" s="333"/>
      <c r="K18" s="332" t="s">
        <v>675</v>
      </c>
      <c r="L18" s="333"/>
      <c r="M18" s="332" t="s">
        <v>676</v>
      </c>
      <c r="N18" s="333"/>
      <c r="O18" s="332" t="s">
        <v>677</v>
      </c>
      <c r="P18" s="334"/>
      <c r="Q18" s="334"/>
      <c r="R18" s="335"/>
      <c r="S18" s="2"/>
      <c r="T18" s="2"/>
      <c r="U18" s="2"/>
      <c r="V18" s="2"/>
      <c r="W18" s="2"/>
      <c r="X18" s="2"/>
      <c r="Y18" s="2"/>
      <c r="Z18" s="2"/>
    </row>
    <row r="19">
      <c r="A19" s="336">
        <v>2.0</v>
      </c>
      <c r="B19" s="337" t="s">
        <v>678</v>
      </c>
      <c r="C19" s="338"/>
      <c r="D19" s="337" t="s">
        <v>679</v>
      </c>
      <c r="E19" s="338"/>
      <c r="F19" s="337" t="s">
        <v>680</v>
      </c>
      <c r="G19" s="339"/>
      <c r="H19" s="338"/>
      <c r="I19" s="337" t="s">
        <v>681</v>
      </c>
      <c r="J19" s="338"/>
      <c r="K19" s="337" t="s">
        <v>675</v>
      </c>
      <c r="L19" s="338"/>
      <c r="M19" s="337" t="s">
        <v>682</v>
      </c>
      <c r="N19" s="338"/>
      <c r="O19" s="337" t="s">
        <v>683</v>
      </c>
      <c r="P19" s="339"/>
      <c r="Q19" s="339"/>
      <c r="R19" s="340"/>
      <c r="S19" s="2"/>
      <c r="T19" s="2"/>
      <c r="U19" s="2"/>
      <c r="V19" s="2"/>
      <c r="W19" s="2"/>
      <c r="X19" s="2"/>
      <c r="Y19" s="2"/>
      <c r="Z19" s="2"/>
    </row>
    <row r="20">
      <c r="A20" s="341">
        <v>3.0</v>
      </c>
      <c r="B20" s="342" t="s">
        <v>684</v>
      </c>
      <c r="C20" s="343"/>
      <c r="D20" s="342" t="s">
        <v>685</v>
      </c>
      <c r="E20" s="343"/>
      <c r="F20" s="342" t="s">
        <v>686</v>
      </c>
      <c r="G20" s="344"/>
      <c r="H20" s="343"/>
      <c r="I20" s="342" t="s">
        <v>687</v>
      </c>
      <c r="J20" s="343"/>
      <c r="K20" s="342" t="s">
        <v>675</v>
      </c>
      <c r="L20" s="343"/>
      <c r="M20" s="342" t="s">
        <v>688</v>
      </c>
      <c r="N20" s="343"/>
      <c r="O20" s="342" t="s">
        <v>689</v>
      </c>
      <c r="P20" s="344"/>
      <c r="Q20" s="344"/>
      <c r="R20" s="345"/>
      <c r="S20" s="2"/>
      <c r="T20" s="2"/>
      <c r="U20" s="2"/>
      <c r="V20" s="2"/>
      <c r="W20" s="2"/>
      <c r="X20" s="2"/>
      <c r="Y20" s="2"/>
      <c r="Z20" s="2"/>
    </row>
    <row r="21">
      <c r="A21" s="346">
        <v>4.0</v>
      </c>
      <c r="B21" s="347" t="s">
        <v>690</v>
      </c>
      <c r="C21" s="348"/>
      <c r="D21" s="347" t="s">
        <v>691</v>
      </c>
      <c r="E21" s="348"/>
      <c r="F21" s="347" t="s">
        <v>692</v>
      </c>
      <c r="G21" s="349"/>
      <c r="H21" s="348"/>
      <c r="I21" s="347" t="s">
        <v>693</v>
      </c>
      <c r="J21" s="348"/>
      <c r="K21" s="347" t="s">
        <v>675</v>
      </c>
      <c r="L21" s="348"/>
      <c r="M21" s="347" t="s">
        <v>694</v>
      </c>
      <c r="N21" s="348"/>
      <c r="O21" s="347" t="s">
        <v>695</v>
      </c>
      <c r="P21" s="349"/>
      <c r="Q21" s="349"/>
      <c r="R21" s="350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51" t="s">
        <v>696</v>
      </c>
      <c r="B24" s="70"/>
      <c r="C24" s="70"/>
      <c r="D24" s="70"/>
      <c r="E24" s="70"/>
      <c r="F24" s="70"/>
      <c r="G24" s="70"/>
      <c r="H24" s="70"/>
      <c r="I24" s="70"/>
      <c r="J24" s="71"/>
      <c r="K24" s="352"/>
      <c r="S24" s="2"/>
      <c r="T24" s="2"/>
      <c r="U24" s="2"/>
      <c r="V24" s="2"/>
      <c r="W24" s="2"/>
      <c r="X24" s="2"/>
      <c r="Y24" s="2"/>
      <c r="Z24" s="2"/>
    </row>
    <row r="25">
      <c r="A25" s="353"/>
      <c r="B25" s="354"/>
      <c r="C25" s="354"/>
      <c r="D25" s="354"/>
      <c r="E25" s="354"/>
      <c r="F25" s="354"/>
      <c r="G25" s="354"/>
      <c r="H25" s="354"/>
      <c r="I25" s="354"/>
      <c r="J25" s="355"/>
      <c r="S25" s="2"/>
      <c r="T25" s="2"/>
      <c r="U25" s="2"/>
      <c r="V25" s="2"/>
      <c r="W25" s="2"/>
      <c r="X25" s="2"/>
      <c r="Y25" s="2"/>
      <c r="Z25" s="2"/>
    </row>
    <row r="26">
      <c r="A26" s="356" t="s">
        <v>697</v>
      </c>
      <c r="B26" s="339"/>
      <c r="C26" s="338"/>
      <c r="D26" s="357" t="s">
        <v>698</v>
      </c>
      <c r="E26" s="339"/>
      <c r="F26" s="338"/>
      <c r="G26" s="357" t="s">
        <v>699</v>
      </c>
      <c r="H26" s="339"/>
      <c r="I26" s="339"/>
      <c r="J26" s="340"/>
      <c r="K26" s="358"/>
      <c r="S26" s="2"/>
      <c r="T26" s="2"/>
      <c r="U26" s="2"/>
      <c r="V26" s="2"/>
      <c r="W26" s="2"/>
      <c r="X26" s="2"/>
      <c r="Y26" s="2"/>
      <c r="Z26" s="2"/>
    </row>
    <row r="27">
      <c r="A27" s="359" t="s">
        <v>700</v>
      </c>
      <c r="B27" s="339"/>
      <c r="C27" s="338"/>
      <c r="D27" s="360" t="s">
        <v>701</v>
      </c>
      <c r="E27" s="339"/>
      <c r="F27" s="338"/>
      <c r="G27" s="360" t="s">
        <v>702</v>
      </c>
      <c r="H27" s="339"/>
      <c r="I27" s="339"/>
      <c r="J27" s="340"/>
      <c r="S27" s="2"/>
      <c r="T27" s="2"/>
      <c r="U27" s="2"/>
      <c r="V27" s="2"/>
      <c r="W27" s="2"/>
      <c r="X27" s="2"/>
      <c r="Y27" s="2"/>
      <c r="Z27" s="2"/>
    </row>
    <row r="28">
      <c r="A28" s="361" t="s">
        <v>703</v>
      </c>
      <c r="B28" s="339"/>
      <c r="C28" s="338"/>
      <c r="D28" s="362" t="s">
        <v>701</v>
      </c>
      <c r="E28" s="339"/>
      <c r="F28" s="338"/>
      <c r="G28" s="362" t="s">
        <v>704</v>
      </c>
      <c r="H28" s="339"/>
      <c r="I28" s="339"/>
      <c r="J28" s="340"/>
      <c r="S28" s="2"/>
      <c r="T28" s="2"/>
      <c r="U28" s="2"/>
      <c r="V28" s="2"/>
      <c r="W28" s="2"/>
      <c r="X28" s="2"/>
      <c r="Y28" s="2"/>
      <c r="Z28" s="2"/>
    </row>
    <row r="29">
      <c r="A29" s="359" t="s">
        <v>705</v>
      </c>
      <c r="B29" s="339"/>
      <c r="C29" s="338"/>
      <c r="D29" s="360" t="s">
        <v>701</v>
      </c>
      <c r="E29" s="339"/>
      <c r="F29" s="338"/>
      <c r="G29" s="363" t="s">
        <v>706</v>
      </c>
      <c r="H29" s="339"/>
      <c r="I29" s="339"/>
      <c r="J29" s="340"/>
      <c r="S29" s="2"/>
      <c r="T29" s="2"/>
      <c r="U29" s="2"/>
      <c r="V29" s="2"/>
      <c r="W29" s="2"/>
      <c r="X29" s="2"/>
      <c r="Y29" s="2"/>
      <c r="Z29" s="2"/>
    </row>
    <row r="30">
      <c r="A30" s="361" t="s">
        <v>707</v>
      </c>
      <c r="B30" s="339"/>
      <c r="C30" s="338"/>
      <c r="D30" s="362" t="s">
        <v>701</v>
      </c>
      <c r="E30" s="339"/>
      <c r="F30" s="338"/>
      <c r="G30" s="362" t="s">
        <v>708</v>
      </c>
      <c r="H30" s="339"/>
      <c r="I30" s="339"/>
      <c r="J30" s="340"/>
      <c r="S30" s="2"/>
      <c r="T30" s="2"/>
      <c r="U30" s="2"/>
      <c r="V30" s="2"/>
      <c r="W30" s="2"/>
      <c r="X30" s="2"/>
      <c r="Y30" s="2"/>
      <c r="Z30" s="2"/>
    </row>
    <row r="31">
      <c r="A31" s="359" t="s">
        <v>709</v>
      </c>
      <c r="B31" s="339"/>
      <c r="C31" s="338"/>
      <c r="D31" s="360" t="s">
        <v>701</v>
      </c>
      <c r="E31" s="339"/>
      <c r="F31" s="338"/>
      <c r="G31" s="360" t="s">
        <v>710</v>
      </c>
      <c r="H31" s="339"/>
      <c r="I31" s="339"/>
      <c r="J31" s="340"/>
      <c r="S31" s="2"/>
      <c r="T31" s="2"/>
      <c r="U31" s="2"/>
      <c r="V31" s="2"/>
      <c r="W31" s="2"/>
      <c r="X31" s="2"/>
      <c r="Y31" s="2"/>
      <c r="Z31" s="2"/>
    </row>
    <row r="32">
      <c r="A32" s="364" t="s">
        <v>711</v>
      </c>
      <c r="B32" s="365"/>
      <c r="C32" s="366"/>
      <c r="D32" s="367" t="s">
        <v>712</v>
      </c>
      <c r="E32" s="365"/>
      <c r="F32" s="366"/>
      <c r="G32" s="367" t="s">
        <v>713</v>
      </c>
      <c r="H32" s="365"/>
      <c r="I32" s="365"/>
      <c r="J32" s="368"/>
      <c r="S32" s="2"/>
      <c r="T32" s="2"/>
      <c r="U32" s="2"/>
      <c r="V32" s="2"/>
      <c r="W32" s="2"/>
      <c r="X32" s="2"/>
      <c r="Y32" s="2"/>
      <c r="Z32" s="2"/>
    </row>
    <row r="33">
      <c r="A33" s="2"/>
      <c r="B33" s="19"/>
      <c r="C33" s="97"/>
      <c r="D33" s="97"/>
      <c r="E33" s="97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19"/>
      <c r="C34" s="97"/>
      <c r="D34" s="97"/>
      <c r="E34" s="97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2"/>
      <c r="S34" s="2"/>
      <c r="T34" s="2"/>
      <c r="U34" s="2"/>
      <c r="V34" s="2"/>
      <c r="W34" s="2"/>
      <c r="X34" s="2"/>
      <c r="Y34" s="2"/>
      <c r="Z34" s="2"/>
    </row>
    <row r="35">
      <c r="A35" s="330" t="s">
        <v>714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S35" s="2"/>
      <c r="T35" s="2"/>
      <c r="U35" s="2"/>
      <c r="V35" s="2"/>
      <c r="W35" s="2"/>
      <c r="X35" s="2"/>
      <c r="Y35" s="2"/>
      <c r="Z35" s="2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5"/>
      <c r="S36" s="2"/>
      <c r="T36" s="2"/>
      <c r="U36" s="2"/>
      <c r="V36" s="2"/>
      <c r="W36" s="2"/>
      <c r="X36" s="2"/>
      <c r="Y36" s="2"/>
      <c r="Z36" s="2"/>
    </row>
    <row r="37">
      <c r="A37" s="318" t="s">
        <v>533</v>
      </c>
      <c r="B37" s="319" t="s">
        <v>534</v>
      </c>
      <c r="C37" s="8"/>
      <c r="D37" s="319" t="s">
        <v>715</v>
      </c>
      <c r="E37" s="8"/>
      <c r="F37" s="319" t="s">
        <v>28</v>
      </c>
      <c r="G37" s="8"/>
      <c r="H37" s="8"/>
      <c r="I37" s="8"/>
      <c r="J37" s="8"/>
      <c r="K37" s="319" t="s">
        <v>538</v>
      </c>
      <c r="L37" s="8"/>
      <c r="M37" s="319" t="s">
        <v>71</v>
      </c>
      <c r="N37" s="8"/>
      <c r="O37" s="8"/>
      <c r="P37" s="319" t="s">
        <v>540</v>
      </c>
      <c r="Q37" s="8"/>
      <c r="R37" s="9"/>
      <c r="S37" s="2"/>
      <c r="T37" s="2"/>
      <c r="U37" s="2"/>
      <c r="V37" s="2"/>
      <c r="W37" s="2"/>
      <c r="X37" s="2"/>
      <c r="Y37" s="2"/>
      <c r="Z37" s="2"/>
    </row>
    <row r="38">
      <c r="A38" s="291"/>
      <c r="B38" s="77"/>
      <c r="C38" s="77"/>
      <c r="D38" s="77"/>
      <c r="E38" s="77"/>
      <c r="F38" s="77"/>
      <c r="G38" s="77"/>
      <c r="H38" s="77"/>
      <c r="I38" s="77"/>
      <c r="J38" s="77"/>
      <c r="M38" s="77"/>
      <c r="N38" s="77"/>
      <c r="O38" s="77"/>
      <c r="P38" s="77"/>
      <c r="Q38" s="77"/>
      <c r="R38" s="292"/>
      <c r="S38" s="2"/>
      <c r="T38" s="2"/>
      <c r="U38" s="2"/>
      <c r="V38" s="2"/>
      <c r="W38" s="2"/>
      <c r="X38" s="2"/>
      <c r="Y38" s="2"/>
      <c r="Z38" s="2"/>
    </row>
    <row r="39">
      <c r="A39" s="331">
        <v>1.0</v>
      </c>
      <c r="B39" s="332" t="s">
        <v>716</v>
      </c>
      <c r="C39" s="333"/>
      <c r="D39" s="332" t="s">
        <v>675</v>
      </c>
      <c r="E39" s="333"/>
      <c r="F39" s="332" t="s">
        <v>717</v>
      </c>
      <c r="G39" s="334"/>
      <c r="H39" s="334"/>
      <c r="I39" s="334"/>
      <c r="J39" s="333"/>
      <c r="K39" s="332" t="s">
        <v>718</v>
      </c>
      <c r="L39" s="333"/>
      <c r="M39" s="332" t="s">
        <v>719</v>
      </c>
      <c r="N39" s="334"/>
      <c r="O39" s="333"/>
      <c r="P39" s="370" t="s">
        <v>720</v>
      </c>
      <c r="Q39" s="354"/>
      <c r="R39" s="355"/>
      <c r="S39" s="2"/>
      <c r="T39" s="2"/>
      <c r="U39" s="2"/>
      <c r="V39" s="2"/>
      <c r="W39" s="2"/>
      <c r="X39" s="2"/>
      <c r="Y39" s="2"/>
      <c r="Z39" s="2"/>
    </row>
    <row r="40">
      <c r="A40" s="336">
        <v>2.0</v>
      </c>
      <c r="B40" s="337" t="s">
        <v>721</v>
      </c>
      <c r="C40" s="338"/>
      <c r="D40" s="337" t="s">
        <v>722</v>
      </c>
      <c r="E40" s="338"/>
      <c r="F40" s="337" t="s">
        <v>723</v>
      </c>
      <c r="G40" s="339"/>
      <c r="H40" s="339"/>
      <c r="I40" s="339"/>
      <c r="J40" s="338"/>
      <c r="K40" s="337" t="s">
        <v>582</v>
      </c>
      <c r="L40" s="338"/>
      <c r="M40" s="337" t="s">
        <v>724</v>
      </c>
      <c r="N40" s="339"/>
      <c r="O40" s="338"/>
      <c r="P40" s="337" t="s">
        <v>725</v>
      </c>
      <c r="Q40" s="339"/>
      <c r="R40" s="340"/>
      <c r="S40" s="2"/>
      <c r="T40" s="2"/>
      <c r="U40" s="2"/>
      <c r="V40" s="2"/>
      <c r="W40" s="2"/>
      <c r="X40" s="2"/>
      <c r="Y40" s="2"/>
      <c r="Z40" s="2"/>
    </row>
    <row r="41">
      <c r="A41" s="331">
        <v>3.0</v>
      </c>
      <c r="B41" s="342" t="s">
        <v>726</v>
      </c>
      <c r="C41" s="343"/>
      <c r="D41" s="342" t="s">
        <v>727</v>
      </c>
      <c r="E41" s="343"/>
      <c r="F41" s="342" t="s">
        <v>728</v>
      </c>
      <c r="G41" s="344"/>
      <c r="H41" s="344"/>
      <c r="I41" s="344"/>
      <c r="J41" s="343"/>
      <c r="K41" s="342" t="s">
        <v>729</v>
      </c>
      <c r="L41" s="343"/>
      <c r="M41" s="342" t="s">
        <v>584</v>
      </c>
      <c r="N41" s="344"/>
      <c r="O41" s="343"/>
      <c r="P41" s="342" t="s">
        <v>730</v>
      </c>
      <c r="Q41" s="344"/>
      <c r="R41" s="345"/>
      <c r="S41" s="2"/>
      <c r="T41" s="2"/>
      <c r="U41" s="2"/>
      <c r="V41" s="2"/>
      <c r="W41" s="2"/>
      <c r="X41" s="2"/>
      <c r="Y41" s="2"/>
      <c r="Z41" s="2"/>
    </row>
    <row r="42">
      <c r="A42" s="341">
        <v>4.0</v>
      </c>
      <c r="B42" s="371" t="s">
        <v>731</v>
      </c>
      <c r="C42" s="372"/>
      <c r="D42" s="371" t="s">
        <v>732</v>
      </c>
      <c r="E42" s="372"/>
      <c r="F42" s="371" t="s">
        <v>733</v>
      </c>
      <c r="G42" s="373"/>
      <c r="H42" s="373"/>
      <c r="I42" s="373"/>
      <c r="J42" s="372"/>
      <c r="K42" s="371" t="s">
        <v>734</v>
      </c>
      <c r="L42" s="372"/>
      <c r="M42" s="371" t="s">
        <v>735</v>
      </c>
      <c r="N42" s="373"/>
      <c r="O42" s="372"/>
      <c r="P42" s="371" t="s">
        <v>736</v>
      </c>
      <c r="Q42" s="373"/>
      <c r="R42" s="374"/>
      <c r="S42" s="2"/>
      <c r="T42" s="2"/>
      <c r="U42" s="2"/>
      <c r="V42" s="2"/>
      <c r="W42" s="2"/>
      <c r="X42" s="2"/>
      <c r="Y42" s="2"/>
      <c r="Z42" s="2"/>
    </row>
    <row r="43">
      <c r="A43" s="375">
        <v>5.0</v>
      </c>
      <c r="B43" s="370" t="s">
        <v>737</v>
      </c>
      <c r="C43" s="376"/>
      <c r="D43" s="370" t="s">
        <v>738</v>
      </c>
      <c r="E43" s="376"/>
      <c r="F43" s="370" t="s">
        <v>739</v>
      </c>
      <c r="G43" s="354"/>
      <c r="H43" s="354"/>
      <c r="I43" s="354"/>
      <c r="J43" s="376"/>
      <c r="K43" s="370" t="s">
        <v>740</v>
      </c>
      <c r="L43" s="376"/>
      <c r="M43" s="370" t="s">
        <v>741</v>
      </c>
      <c r="N43" s="354"/>
      <c r="O43" s="376"/>
      <c r="P43" s="370" t="s">
        <v>742</v>
      </c>
      <c r="Q43" s="354"/>
      <c r="R43" s="355"/>
      <c r="S43" s="2"/>
      <c r="T43" s="2"/>
      <c r="U43" s="2"/>
      <c r="V43" s="2"/>
      <c r="W43" s="2"/>
      <c r="X43" s="2"/>
      <c r="Y43" s="2"/>
      <c r="Z43" s="2"/>
    </row>
    <row r="44">
      <c r="A44" s="336">
        <v>6.0</v>
      </c>
      <c r="B44" s="342" t="s">
        <v>743</v>
      </c>
      <c r="C44" s="343"/>
      <c r="D44" s="342" t="s">
        <v>675</v>
      </c>
      <c r="E44" s="343"/>
      <c r="F44" s="342" t="s">
        <v>744</v>
      </c>
      <c r="G44" s="344"/>
      <c r="H44" s="344"/>
      <c r="I44" s="344"/>
      <c r="J44" s="343"/>
      <c r="K44" s="342" t="s">
        <v>745</v>
      </c>
      <c r="L44" s="343"/>
      <c r="M44" s="342" t="s">
        <v>746</v>
      </c>
      <c r="N44" s="344"/>
      <c r="O44" s="343"/>
      <c r="P44" s="342" t="s">
        <v>747</v>
      </c>
      <c r="Q44" s="344"/>
      <c r="R44" s="345"/>
      <c r="S44" s="2"/>
      <c r="T44" s="2"/>
      <c r="U44" s="2"/>
      <c r="V44" s="2"/>
      <c r="W44" s="2"/>
      <c r="X44" s="2"/>
      <c r="Y44" s="2"/>
      <c r="Z44" s="2"/>
    </row>
    <row r="45">
      <c r="A45" s="331">
        <v>7.0</v>
      </c>
      <c r="B45" s="347" t="s">
        <v>748</v>
      </c>
      <c r="C45" s="348"/>
      <c r="D45" s="347" t="s">
        <v>749</v>
      </c>
      <c r="E45" s="348"/>
      <c r="F45" s="347" t="s">
        <v>750</v>
      </c>
      <c r="G45" s="349"/>
      <c r="H45" s="349"/>
      <c r="I45" s="349"/>
      <c r="J45" s="348"/>
      <c r="K45" s="347" t="s">
        <v>751</v>
      </c>
      <c r="L45" s="348"/>
      <c r="M45" s="347" t="s">
        <v>752</v>
      </c>
      <c r="N45" s="349"/>
      <c r="O45" s="348"/>
      <c r="P45" s="347" t="s">
        <v>753</v>
      </c>
      <c r="Q45" s="349"/>
      <c r="R45" s="350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7" t="s">
        <v>95</v>
      </c>
      <c r="Q48" s="8"/>
      <c r="R48" s="9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94" t="s">
        <v>15</v>
      </c>
      <c r="Q49" s="95"/>
      <c r="R49" s="96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32">
    <mergeCell ref="B19:C19"/>
    <mergeCell ref="D19:E19"/>
    <mergeCell ref="F19:H19"/>
    <mergeCell ref="I19:J19"/>
    <mergeCell ref="K19:L19"/>
    <mergeCell ref="M19:N19"/>
    <mergeCell ref="O19:R19"/>
    <mergeCell ref="B20:C20"/>
    <mergeCell ref="D20:E20"/>
    <mergeCell ref="F20:H20"/>
    <mergeCell ref="I20:J20"/>
    <mergeCell ref="K20:L20"/>
    <mergeCell ref="M20:N20"/>
    <mergeCell ref="O20:R20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K16:L17"/>
    <mergeCell ref="M16:N17"/>
    <mergeCell ref="P11:Q11"/>
    <mergeCell ref="A14:R15"/>
    <mergeCell ref="O16:R17"/>
    <mergeCell ref="B7:D7"/>
    <mergeCell ref="F7:H7"/>
    <mergeCell ref="K7:M7"/>
    <mergeCell ref="O7:Q7"/>
    <mergeCell ref="F8:H10"/>
    <mergeCell ref="O8:Q10"/>
    <mergeCell ref="G11:H11"/>
    <mergeCell ref="B8:D10"/>
    <mergeCell ref="C11:D11"/>
    <mergeCell ref="A16:A17"/>
    <mergeCell ref="B16:C17"/>
    <mergeCell ref="D16:E17"/>
    <mergeCell ref="F16:H17"/>
    <mergeCell ref="I16:J17"/>
    <mergeCell ref="B18:C18"/>
    <mergeCell ref="D18:E18"/>
    <mergeCell ref="F18:H18"/>
    <mergeCell ref="I18:J18"/>
    <mergeCell ref="K18:L18"/>
    <mergeCell ref="M18:N18"/>
    <mergeCell ref="O18:R18"/>
    <mergeCell ref="B21:C21"/>
    <mergeCell ref="D21:E21"/>
    <mergeCell ref="F21:H21"/>
    <mergeCell ref="I21:J21"/>
    <mergeCell ref="K21:L21"/>
    <mergeCell ref="M21:N21"/>
    <mergeCell ref="O21:R21"/>
    <mergeCell ref="D27:F27"/>
    <mergeCell ref="G27:J27"/>
    <mergeCell ref="A28:C28"/>
    <mergeCell ref="D28:F28"/>
    <mergeCell ref="A27:C27"/>
    <mergeCell ref="A29:C29"/>
    <mergeCell ref="D29:F29"/>
    <mergeCell ref="G29:J29"/>
    <mergeCell ref="A30:C30"/>
    <mergeCell ref="D30:F30"/>
    <mergeCell ref="D31:F31"/>
    <mergeCell ref="G31:J31"/>
    <mergeCell ref="A32:C32"/>
    <mergeCell ref="D32:F32"/>
    <mergeCell ref="B42:C42"/>
    <mergeCell ref="D42:E42"/>
    <mergeCell ref="F42:J42"/>
    <mergeCell ref="K42:L42"/>
    <mergeCell ref="M42:O42"/>
    <mergeCell ref="P42:R42"/>
    <mergeCell ref="B43:C43"/>
    <mergeCell ref="P43:R43"/>
    <mergeCell ref="D43:E43"/>
    <mergeCell ref="F43:J43"/>
    <mergeCell ref="D44:E44"/>
    <mergeCell ref="F44:J44"/>
    <mergeCell ref="K44:L44"/>
    <mergeCell ref="M44:O44"/>
    <mergeCell ref="P44:R44"/>
    <mergeCell ref="P48:R48"/>
    <mergeCell ref="P49:R49"/>
    <mergeCell ref="B44:C44"/>
    <mergeCell ref="B45:C45"/>
    <mergeCell ref="D45:E45"/>
    <mergeCell ref="F45:J45"/>
    <mergeCell ref="K45:L45"/>
    <mergeCell ref="M45:O45"/>
    <mergeCell ref="P45:R45"/>
    <mergeCell ref="A24:J25"/>
    <mergeCell ref="K24:R25"/>
    <mergeCell ref="D26:F26"/>
    <mergeCell ref="G26:J26"/>
    <mergeCell ref="K26:R32"/>
    <mergeCell ref="G28:J28"/>
    <mergeCell ref="G30:J30"/>
    <mergeCell ref="K39:L39"/>
    <mergeCell ref="M39:O39"/>
    <mergeCell ref="G32:J32"/>
    <mergeCell ref="A35:R36"/>
    <mergeCell ref="F37:J38"/>
    <mergeCell ref="K37:L38"/>
    <mergeCell ref="M37:O38"/>
    <mergeCell ref="P37:R38"/>
    <mergeCell ref="F39:J39"/>
    <mergeCell ref="P39:R39"/>
    <mergeCell ref="B40:C40"/>
    <mergeCell ref="D40:E40"/>
    <mergeCell ref="F40:J40"/>
    <mergeCell ref="K40:L40"/>
    <mergeCell ref="M40:O40"/>
    <mergeCell ref="P40:R40"/>
    <mergeCell ref="B41:C41"/>
    <mergeCell ref="D41:E41"/>
    <mergeCell ref="F41:J41"/>
    <mergeCell ref="K41:L41"/>
    <mergeCell ref="M41:O41"/>
    <mergeCell ref="P41:R41"/>
    <mergeCell ref="A26:C26"/>
    <mergeCell ref="A31:C31"/>
    <mergeCell ref="A37:A38"/>
    <mergeCell ref="B37:C38"/>
    <mergeCell ref="D37:E38"/>
    <mergeCell ref="B39:C39"/>
    <mergeCell ref="D39:E39"/>
    <mergeCell ref="K43:L43"/>
    <mergeCell ref="M43:O43"/>
  </mergeCells>
  <hyperlinks>
    <hyperlink display="Открыть →" location="'М и Х Bambu Lab'!A1" ref="C11"/>
    <hyperlink display="Открыть →" location="'Из наличия'!A1" ref="G11"/>
    <hyperlink display="Открыть →" location="'Предзаказ'!A1" ref="L11"/>
    <hyperlink display="Открыть →" location="'Мой склад - Документы'!A1" ref="P11"/>
    <hyperlink display="Открыть →" location="'Главная'!A1" ref="P49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754</v>
      </c>
      <c r="S1" s="2"/>
      <c r="T1" s="2"/>
      <c r="U1" s="2"/>
      <c r="V1" s="2"/>
      <c r="W1" s="2"/>
      <c r="X1" s="2"/>
      <c r="Y1" s="2"/>
      <c r="Z1" s="2"/>
    </row>
    <row r="2">
      <c r="A2" s="3" t="s">
        <v>754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65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83" t="s">
        <v>8</v>
      </c>
      <c r="C7" s="8"/>
      <c r="D7" s="9"/>
      <c r="E7" s="2"/>
      <c r="F7" s="283" t="s">
        <v>9</v>
      </c>
      <c r="G7" s="8"/>
      <c r="H7" s="9"/>
      <c r="I7" s="2"/>
      <c r="J7" s="2"/>
      <c r="K7" s="283" t="s">
        <v>17</v>
      </c>
      <c r="L7" s="8"/>
      <c r="M7" s="9"/>
      <c r="N7" s="2"/>
      <c r="O7" s="283" t="s">
        <v>18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84" t="s">
        <v>12</v>
      </c>
      <c r="D8" s="11"/>
      <c r="E8" s="2"/>
      <c r="F8" s="284" t="s">
        <v>13</v>
      </c>
      <c r="H8" s="11"/>
      <c r="I8" s="2"/>
      <c r="J8" s="2"/>
      <c r="K8" s="284" t="s">
        <v>21</v>
      </c>
      <c r="M8" s="11"/>
      <c r="N8" s="2"/>
      <c r="O8" s="284" t="s">
        <v>22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77"/>
      <c r="C11" s="286" t="s">
        <v>15</v>
      </c>
      <c r="D11" s="18"/>
      <c r="E11" s="2"/>
      <c r="F11" s="149"/>
      <c r="G11" s="286" t="s">
        <v>15</v>
      </c>
      <c r="H11" s="18"/>
      <c r="I11" s="2"/>
      <c r="J11" s="2"/>
      <c r="K11" s="149"/>
      <c r="L11" s="286" t="s">
        <v>15</v>
      </c>
      <c r="M11" s="18"/>
      <c r="N11" s="2"/>
      <c r="O11" s="149"/>
      <c r="P11" s="286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9" t="s">
        <v>69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1"/>
      <c r="S13" s="2"/>
      <c r="T13" s="2"/>
      <c r="U13" s="2"/>
      <c r="V13" s="2"/>
      <c r="W13" s="2"/>
      <c r="X13" s="2"/>
      <c r="Y13" s="2"/>
      <c r="Z13" s="2"/>
    </row>
    <row r="14">
      <c r="A14" s="72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73"/>
      <c r="S14" s="2"/>
      <c r="T14" s="2"/>
      <c r="U14" s="2"/>
      <c r="V14" s="2"/>
      <c r="W14" s="2"/>
      <c r="X14" s="2"/>
      <c r="Y14" s="2"/>
      <c r="Z14" s="2"/>
    </row>
    <row r="15">
      <c r="A15" s="74" t="s">
        <v>755</v>
      </c>
      <c r="B15" s="70"/>
      <c r="C15" s="75" t="s">
        <v>756</v>
      </c>
      <c r="D15" s="70"/>
      <c r="E15" s="75" t="s">
        <v>757</v>
      </c>
      <c r="F15" s="70"/>
      <c r="G15" s="70"/>
      <c r="H15" s="75" t="s">
        <v>758</v>
      </c>
      <c r="I15" s="70"/>
      <c r="J15" s="75" t="s">
        <v>759</v>
      </c>
      <c r="K15" s="70"/>
      <c r="L15" s="70"/>
      <c r="M15" s="75" t="s">
        <v>71</v>
      </c>
      <c r="N15" s="70"/>
      <c r="O15" s="70"/>
      <c r="P15" s="75" t="s">
        <v>760</v>
      </c>
      <c r="Q15" s="70"/>
      <c r="R15" s="71"/>
      <c r="S15" s="2"/>
      <c r="T15" s="2"/>
      <c r="U15" s="2"/>
      <c r="V15" s="2"/>
      <c r="W15" s="2"/>
      <c r="X15" s="2"/>
      <c r="Y15" s="2"/>
      <c r="Z15" s="2"/>
    </row>
    <row r="16">
      <c r="A16" s="76"/>
      <c r="B16" s="77"/>
      <c r="E16" s="77"/>
      <c r="F16" s="77"/>
      <c r="G16" s="77"/>
      <c r="M16" s="77"/>
      <c r="N16" s="77"/>
      <c r="O16" s="77"/>
      <c r="P16" s="77"/>
      <c r="Q16" s="77"/>
      <c r="R16" s="378"/>
      <c r="S16" s="2"/>
      <c r="T16" s="2"/>
      <c r="U16" s="2"/>
      <c r="V16" s="2"/>
      <c r="W16" s="2"/>
      <c r="X16" s="2"/>
      <c r="Y16" s="2"/>
      <c r="Z16" s="2"/>
    </row>
    <row r="17" ht="45.0" customHeight="1">
      <c r="A17" s="78" t="s">
        <v>761</v>
      </c>
      <c r="B17" s="80"/>
      <c r="C17" s="81" t="s">
        <v>762</v>
      </c>
      <c r="D17" s="80"/>
      <c r="E17" s="81" t="s">
        <v>763</v>
      </c>
      <c r="F17" s="79"/>
      <c r="G17" s="80"/>
      <c r="H17" s="81" t="s">
        <v>764</v>
      </c>
      <c r="I17" s="79"/>
      <c r="J17" s="81" t="s">
        <v>765</v>
      </c>
      <c r="K17" s="79"/>
      <c r="L17" s="80"/>
      <c r="M17" s="81" t="s">
        <v>766</v>
      </c>
      <c r="N17" s="79"/>
      <c r="O17" s="80"/>
      <c r="P17" s="81" t="s">
        <v>767</v>
      </c>
      <c r="Q17" s="79"/>
      <c r="R17" s="379"/>
      <c r="S17" s="2"/>
      <c r="T17" s="2"/>
      <c r="U17" s="2"/>
      <c r="V17" s="2"/>
      <c r="W17" s="2"/>
      <c r="X17" s="2"/>
      <c r="Y17" s="2"/>
      <c r="Z17" s="2"/>
    </row>
    <row r="18">
      <c r="A18" s="82" t="s">
        <v>768</v>
      </c>
      <c r="B18" s="84"/>
      <c r="C18" s="380" t="s">
        <v>769</v>
      </c>
      <c r="D18" s="381"/>
      <c r="E18" s="85" t="s">
        <v>675</v>
      </c>
      <c r="F18" s="83"/>
      <c r="G18" s="84"/>
      <c r="H18" s="85" t="s">
        <v>770</v>
      </c>
      <c r="I18" s="83"/>
      <c r="J18" s="85" t="s">
        <v>771</v>
      </c>
      <c r="K18" s="83"/>
      <c r="L18" s="84"/>
      <c r="M18" s="85" t="s">
        <v>772</v>
      </c>
      <c r="N18" s="83"/>
      <c r="O18" s="84"/>
      <c r="P18" s="85" t="s">
        <v>773</v>
      </c>
      <c r="Q18" s="83"/>
      <c r="R18" s="382"/>
      <c r="S18" s="2"/>
      <c r="T18" s="2"/>
      <c r="U18" s="2"/>
      <c r="V18" s="2"/>
      <c r="W18" s="2"/>
      <c r="X18" s="2"/>
      <c r="Y18" s="2"/>
      <c r="Z18" s="2"/>
    </row>
    <row r="19" ht="42.0" customHeight="1">
      <c r="A19" s="86" t="s">
        <v>774</v>
      </c>
      <c r="B19" s="84"/>
      <c r="C19" s="383" t="s">
        <v>775</v>
      </c>
      <c r="D19" s="384"/>
      <c r="E19" s="385" t="s">
        <v>776</v>
      </c>
      <c r="F19" s="83"/>
      <c r="G19" s="84"/>
      <c r="H19" s="87" t="s">
        <v>777</v>
      </c>
      <c r="I19" s="83"/>
      <c r="J19" s="87" t="s">
        <v>778</v>
      </c>
      <c r="K19" s="83"/>
      <c r="L19" s="84"/>
      <c r="M19" s="87" t="s">
        <v>570</v>
      </c>
      <c r="N19" s="83"/>
      <c r="O19" s="84"/>
      <c r="P19" s="87" t="s">
        <v>779</v>
      </c>
      <c r="Q19" s="83"/>
      <c r="R19" s="382"/>
      <c r="S19" s="2"/>
      <c r="T19" s="2"/>
      <c r="U19" s="2"/>
      <c r="V19" s="2"/>
      <c r="W19" s="2"/>
      <c r="X19" s="2"/>
      <c r="Y19" s="2"/>
      <c r="Z19" s="2"/>
    </row>
    <row r="20" ht="46.5" customHeight="1">
      <c r="A20" s="82" t="s">
        <v>780</v>
      </c>
      <c r="B20" s="84"/>
      <c r="C20" s="386" t="s">
        <v>781</v>
      </c>
      <c r="D20" s="384"/>
      <c r="E20" s="387" t="s">
        <v>782</v>
      </c>
      <c r="F20" s="83"/>
      <c r="G20" s="84"/>
      <c r="H20" s="85" t="s">
        <v>783</v>
      </c>
      <c r="I20" s="83"/>
      <c r="J20" s="85" t="s">
        <v>784</v>
      </c>
      <c r="K20" s="83"/>
      <c r="L20" s="84"/>
      <c r="M20" s="85" t="s">
        <v>785</v>
      </c>
      <c r="N20" s="83"/>
      <c r="O20" s="84"/>
      <c r="P20" s="85" t="s">
        <v>786</v>
      </c>
      <c r="Q20" s="83"/>
      <c r="R20" s="382"/>
      <c r="S20" s="2"/>
      <c r="T20" s="2"/>
      <c r="U20" s="2"/>
      <c r="V20" s="2"/>
      <c r="W20" s="2"/>
      <c r="X20" s="2"/>
      <c r="Y20" s="2"/>
      <c r="Z20" s="2"/>
    </row>
    <row r="21">
      <c r="A21" s="86" t="s">
        <v>787</v>
      </c>
      <c r="B21" s="84"/>
      <c r="C21" s="383" t="s">
        <v>788</v>
      </c>
      <c r="D21" s="384"/>
      <c r="E21" s="385" t="s">
        <v>776</v>
      </c>
      <c r="F21" s="83"/>
      <c r="G21" s="84"/>
      <c r="H21" s="87" t="s">
        <v>789</v>
      </c>
      <c r="I21" s="83"/>
      <c r="J21" s="87" t="s">
        <v>790</v>
      </c>
      <c r="K21" s="83"/>
      <c r="L21" s="84"/>
      <c r="M21" s="87" t="s">
        <v>791</v>
      </c>
      <c r="N21" s="83"/>
      <c r="O21" s="84"/>
      <c r="P21" s="87" t="s">
        <v>577</v>
      </c>
      <c r="Q21" s="83"/>
      <c r="R21" s="382"/>
      <c r="S21" s="2"/>
      <c r="T21" s="2"/>
      <c r="U21" s="2"/>
      <c r="V21" s="2"/>
      <c r="W21" s="2"/>
      <c r="X21" s="2"/>
      <c r="Y21" s="2"/>
      <c r="Z21" s="2"/>
    </row>
    <row r="22" ht="57.75" customHeight="1">
      <c r="A22" s="88" t="s">
        <v>792</v>
      </c>
      <c r="B22" s="90"/>
      <c r="C22" s="386" t="s">
        <v>729</v>
      </c>
      <c r="D22" s="384"/>
      <c r="E22" s="388" t="s">
        <v>793</v>
      </c>
      <c r="F22" s="89"/>
      <c r="G22" s="90"/>
      <c r="H22" s="91" t="s">
        <v>794</v>
      </c>
      <c r="I22" s="89"/>
      <c r="J22" s="91" t="s">
        <v>795</v>
      </c>
      <c r="K22" s="89"/>
      <c r="L22" s="90"/>
      <c r="M22" s="91" t="s">
        <v>584</v>
      </c>
      <c r="N22" s="89"/>
      <c r="O22" s="90"/>
      <c r="P22" s="91" t="s">
        <v>796</v>
      </c>
      <c r="Q22" s="89"/>
      <c r="R22" s="389"/>
      <c r="S22" s="2"/>
      <c r="T22" s="2"/>
      <c r="U22" s="2"/>
      <c r="V22" s="2"/>
      <c r="W22" s="2"/>
      <c r="X22" s="2"/>
      <c r="Y22" s="2"/>
      <c r="Z22" s="2"/>
    </row>
    <row r="23">
      <c r="A23" s="86" t="s">
        <v>797</v>
      </c>
      <c r="B23" s="84"/>
      <c r="C23" s="383" t="s">
        <v>798</v>
      </c>
      <c r="D23" s="384"/>
      <c r="E23" s="385" t="s">
        <v>799</v>
      </c>
      <c r="F23" s="83"/>
      <c r="G23" s="84"/>
      <c r="H23" s="81" t="s">
        <v>800</v>
      </c>
      <c r="I23" s="79"/>
      <c r="J23" s="87" t="s">
        <v>801</v>
      </c>
      <c r="K23" s="83"/>
      <c r="L23" s="84"/>
      <c r="M23" s="87" t="s">
        <v>606</v>
      </c>
      <c r="N23" s="83"/>
      <c r="O23" s="84"/>
      <c r="P23" s="87" t="s">
        <v>607</v>
      </c>
      <c r="Q23" s="83"/>
      <c r="R23" s="38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9"/>
      <c r="N24" s="93"/>
      <c r="O24" s="93"/>
      <c r="P24" s="93"/>
      <c r="Q24" s="19"/>
      <c r="R24" s="2"/>
      <c r="S24" s="2"/>
      <c r="T24" s="2"/>
      <c r="U24" s="2"/>
      <c r="V24" s="2"/>
      <c r="W24" s="2"/>
      <c r="X24" s="2"/>
      <c r="Y24" s="2"/>
      <c r="Z24" s="2"/>
    </row>
    <row r="25">
      <c r="A25" s="93"/>
      <c r="B25" s="93"/>
      <c r="D25" s="93"/>
      <c r="E25" s="93"/>
      <c r="H25" s="93"/>
      <c r="J25" s="93"/>
      <c r="K25" s="19"/>
      <c r="L25" s="2"/>
      <c r="M25" s="19"/>
      <c r="N25" s="93"/>
      <c r="O25" s="93"/>
      <c r="P25" s="7" t="s">
        <v>95</v>
      </c>
      <c r="Q25" s="8"/>
      <c r="R25" s="9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9"/>
      <c r="N26" s="93"/>
      <c r="O26" s="93"/>
      <c r="P26" s="94" t="s">
        <v>15</v>
      </c>
      <c r="Q26" s="95"/>
      <c r="R26" s="96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9"/>
      <c r="N27" s="93"/>
      <c r="O27" s="93"/>
      <c r="P27" s="93"/>
      <c r="Q27" s="19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97"/>
      <c r="C28" s="97"/>
      <c r="D28" s="97"/>
      <c r="E28" s="97"/>
      <c r="F28" s="97"/>
      <c r="G28" s="97"/>
      <c r="H28" s="97"/>
      <c r="I28" s="2"/>
      <c r="J28" s="2"/>
      <c r="K28" s="2"/>
      <c r="L28" s="2"/>
      <c r="M28" s="93"/>
      <c r="N28" s="93"/>
      <c r="O28" s="93"/>
      <c r="P28" s="93"/>
      <c r="Q28" s="19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93"/>
      <c r="N29" s="93"/>
      <c r="O29" s="93"/>
      <c r="P29" s="93"/>
      <c r="Q29" s="19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/>
      <c r="B30" s="99"/>
      <c r="C30" s="97"/>
      <c r="D30" s="97"/>
      <c r="E30" s="97"/>
      <c r="F30" s="97"/>
      <c r="G30" s="97"/>
      <c r="H30" s="97"/>
      <c r="I30" s="97"/>
      <c r="J30" s="97"/>
      <c r="K30" s="19"/>
      <c r="L30" s="19"/>
      <c r="M30" s="1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"/>
      <c r="B31" s="99"/>
      <c r="C31" s="97"/>
      <c r="D31" s="97"/>
      <c r="E31" s="97"/>
      <c r="F31" s="97"/>
      <c r="G31" s="97"/>
      <c r="H31" s="97"/>
      <c r="I31" s="97"/>
      <c r="J31" s="97"/>
      <c r="K31" s="19"/>
      <c r="L31" s="19"/>
      <c r="M31" s="1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9"/>
      <c r="B32" s="99"/>
      <c r="C32" s="97"/>
      <c r="D32" s="97"/>
      <c r="E32" s="97"/>
      <c r="F32" s="97"/>
      <c r="G32" s="97"/>
      <c r="H32" s="97"/>
      <c r="I32" s="97"/>
      <c r="J32" s="97"/>
      <c r="K32" s="19"/>
      <c r="L32" s="19"/>
      <c r="M32" s="1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9"/>
      <c r="B33" s="99"/>
      <c r="C33" s="97"/>
      <c r="D33" s="97"/>
      <c r="E33" s="97"/>
      <c r="F33" s="97"/>
      <c r="G33" s="97"/>
      <c r="H33" s="97"/>
      <c r="I33" s="97"/>
      <c r="J33" s="97"/>
      <c r="K33" s="19"/>
      <c r="L33" s="19"/>
      <c r="M33" s="1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9"/>
      <c r="B34" s="99"/>
      <c r="C34" s="97"/>
      <c r="D34" s="97"/>
      <c r="E34" s="97"/>
      <c r="F34" s="97"/>
      <c r="G34" s="97"/>
      <c r="H34" s="97"/>
      <c r="I34" s="97"/>
      <c r="J34" s="97"/>
      <c r="K34" s="19"/>
      <c r="L34" s="19"/>
      <c r="M34" s="1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9"/>
      <c r="B35" s="99"/>
      <c r="C35" s="97"/>
      <c r="D35" s="97"/>
      <c r="E35" s="97"/>
      <c r="F35" s="97"/>
      <c r="G35" s="97"/>
      <c r="H35" s="97"/>
      <c r="I35" s="97"/>
      <c r="J35" s="97"/>
      <c r="K35" s="19"/>
      <c r="L35" s="19"/>
      <c r="M35" s="1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9"/>
      <c r="B36" s="99"/>
      <c r="C36" s="97"/>
      <c r="D36" s="97"/>
      <c r="E36" s="97"/>
      <c r="F36" s="97"/>
      <c r="G36" s="97"/>
      <c r="H36" s="97"/>
      <c r="I36" s="97"/>
      <c r="J36" s="97"/>
      <c r="K36" s="19"/>
      <c r="L36" s="19"/>
      <c r="M36" s="1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9"/>
      <c r="B37" s="99"/>
      <c r="C37" s="97"/>
      <c r="D37" s="97"/>
      <c r="E37" s="97"/>
      <c r="F37" s="97"/>
      <c r="G37" s="97"/>
      <c r="H37" s="97"/>
      <c r="I37" s="97"/>
      <c r="J37" s="97"/>
      <c r="K37" s="19"/>
      <c r="L37" s="19"/>
      <c r="M37" s="1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9"/>
      <c r="B38" s="99"/>
      <c r="C38" s="97"/>
      <c r="D38" s="97"/>
      <c r="E38" s="97"/>
      <c r="F38" s="97"/>
      <c r="G38" s="97"/>
      <c r="H38" s="97"/>
      <c r="I38" s="97"/>
      <c r="J38" s="97"/>
      <c r="K38" s="19"/>
      <c r="L38" s="19"/>
      <c r="M38" s="1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9"/>
      <c r="B39" s="99"/>
      <c r="C39" s="97"/>
      <c r="D39" s="97"/>
      <c r="E39" s="97"/>
      <c r="F39" s="97"/>
      <c r="G39" s="97"/>
      <c r="H39" s="97"/>
      <c r="I39" s="97"/>
      <c r="J39" s="97"/>
      <c r="K39" s="19"/>
      <c r="L39" s="19"/>
      <c r="M39" s="1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81">
    <mergeCell ref="A17:B17"/>
    <mergeCell ref="A18:B18"/>
    <mergeCell ref="C18:D18"/>
    <mergeCell ref="E18:G18"/>
    <mergeCell ref="H18:I18"/>
    <mergeCell ref="J18:L18"/>
    <mergeCell ref="M18:O18"/>
    <mergeCell ref="P18:R18"/>
    <mergeCell ref="A19:B19"/>
    <mergeCell ref="C19:D19"/>
    <mergeCell ref="E19:G19"/>
    <mergeCell ref="H19:I19"/>
    <mergeCell ref="J19:L19"/>
    <mergeCell ref="M19:O19"/>
    <mergeCell ref="P19:R19"/>
    <mergeCell ref="A20:B20"/>
    <mergeCell ref="C20:D20"/>
    <mergeCell ref="E20:G20"/>
    <mergeCell ref="H20:I20"/>
    <mergeCell ref="J20:L20"/>
    <mergeCell ref="M20:O20"/>
    <mergeCell ref="P20:R20"/>
    <mergeCell ref="A21:B21"/>
    <mergeCell ref="C21:D21"/>
    <mergeCell ref="E21:G21"/>
    <mergeCell ref="H21:I21"/>
    <mergeCell ref="J21:L21"/>
    <mergeCell ref="M21:O21"/>
    <mergeCell ref="P21:R21"/>
    <mergeCell ref="A22:B22"/>
    <mergeCell ref="C22:D22"/>
    <mergeCell ref="E22:G22"/>
    <mergeCell ref="H22:I22"/>
    <mergeCell ref="J22:L22"/>
    <mergeCell ref="M22:O22"/>
    <mergeCell ref="P22:R22"/>
    <mergeCell ref="A23:B23"/>
    <mergeCell ref="C23:D23"/>
    <mergeCell ref="E23:G23"/>
    <mergeCell ref="H23:I23"/>
    <mergeCell ref="J23:L23"/>
    <mergeCell ref="M23:O23"/>
    <mergeCell ref="P23:R23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J15:L16"/>
    <mergeCell ref="M15:O16"/>
    <mergeCell ref="P15:R16"/>
    <mergeCell ref="P11:Q11"/>
    <mergeCell ref="A13:R14"/>
    <mergeCell ref="B7:D7"/>
    <mergeCell ref="F7:H7"/>
    <mergeCell ref="K7:M7"/>
    <mergeCell ref="O7:Q7"/>
    <mergeCell ref="F8:H10"/>
    <mergeCell ref="O8:Q10"/>
    <mergeCell ref="G11:H11"/>
    <mergeCell ref="C17:D17"/>
    <mergeCell ref="E17:G17"/>
    <mergeCell ref="J17:L17"/>
    <mergeCell ref="M17:O17"/>
    <mergeCell ref="P17:R17"/>
    <mergeCell ref="B8:D10"/>
    <mergeCell ref="C11:D11"/>
    <mergeCell ref="A15:B16"/>
    <mergeCell ref="C15:D16"/>
    <mergeCell ref="E15:G16"/>
    <mergeCell ref="H15:I16"/>
    <mergeCell ref="H17:I17"/>
    <mergeCell ref="B25:C25"/>
    <mergeCell ref="E25:G25"/>
    <mergeCell ref="H25:I25"/>
    <mergeCell ref="P25:R25"/>
    <mergeCell ref="P26:R26"/>
  </mergeCells>
  <hyperlinks>
    <hyperlink display="Открыть →" location="'Из наличия'!A1" ref="C11"/>
    <hyperlink display="Открыть →" location="'Предзаказ'!A1" ref="G11"/>
    <hyperlink display="Открыть →" location="'Поставщик'!A1" ref="L11"/>
    <hyperlink display="Открыть →" location="'Логистика'!A1" ref="P11"/>
    <hyperlink display="Открыть →" location="'Главная'!A1" ref="P26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802</v>
      </c>
      <c r="S1" s="2"/>
      <c r="T1" s="2"/>
      <c r="U1" s="2"/>
      <c r="V1" s="2"/>
      <c r="W1" s="2"/>
      <c r="X1" s="2"/>
      <c r="Y1" s="2"/>
      <c r="Z1" s="2"/>
    </row>
    <row r="2">
      <c r="A2" s="3" t="s">
        <v>803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65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9"/>
      <c r="B7" s="283" t="s">
        <v>16</v>
      </c>
      <c r="C7" s="8"/>
      <c r="D7" s="9"/>
      <c r="E7" s="149"/>
      <c r="F7" s="283" t="s">
        <v>8</v>
      </c>
      <c r="G7" s="8"/>
      <c r="H7" s="9"/>
      <c r="I7" s="149"/>
      <c r="J7" s="149"/>
      <c r="K7" s="283" t="s">
        <v>9</v>
      </c>
      <c r="L7" s="8"/>
      <c r="M7" s="9"/>
      <c r="N7" s="149"/>
      <c r="O7" s="283" t="s">
        <v>10</v>
      </c>
      <c r="P7" s="8"/>
      <c r="Q7" s="9"/>
      <c r="R7" s="149"/>
      <c r="S7" s="149"/>
      <c r="T7" s="149"/>
      <c r="U7" s="149"/>
      <c r="V7" s="149"/>
      <c r="W7" s="2"/>
      <c r="X7" s="2"/>
      <c r="Y7" s="2"/>
      <c r="Z7" s="2"/>
    </row>
    <row r="8">
      <c r="A8" s="149"/>
      <c r="B8" s="284" t="s">
        <v>20</v>
      </c>
      <c r="D8" s="11"/>
      <c r="E8" s="149"/>
      <c r="F8" s="284" t="s">
        <v>12</v>
      </c>
      <c r="H8" s="11"/>
      <c r="I8" s="149"/>
      <c r="J8" s="149"/>
      <c r="K8" s="284" t="s">
        <v>13</v>
      </c>
      <c r="M8" s="11"/>
      <c r="N8" s="149"/>
      <c r="O8" s="284" t="s">
        <v>14</v>
      </c>
      <c r="Q8" s="11"/>
      <c r="R8" s="149"/>
      <c r="S8" s="149"/>
      <c r="T8" s="149"/>
      <c r="U8" s="149"/>
      <c r="V8" s="149"/>
      <c r="W8" s="2"/>
      <c r="X8" s="2"/>
      <c r="Y8" s="2"/>
      <c r="Z8" s="2"/>
    </row>
    <row r="9">
      <c r="A9" s="149"/>
      <c r="B9" s="12"/>
      <c r="D9" s="11"/>
      <c r="E9" s="149"/>
      <c r="F9" s="12"/>
      <c r="H9" s="11"/>
      <c r="I9" s="149"/>
      <c r="J9" s="149"/>
      <c r="K9" s="12"/>
      <c r="M9" s="11"/>
      <c r="N9" s="149"/>
      <c r="O9" s="12"/>
      <c r="Q9" s="11"/>
      <c r="R9" s="149"/>
      <c r="S9" s="149"/>
      <c r="T9" s="149"/>
      <c r="U9" s="149"/>
      <c r="V9" s="149"/>
      <c r="W9" s="2"/>
      <c r="X9" s="2"/>
      <c r="Y9" s="2"/>
      <c r="Z9" s="2"/>
    </row>
    <row r="10">
      <c r="A10" s="149"/>
      <c r="B10" s="13"/>
      <c r="C10" s="14"/>
      <c r="D10" s="15"/>
      <c r="E10" s="149"/>
      <c r="F10" s="13"/>
      <c r="G10" s="14"/>
      <c r="H10" s="15"/>
      <c r="I10" s="149"/>
      <c r="J10" s="149"/>
      <c r="K10" s="13"/>
      <c r="L10" s="14"/>
      <c r="M10" s="15"/>
      <c r="N10" s="149"/>
      <c r="O10" s="13"/>
      <c r="P10" s="14"/>
      <c r="Q10" s="15"/>
      <c r="R10" s="149"/>
      <c r="S10" s="149"/>
      <c r="T10" s="149"/>
      <c r="U10" s="149"/>
      <c r="V10" s="149"/>
      <c r="W10" s="2"/>
      <c r="X10" s="2"/>
      <c r="Y10" s="2"/>
      <c r="Z10" s="2"/>
    </row>
    <row r="11">
      <c r="A11" s="149"/>
      <c r="B11" s="377"/>
      <c r="C11" s="286" t="s">
        <v>15</v>
      </c>
      <c r="D11" s="18"/>
      <c r="E11" s="149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149"/>
      <c r="O11" s="149"/>
      <c r="P11" s="286" t="s">
        <v>15</v>
      </c>
      <c r="Q11" s="18"/>
      <c r="R11" s="149"/>
      <c r="S11" s="149"/>
      <c r="T11" s="149"/>
      <c r="U11" s="149"/>
      <c r="V11" s="149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0" t="s">
        <v>664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2"/>
      <c r="T14" s="2"/>
      <c r="U14" s="2"/>
      <c r="V14" s="2"/>
      <c r="W14" s="2"/>
      <c r="X14" s="2"/>
      <c r="Y14" s="2"/>
      <c r="Z14" s="2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2"/>
      <c r="T15" s="2"/>
      <c r="U15" s="2"/>
      <c r="V15" s="2"/>
      <c r="W15" s="2"/>
      <c r="X15" s="2"/>
      <c r="Y15" s="2"/>
      <c r="Z15" s="2"/>
    </row>
    <row r="16">
      <c r="A16" s="318" t="s">
        <v>533</v>
      </c>
      <c r="B16" s="319" t="s">
        <v>534</v>
      </c>
      <c r="C16" s="8"/>
      <c r="D16" s="319" t="s">
        <v>28</v>
      </c>
      <c r="E16" s="8"/>
      <c r="F16" s="319" t="s">
        <v>804</v>
      </c>
      <c r="G16" s="8"/>
      <c r="H16" s="8"/>
      <c r="I16" s="319" t="s">
        <v>805</v>
      </c>
      <c r="J16" s="8"/>
      <c r="K16" s="319" t="s">
        <v>538</v>
      </c>
      <c r="L16" s="8"/>
      <c r="M16" s="319" t="s">
        <v>71</v>
      </c>
      <c r="N16" s="8"/>
      <c r="O16" s="319" t="s">
        <v>806</v>
      </c>
      <c r="P16" s="8"/>
      <c r="Q16" s="8"/>
      <c r="R16" s="9"/>
      <c r="S16" s="2"/>
      <c r="T16" s="2"/>
      <c r="U16" s="2"/>
      <c r="V16" s="2"/>
      <c r="W16" s="2"/>
      <c r="X16" s="2"/>
      <c r="Y16" s="2"/>
      <c r="Z16" s="2"/>
    </row>
    <row r="17">
      <c r="A17" s="291"/>
      <c r="B17" s="77"/>
      <c r="C17" s="77"/>
      <c r="D17" s="77"/>
      <c r="E17" s="77"/>
      <c r="F17" s="77"/>
      <c r="G17" s="77"/>
      <c r="H17" s="77"/>
      <c r="I17" s="77"/>
      <c r="J17" s="77"/>
      <c r="M17" s="77"/>
      <c r="N17" s="77"/>
      <c r="O17" s="77"/>
      <c r="P17" s="77"/>
      <c r="Q17" s="77"/>
      <c r="R17" s="292"/>
      <c r="S17" s="2"/>
      <c r="T17" s="2"/>
      <c r="U17" s="2"/>
      <c r="V17" s="2"/>
      <c r="W17" s="2"/>
      <c r="X17" s="2"/>
      <c r="Y17" s="2"/>
      <c r="Z17" s="2"/>
    </row>
    <row r="18" ht="45.0" customHeight="1">
      <c r="A18" s="390">
        <v>1.0</v>
      </c>
      <c r="B18" s="391" t="s">
        <v>807</v>
      </c>
      <c r="C18" s="392"/>
      <c r="D18" s="391" t="s">
        <v>808</v>
      </c>
      <c r="E18" s="392"/>
      <c r="F18" s="391" t="s">
        <v>809</v>
      </c>
      <c r="G18" s="393"/>
      <c r="H18" s="392"/>
      <c r="I18" s="391" t="s">
        <v>810</v>
      </c>
      <c r="J18" s="392"/>
      <c r="K18" s="391" t="s">
        <v>811</v>
      </c>
      <c r="L18" s="392"/>
      <c r="M18" s="391" t="s">
        <v>812</v>
      </c>
      <c r="N18" s="392"/>
      <c r="O18" s="391" t="s">
        <v>813</v>
      </c>
      <c r="P18" s="393"/>
      <c r="Q18" s="393"/>
      <c r="R18" s="394"/>
      <c r="S18" s="2"/>
      <c r="T18" s="2"/>
      <c r="U18" s="2"/>
      <c r="V18" s="2"/>
      <c r="W18" s="2"/>
      <c r="X18" s="2"/>
      <c r="Y18" s="2"/>
      <c r="Z18" s="2"/>
    </row>
    <row r="19">
      <c r="A19" s="395">
        <v>2.0</v>
      </c>
      <c r="B19" s="396" t="s">
        <v>814</v>
      </c>
      <c r="C19" s="384"/>
      <c r="D19" s="396" t="s">
        <v>815</v>
      </c>
      <c r="E19" s="384"/>
      <c r="F19" s="396" t="s">
        <v>816</v>
      </c>
      <c r="G19" s="373"/>
      <c r="H19" s="384"/>
      <c r="I19" s="396" t="s">
        <v>817</v>
      </c>
      <c r="J19" s="384"/>
      <c r="K19" s="396" t="s">
        <v>818</v>
      </c>
      <c r="L19" s="384"/>
      <c r="M19" s="396" t="s">
        <v>819</v>
      </c>
      <c r="N19" s="384"/>
      <c r="O19" s="396" t="s">
        <v>820</v>
      </c>
      <c r="P19" s="373"/>
      <c r="Q19" s="373"/>
      <c r="R19" s="374"/>
      <c r="S19" s="2"/>
      <c r="T19" s="2"/>
      <c r="U19" s="2"/>
      <c r="V19" s="2"/>
      <c r="W19" s="2"/>
      <c r="X19" s="2"/>
      <c r="Y19" s="2"/>
      <c r="Z19" s="2"/>
    </row>
    <row r="20" ht="42.0" customHeight="1">
      <c r="A20" s="395">
        <v>3.0</v>
      </c>
      <c r="B20" s="396" t="s">
        <v>821</v>
      </c>
      <c r="C20" s="384"/>
      <c r="D20" s="396" t="s">
        <v>822</v>
      </c>
      <c r="E20" s="384"/>
      <c r="F20" s="396" t="s">
        <v>823</v>
      </c>
      <c r="G20" s="373"/>
      <c r="H20" s="384"/>
      <c r="I20" s="396" t="s">
        <v>824</v>
      </c>
      <c r="J20" s="384"/>
      <c r="K20" s="396" t="s">
        <v>825</v>
      </c>
      <c r="L20" s="384"/>
      <c r="M20" s="396" t="s">
        <v>826</v>
      </c>
      <c r="N20" s="384"/>
      <c r="O20" s="396" t="s">
        <v>827</v>
      </c>
      <c r="P20" s="373"/>
      <c r="Q20" s="373"/>
      <c r="R20" s="374"/>
      <c r="S20" s="2"/>
      <c r="T20" s="2"/>
      <c r="U20" s="2"/>
      <c r="V20" s="2"/>
      <c r="W20" s="2"/>
      <c r="X20" s="2"/>
      <c r="Y20" s="2"/>
      <c r="Z20" s="2"/>
    </row>
    <row r="21" ht="46.5" customHeight="1">
      <c r="A21" s="395">
        <v>4.0</v>
      </c>
      <c r="B21" s="396" t="s">
        <v>828</v>
      </c>
      <c r="C21" s="384"/>
      <c r="D21" s="396" t="s">
        <v>829</v>
      </c>
      <c r="E21" s="384"/>
      <c r="F21" s="396" t="s">
        <v>830</v>
      </c>
      <c r="G21" s="373"/>
      <c r="H21" s="384"/>
      <c r="I21" s="396" t="s">
        <v>810</v>
      </c>
      <c r="J21" s="384"/>
      <c r="K21" s="396" t="s">
        <v>831</v>
      </c>
      <c r="L21" s="384"/>
      <c r="M21" s="396" t="s">
        <v>832</v>
      </c>
      <c r="N21" s="384"/>
      <c r="O21" s="396" t="s">
        <v>833</v>
      </c>
      <c r="P21" s="373"/>
      <c r="Q21" s="373"/>
      <c r="R21" s="374"/>
      <c r="S21" s="2"/>
      <c r="T21" s="2"/>
      <c r="U21" s="2"/>
      <c r="V21" s="2"/>
      <c r="W21" s="2"/>
      <c r="X21" s="2"/>
      <c r="Y21" s="2"/>
      <c r="Z21" s="2"/>
    </row>
    <row r="22" ht="45.0" customHeight="1">
      <c r="A22" s="395">
        <v>5.0</v>
      </c>
      <c r="B22" s="396" t="s">
        <v>834</v>
      </c>
      <c r="C22" s="384"/>
      <c r="D22" s="396" t="s">
        <v>835</v>
      </c>
      <c r="E22" s="384"/>
      <c r="F22" s="396" t="s">
        <v>836</v>
      </c>
      <c r="G22" s="373"/>
      <c r="H22" s="384"/>
      <c r="I22" s="396" t="s">
        <v>837</v>
      </c>
      <c r="J22" s="384"/>
      <c r="K22" s="396" t="s">
        <v>838</v>
      </c>
      <c r="L22" s="384"/>
      <c r="M22" s="396" t="s">
        <v>839</v>
      </c>
      <c r="N22" s="384"/>
      <c r="O22" s="396" t="s">
        <v>840</v>
      </c>
      <c r="P22" s="373"/>
      <c r="Q22" s="373"/>
      <c r="R22" s="374"/>
      <c r="S22" s="2"/>
      <c r="T22" s="2"/>
      <c r="U22" s="2"/>
      <c r="V22" s="2"/>
      <c r="W22" s="2"/>
      <c r="X22" s="2"/>
      <c r="Y22" s="2"/>
      <c r="Z22" s="2"/>
    </row>
    <row r="23">
      <c r="A23" s="395">
        <v>6.0</v>
      </c>
      <c r="B23" s="396" t="s">
        <v>841</v>
      </c>
      <c r="C23" s="384"/>
      <c r="D23" s="396" t="s">
        <v>842</v>
      </c>
      <c r="E23" s="384"/>
      <c r="F23" s="396" t="s">
        <v>843</v>
      </c>
      <c r="G23" s="373"/>
      <c r="H23" s="384"/>
      <c r="I23" s="396" t="s">
        <v>844</v>
      </c>
      <c r="J23" s="384"/>
      <c r="K23" s="396" t="s">
        <v>845</v>
      </c>
      <c r="L23" s="384"/>
      <c r="M23" s="396" t="s">
        <v>846</v>
      </c>
      <c r="N23" s="384"/>
      <c r="O23" s="396" t="s">
        <v>847</v>
      </c>
      <c r="P23" s="373"/>
      <c r="Q23" s="373"/>
      <c r="R23" s="374"/>
      <c r="S23" s="2"/>
      <c r="T23" s="2"/>
      <c r="U23" s="2"/>
      <c r="V23" s="2"/>
      <c r="W23" s="2"/>
      <c r="X23" s="2"/>
      <c r="Y23" s="2"/>
      <c r="Z23" s="2"/>
    </row>
    <row r="24" ht="42.0" customHeight="1">
      <c r="A24" s="395">
        <v>7.0</v>
      </c>
      <c r="B24" s="396" t="s">
        <v>848</v>
      </c>
      <c r="C24" s="384"/>
      <c r="D24" s="396" t="s">
        <v>849</v>
      </c>
      <c r="E24" s="384"/>
      <c r="F24" s="396" t="s">
        <v>850</v>
      </c>
      <c r="G24" s="373"/>
      <c r="H24" s="384"/>
      <c r="I24" s="396" t="s">
        <v>851</v>
      </c>
      <c r="J24" s="384"/>
      <c r="K24" s="396" t="s">
        <v>852</v>
      </c>
      <c r="L24" s="384"/>
      <c r="M24" s="396" t="s">
        <v>853</v>
      </c>
      <c r="N24" s="384"/>
      <c r="O24" s="396" t="s">
        <v>854</v>
      </c>
      <c r="P24" s="373"/>
      <c r="Q24" s="373"/>
      <c r="R24" s="374"/>
      <c r="S24" s="2"/>
      <c r="T24" s="2"/>
      <c r="U24" s="2"/>
      <c r="V24" s="2"/>
      <c r="W24" s="2"/>
      <c r="X24" s="2"/>
      <c r="Y24" s="2"/>
      <c r="Z24" s="2"/>
    </row>
    <row r="25" ht="46.5" customHeight="1">
      <c r="A25" s="395">
        <v>8.0</v>
      </c>
      <c r="B25" s="396" t="s">
        <v>855</v>
      </c>
      <c r="C25" s="384"/>
      <c r="D25" s="396" t="s">
        <v>856</v>
      </c>
      <c r="E25" s="384"/>
      <c r="F25" s="396" t="s">
        <v>857</v>
      </c>
      <c r="G25" s="373"/>
      <c r="H25" s="384"/>
      <c r="I25" s="396" t="s">
        <v>817</v>
      </c>
      <c r="J25" s="384"/>
      <c r="K25" s="396" t="s">
        <v>858</v>
      </c>
      <c r="L25" s="384"/>
      <c r="M25" s="396" t="s">
        <v>859</v>
      </c>
      <c r="N25" s="384"/>
      <c r="O25" s="396" t="s">
        <v>860</v>
      </c>
      <c r="P25" s="373"/>
      <c r="Q25" s="373"/>
      <c r="R25" s="374"/>
      <c r="S25" s="2"/>
      <c r="T25" s="2"/>
      <c r="U25" s="2"/>
      <c r="V25" s="2"/>
      <c r="W25" s="2"/>
      <c r="X25" s="2"/>
      <c r="Y25" s="2"/>
      <c r="Z25" s="2"/>
    </row>
    <row r="26" ht="65.25" customHeight="1">
      <c r="A26" s="395">
        <v>9.0</v>
      </c>
      <c r="B26" s="396" t="s">
        <v>861</v>
      </c>
      <c r="C26" s="384"/>
      <c r="D26" s="396" t="s">
        <v>862</v>
      </c>
      <c r="E26" s="384"/>
      <c r="F26" s="396" t="s">
        <v>863</v>
      </c>
      <c r="G26" s="373"/>
      <c r="H26" s="384"/>
      <c r="I26" s="396" t="s">
        <v>864</v>
      </c>
      <c r="J26" s="384"/>
      <c r="K26" s="396" t="s">
        <v>865</v>
      </c>
      <c r="L26" s="384"/>
      <c r="M26" s="396" t="s">
        <v>866</v>
      </c>
      <c r="N26" s="384"/>
      <c r="O26" s="396" t="s">
        <v>867</v>
      </c>
      <c r="P26" s="373"/>
      <c r="Q26" s="373"/>
      <c r="R26" s="374"/>
      <c r="S26" s="2"/>
      <c r="T26" s="2"/>
      <c r="U26" s="2"/>
      <c r="V26" s="2"/>
      <c r="W26" s="2"/>
      <c r="X26" s="2"/>
      <c r="Y26" s="2"/>
      <c r="Z26" s="2"/>
    </row>
    <row r="27">
      <c r="A27" s="395">
        <v>10.0</v>
      </c>
      <c r="B27" s="396" t="s">
        <v>868</v>
      </c>
      <c r="C27" s="384"/>
      <c r="D27" s="396" t="s">
        <v>869</v>
      </c>
      <c r="E27" s="384"/>
      <c r="F27" s="396" t="s">
        <v>870</v>
      </c>
      <c r="G27" s="373"/>
      <c r="H27" s="384"/>
      <c r="I27" s="396" t="s">
        <v>871</v>
      </c>
      <c r="J27" s="384"/>
      <c r="K27" s="396" t="s">
        <v>872</v>
      </c>
      <c r="L27" s="384"/>
      <c r="M27" s="396" t="s">
        <v>873</v>
      </c>
      <c r="N27" s="384"/>
      <c r="O27" s="396" t="s">
        <v>874</v>
      </c>
      <c r="P27" s="373"/>
      <c r="Q27" s="373"/>
      <c r="R27" s="374"/>
      <c r="S27" s="2"/>
      <c r="T27" s="2"/>
      <c r="U27" s="2"/>
      <c r="V27" s="2"/>
      <c r="W27" s="2"/>
      <c r="X27" s="2"/>
      <c r="Y27" s="2"/>
      <c r="Z27" s="2"/>
    </row>
    <row r="28" ht="42.0" customHeight="1">
      <c r="A28" s="395">
        <v>11.0</v>
      </c>
      <c r="B28" s="396" t="s">
        <v>875</v>
      </c>
      <c r="C28" s="384"/>
      <c r="D28" s="396" t="s">
        <v>876</v>
      </c>
      <c r="E28" s="384"/>
      <c r="F28" s="396" t="s">
        <v>877</v>
      </c>
      <c r="G28" s="373"/>
      <c r="H28" s="384"/>
      <c r="I28" s="396" t="s">
        <v>878</v>
      </c>
      <c r="J28" s="384"/>
      <c r="K28" s="396" t="s">
        <v>879</v>
      </c>
      <c r="L28" s="384"/>
      <c r="M28" s="396" t="s">
        <v>880</v>
      </c>
      <c r="N28" s="384"/>
      <c r="O28" s="396" t="s">
        <v>881</v>
      </c>
      <c r="P28" s="373"/>
      <c r="Q28" s="373"/>
      <c r="R28" s="374"/>
      <c r="S28" s="2"/>
      <c r="T28" s="2"/>
      <c r="U28" s="2"/>
      <c r="V28" s="2"/>
      <c r="W28" s="2"/>
      <c r="X28" s="2"/>
      <c r="Y28" s="2"/>
      <c r="Z28" s="2"/>
    </row>
    <row r="29" ht="46.5" customHeight="1">
      <c r="A29" s="397">
        <v>12.0</v>
      </c>
      <c r="B29" s="398" t="s">
        <v>882</v>
      </c>
      <c r="C29" s="399"/>
      <c r="D29" s="398" t="s">
        <v>883</v>
      </c>
      <c r="E29" s="399"/>
      <c r="F29" s="398" t="s">
        <v>884</v>
      </c>
      <c r="G29" s="349"/>
      <c r="H29" s="399"/>
      <c r="I29" s="398" t="s">
        <v>546</v>
      </c>
      <c r="J29" s="399"/>
      <c r="K29" s="398" t="s">
        <v>885</v>
      </c>
      <c r="L29" s="399"/>
      <c r="M29" s="398" t="s">
        <v>886</v>
      </c>
      <c r="N29" s="399"/>
      <c r="O29" s="398" t="s">
        <v>887</v>
      </c>
      <c r="P29" s="349"/>
      <c r="Q29" s="349"/>
      <c r="R29" s="350"/>
      <c r="S29" s="2"/>
      <c r="T29" s="2"/>
      <c r="U29" s="2"/>
      <c r="V29" s="2"/>
      <c r="W29" s="2"/>
      <c r="X29" s="2"/>
      <c r="Y29" s="2"/>
      <c r="Z29" s="2"/>
    </row>
    <row r="30">
      <c r="A30" s="19"/>
      <c r="B30" s="99"/>
      <c r="C30" s="97"/>
      <c r="D30" s="97"/>
      <c r="E30" s="97"/>
      <c r="F30" s="97"/>
      <c r="G30" s="97"/>
      <c r="H30" s="97"/>
      <c r="I30" s="97"/>
      <c r="J30" s="97"/>
      <c r="K30" s="19"/>
      <c r="L30" s="19"/>
      <c r="M30" s="1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93"/>
      <c r="Q31" s="19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7" t="s">
        <v>95</v>
      </c>
      <c r="Q32" s="8"/>
      <c r="R32" s="9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94" t="s">
        <v>15</v>
      </c>
      <c r="Q33" s="95"/>
      <c r="R33" s="96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114">
    <mergeCell ref="B19:C19"/>
    <mergeCell ref="D19:E19"/>
    <mergeCell ref="F19:H19"/>
    <mergeCell ref="I19:J19"/>
    <mergeCell ref="K19:L19"/>
    <mergeCell ref="M19:N19"/>
    <mergeCell ref="O19:R19"/>
    <mergeCell ref="B20:C20"/>
    <mergeCell ref="D20:E20"/>
    <mergeCell ref="F20:H20"/>
    <mergeCell ref="I20:J20"/>
    <mergeCell ref="K20:L20"/>
    <mergeCell ref="M20:N20"/>
    <mergeCell ref="O20:R20"/>
    <mergeCell ref="B21:C21"/>
    <mergeCell ref="D21:E21"/>
    <mergeCell ref="F21:H21"/>
    <mergeCell ref="I21:J21"/>
    <mergeCell ref="K21:L21"/>
    <mergeCell ref="M21:N21"/>
    <mergeCell ref="O21:R21"/>
    <mergeCell ref="B22:C22"/>
    <mergeCell ref="D22:E22"/>
    <mergeCell ref="F22:H22"/>
    <mergeCell ref="I22:J22"/>
    <mergeCell ref="K22:L22"/>
    <mergeCell ref="M22:N22"/>
    <mergeCell ref="O22:R22"/>
    <mergeCell ref="B23:C23"/>
    <mergeCell ref="D23:E23"/>
    <mergeCell ref="F23:H23"/>
    <mergeCell ref="I23:J23"/>
    <mergeCell ref="K23:L23"/>
    <mergeCell ref="M23:N23"/>
    <mergeCell ref="O23:R23"/>
    <mergeCell ref="B24:C24"/>
    <mergeCell ref="D24:E24"/>
    <mergeCell ref="F24:H24"/>
    <mergeCell ref="I24:J24"/>
    <mergeCell ref="K24:L24"/>
    <mergeCell ref="M24:N24"/>
    <mergeCell ref="O24:R24"/>
    <mergeCell ref="B25:C25"/>
    <mergeCell ref="D25:E25"/>
    <mergeCell ref="F25:H25"/>
    <mergeCell ref="I25:J25"/>
    <mergeCell ref="K25:L25"/>
    <mergeCell ref="M25:N25"/>
    <mergeCell ref="O25:R25"/>
    <mergeCell ref="B26:C26"/>
    <mergeCell ref="D26:E26"/>
    <mergeCell ref="F26:H26"/>
    <mergeCell ref="I26:J26"/>
    <mergeCell ref="K26:L26"/>
    <mergeCell ref="M26:N26"/>
    <mergeCell ref="O26:R26"/>
    <mergeCell ref="B27:C27"/>
    <mergeCell ref="D27:E27"/>
    <mergeCell ref="F27:H27"/>
    <mergeCell ref="I27:J27"/>
    <mergeCell ref="K27:L27"/>
    <mergeCell ref="M27:N27"/>
    <mergeCell ref="O27:R27"/>
    <mergeCell ref="B28:C28"/>
    <mergeCell ref="D28:E28"/>
    <mergeCell ref="F28:H28"/>
    <mergeCell ref="I28:J28"/>
    <mergeCell ref="K28:L28"/>
    <mergeCell ref="M28:N28"/>
    <mergeCell ref="O28:R28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K16:L17"/>
    <mergeCell ref="M16:N17"/>
    <mergeCell ref="P11:Q11"/>
    <mergeCell ref="A14:R15"/>
    <mergeCell ref="O16:R17"/>
    <mergeCell ref="B7:D7"/>
    <mergeCell ref="F7:H7"/>
    <mergeCell ref="K7:M7"/>
    <mergeCell ref="O7:Q7"/>
    <mergeCell ref="F8:H10"/>
    <mergeCell ref="O8:Q10"/>
    <mergeCell ref="G11:H11"/>
    <mergeCell ref="B8:D10"/>
    <mergeCell ref="C11:D11"/>
    <mergeCell ref="A16:A17"/>
    <mergeCell ref="B16:C17"/>
    <mergeCell ref="D16:E17"/>
    <mergeCell ref="F16:H17"/>
    <mergeCell ref="I16:J17"/>
    <mergeCell ref="B18:C18"/>
    <mergeCell ref="D18:E18"/>
    <mergeCell ref="F18:H18"/>
    <mergeCell ref="I18:J18"/>
    <mergeCell ref="K18:L18"/>
    <mergeCell ref="M18:N18"/>
    <mergeCell ref="O18:R18"/>
    <mergeCell ref="P32:R32"/>
    <mergeCell ref="P33:R33"/>
    <mergeCell ref="B29:C29"/>
    <mergeCell ref="D29:E29"/>
    <mergeCell ref="F29:H29"/>
    <mergeCell ref="I29:J29"/>
    <mergeCell ref="K29:L29"/>
    <mergeCell ref="M29:N29"/>
    <mergeCell ref="O29:R29"/>
  </mergeCells>
  <hyperlinks>
    <hyperlink display="Открыть →" location="'Мой склад - Документы'!A1" ref="C11"/>
    <hyperlink display="Открыть →" location="'Из наличия'!A1" ref="G11"/>
    <hyperlink display="Открыть →" location="'Предзаказ'!A1" ref="L11"/>
    <hyperlink display="Открыть →" location="'Доставка  самовывоз'!A1" ref="P11"/>
    <hyperlink display="Открыть →" location="'Главная'!A1" ref="P33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888</v>
      </c>
      <c r="S1" s="2"/>
      <c r="T1" s="2"/>
      <c r="U1" s="2"/>
      <c r="V1" s="2"/>
      <c r="W1" s="2"/>
      <c r="X1" s="2"/>
      <c r="Y1" s="2"/>
      <c r="Z1" s="2"/>
    </row>
    <row r="2">
      <c r="A2" s="3" t="s">
        <v>889</v>
      </c>
      <c r="S2" s="2"/>
      <c r="T2" s="2"/>
      <c r="U2" s="2"/>
      <c r="V2" s="2"/>
      <c r="W2" s="2"/>
      <c r="X2" s="2"/>
      <c r="Y2" s="2"/>
      <c r="Z2" s="2"/>
    </row>
    <row r="3">
      <c r="A3" s="59" t="s">
        <v>2</v>
      </c>
      <c r="E3" s="59" t="s">
        <v>3</v>
      </c>
      <c r="I3" s="59" t="s">
        <v>65</v>
      </c>
      <c r="N3" s="59" t="s">
        <v>66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9"/>
      <c r="B7" s="283" t="s">
        <v>16</v>
      </c>
      <c r="C7" s="8"/>
      <c r="D7" s="9"/>
      <c r="E7" s="149"/>
      <c r="F7" s="283" t="s">
        <v>8</v>
      </c>
      <c r="G7" s="8"/>
      <c r="H7" s="9"/>
      <c r="I7" s="149"/>
      <c r="J7" s="149"/>
      <c r="K7" s="283" t="s">
        <v>9</v>
      </c>
      <c r="L7" s="8"/>
      <c r="M7" s="9"/>
      <c r="N7" s="149"/>
      <c r="O7" s="283" t="s">
        <v>10</v>
      </c>
      <c r="P7" s="8"/>
      <c r="Q7" s="9"/>
      <c r="R7" s="149"/>
      <c r="S7" s="149"/>
      <c r="T7" s="149"/>
      <c r="U7" s="149"/>
      <c r="V7" s="149"/>
      <c r="W7" s="2"/>
      <c r="X7" s="2"/>
      <c r="Y7" s="2"/>
      <c r="Z7" s="2"/>
    </row>
    <row r="8">
      <c r="A8" s="149"/>
      <c r="B8" s="284" t="s">
        <v>20</v>
      </c>
      <c r="D8" s="11"/>
      <c r="E8" s="149"/>
      <c r="F8" s="284" t="s">
        <v>12</v>
      </c>
      <c r="H8" s="11"/>
      <c r="I8" s="149"/>
      <c r="J8" s="149"/>
      <c r="K8" s="284" t="s">
        <v>13</v>
      </c>
      <c r="M8" s="11"/>
      <c r="N8" s="149"/>
      <c r="O8" s="284" t="s">
        <v>14</v>
      </c>
      <c r="Q8" s="11"/>
      <c r="R8" s="149"/>
      <c r="S8" s="149"/>
      <c r="T8" s="149"/>
      <c r="U8" s="149"/>
      <c r="V8" s="149"/>
      <c r="W8" s="2"/>
      <c r="X8" s="2"/>
      <c r="Y8" s="2"/>
      <c r="Z8" s="2"/>
    </row>
    <row r="9">
      <c r="A9" s="149"/>
      <c r="B9" s="12"/>
      <c r="D9" s="11"/>
      <c r="E9" s="149"/>
      <c r="F9" s="12"/>
      <c r="H9" s="11"/>
      <c r="I9" s="149"/>
      <c r="J9" s="149"/>
      <c r="K9" s="12"/>
      <c r="M9" s="11"/>
      <c r="N9" s="149"/>
      <c r="O9" s="12"/>
      <c r="Q9" s="11"/>
      <c r="R9" s="149"/>
      <c r="S9" s="149"/>
      <c r="T9" s="149"/>
      <c r="U9" s="149"/>
      <c r="V9" s="149"/>
      <c r="W9" s="2"/>
      <c r="X9" s="2"/>
      <c r="Y9" s="2"/>
      <c r="Z9" s="2"/>
    </row>
    <row r="10">
      <c r="A10" s="149"/>
      <c r="B10" s="13"/>
      <c r="C10" s="14"/>
      <c r="D10" s="15"/>
      <c r="E10" s="149"/>
      <c r="F10" s="13"/>
      <c r="G10" s="14"/>
      <c r="H10" s="15"/>
      <c r="I10" s="149"/>
      <c r="J10" s="149"/>
      <c r="K10" s="13"/>
      <c r="L10" s="14"/>
      <c r="M10" s="15"/>
      <c r="N10" s="149"/>
      <c r="O10" s="13"/>
      <c r="P10" s="14"/>
      <c r="Q10" s="15"/>
      <c r="R10" s="149"/>
      <c r="S10" s="149"/>
      <c r="T10" s="149"/>
      <c r="U10" s="149"/>
      <c r="V10" s="149"/>
      <c r="W10" s="2"/>
      <c r="X10" s="2"/>
      <c r="Y10" s="2"/>
      <c r="Z10" s="2"/>
    </row>
    <row r="11">
      <c r="A11" s="149"/>
      <c r="B11" s="377"/>
      <c r="C11" s="286" t="s">
        <v>15</v>
      </c>
      <c r="D11" s="18"/>
      <c r="E11" s="149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149"/>
      <c r="O11" s="149"/>
      <c r="P11" s="286" t="s">
        <v>15</v>
      </c>
      <c r="Q11" s="18"/>
      <c r="R11" s="149"/>
      <c r="S11" s="149"/>
      <c r="T11" s="149"/>
      <c r="U11" s="149"/>
      <c r="V11" s="149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00" t="s">
        <v>664</v>
      </c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2"/>
      <c r="S14" s="2"/>
      <c r="T14" s="2"/>
      <c r="U14" s="2"/>
      <c r="V14" s="2"/>
      <c r="W14" s="2"/>
      <c r="X14" s="2"/>
      <c r="Y14" s="2"/>
      <c r="Z14" s="2"/>
    </row>
    <row r="15">
      <c r="A15" s="403"/>
      <c r="B15" s="404"/>
      <c r="C15" s="404"/>
      <c r="D15" s="404"/>
      <c r="E15" s="404"/>
      <c r="F15" s="404"/>
      <c r="G15" s="404"/>
      <c r="H15" s="404"/>
      <c r="I15" s="404"/>
      <c r="J15" s="404"/>
      <c r="K15" s="404"/>
      <c r="L15" s="404"/>
      <c r="M15" s="404"/>
      <c r="N15" s="404"/>
      <c r="O15" s="404"/>
      <c r="P15" s="404"/>
      <c r="Q15" s="404"/>
      <c r="R15" s="405"/>
      <c r="S15" s="2"/>
      <c r="T15" s="2"/>
      <c r="U15" s="2"/>
      <c r="V15" s="2"/>
      <c r="W15" s="2"/>
      <c r="X15" s="2"/>
      <c r="Y15" s="2"/>
      <c r="Z15" s="2"/>
    </row>
    <row r="16">
      <c r="A16" s="406" t="s">
        <v>533</v>
      </c>
      <c r="B16" s="407" t="s">
        <v>534</v>
      </c>
      <c r="C16" s="408"/>
      <c r="D16" s="407" t="s">
        <v>536</v>
      </c>
      <c r="E16" s="408"/>
      <c r="F16" s="407" t="s">
        <v>890</v>
      </c>
      <c r="G16" s="401"/>
      <c r="H16" s="408"/>
      <c r="I16" s="407" t="s">
        <v>805</v>
      </c>
      <c r="J16" s="408"/>
      <c r="K16" s="407" t="s">
        <v>538</v>
      </c>
      <c r="L16" s="408"/>
      <c r="M16" s="407" t="s">
        <v>71</v>
      </c>
      <c r="N16" s="408"/>
      <c r="O16" s="407" t="s">
        <v>806</v>
      </c>
      <c r="P16" s="401"/>
      <c r="Q16" s="401"/>
      <c r="R16" s="402"/>
      <c r="S16" s="2"/>
      <c r="T16" s="2"/>
      <c r="U16" s="2"/>
      <c r="V16" s="2"/>
      <c r="W16" s="2"/>
      <c r="X16" s="2"/>
      <c r="Y16" s="2"/>
      <c r="Z16" s="2"/>
    </row>
    <row r="17">
      <c r="A17" s="409"/>
      <c r="B17" s="410"/>
      <c r="C17" s="411"/>
      <c r="D17" s="410"/>
      <c r="E17" s="411"/>
      <c r="F17" s="410"/>
      <c r="G17" s="412"/>
      <c r="H17" s="411"/>
      <c r="I17" s="410"/>
      <c r="J17" s="411"/>
      <c r="K17" s="410"/>
      <c r="L17" s="411"/>
      <c r="M17" s="410"/>
      <c r="N17" s="411"/>
      <c r="O17" s="410"/>
      <c r="P17" s="412"/>
      <c r="Q17" s="412"/>
      <c r="R17" s="413"/>
      <c r="S17" s="2"/>
      <c r="T17" s="2"/>
      <c r="U17" s="2"/>
      <c r="V17" s="2"/>
      <c r="W17" s="2"/>
      <c r="X17" s="2"/>
      <c r="Y17" s="2"/>
      <c r="Z17" s="2"/>
    </row>
    <row r="18" ht="45.0" customHeight="1">
      <c r="A18" s="414">
        <v>1.0</v>
      </c>
      <c r="B18" s="415" t="s">
        <v>891</v>
      </c>
      <c r="C18" s="416"/>
      <c r="D18" s="415" t="s">
        <v>892</v>
      </c>
      <c r="E18" s="416"/>
      <c r="F18" s="415" t="s">
        <v>893</v>
      </c>
      <c r="G18" s="404"/>
      <c r="H18" s="416"/>
      <c r="I18" s="415" t="s">
        <v>894</v>
      </c>
      <c r="J18" s="416"/>
      <c r="K18" s="415" t="s">
        <v>895</v>
      </c>
      <c r="L18" s="416"/>
      <c r="M18" s="415" t="s">
        <v>880</v>
      </c>
      <c r="N18" s="416"/>
      <c r="O18" s="415" t="s">
        <v>896</v>
      </c>
      <c r="P18" s="404"/>
      <c r="Q18" s="404"/>
      <c r="R18" s="405"/>
      <c r="S18" s="2"/>
      <c r="T18" s="2"/>
      <c r="U18" s="2"/>
      <c r="V18" s="2"/>
      <c r="W18" s="2"/>
      <c r="X18" s="2"/>
      <c r="Y18" s="2"/>
      <c r="Z18" s="2"/>
    </row>
    <row r="19">
      <c r="A19" s="417">
        <v>2.0</v>
      </c>
      <c r="B19" s="396" t="s">
        <v>897</v>
      </c>
      <c r="C19" s="384"/>
      <c r="D19" s="396" t="s">
        <v>898</v>
      </c>
      <c r="E19" s="384"/>
      <c r="F19" s="396" t="s">
        <v>899</v>
      </c>
      <c r="G19" s="373"/>
      <c r="H19" s="384"/>
      <c r="I19" s="396" t="s">
        <v>878</v>
      </c>
      <c r="J19" s="384"/>
      <c r="K19" s="396" t="s">
        <v>900</v>
      </c>
      <c r="L19" s="384"/>
      <c r="M19" s="396" t="s">
        <v>901</v>
      </c>
      <c r="N19" s="384"/>
      <c r="O19" s="396" t="s">
        <v>902</v>
      </c>
      <c r="P19" s="373"/>
      <c r="Q19" s="373"/>
      <c r="R19" s="418"/>
      <c r="S19" s="2"/>
      <c r="T19" s="2"/>
      <c r="U19" s="2"/>
      <c r="V19" s="2"/>
      <c r="W19" s="2"/>
      <c r="X19" s="2"/>
      <c r="Y19" s="2"/>
      <c r="Z19" s="2"/>
    </row>
    <row r="20" ht="46.5" customHeight="1">
      <c r="A20" s="417">
        <v>4.0</v>
      </c>
      <c r="B20" s="396" t="s">
        <v>903</v>
      </c>
      <c r="C20" s="384"/>
      <c r="D20" s="396" t="s">
        <v>904</v>
      </c>
      <c r="E20" s="384"/>
      <c r="F20" s="396" t="s">
        <v>905</v>
      </c>
      <c r="G20" s="373"/>
      <c r="H20" s="384"/>
      <c r="I20" s="396" t="s">
        <v>906</v>
      </c>
      <c r="J20" s="384"/>
      <c r="K20" s="396" t="s">
        <v>907</v>
      </c>
      <c r="L20" s="384"/>
      <c r="M20" s="396" t="s">
        <v>908</v>
      </c>
      <c r="N20" s="384"/>
      <c r="O20" s="396" t="s">
        <v>909</v>
      </c>
      <c r="P20" s="373"/>
      <c r="Q20" s="373"/>
      <c r="R20" s="418"/>
      <c r="S20" s="2"/>
      <c r="T20" s="2"/>
      <c r="U20" s="2"/>
      <c r="V20" s="2"/>
      <c r="W20" s="2"/>
      <c r="X20" s="2"/>
      <c r="Y20" s="2"/>
      <c r="Z20" s="2"/>
    </row>
    <row r="21" ht="45.0" customHeight="1">
      <c r="A21" s="417">
        <v>5.0</v>
      </c>
      <c r="B21" s="396" t="s">
        <v>910</v>
      </c>
      <c r="C21" s="384"/>
      <c r="D21" s="396" t="s">
        <v>911</v>
      </c>
      <c r="E21" s="384"/>
      <c r="F21" s="396" t="s">
        <v>912</v>
      </c>
      <c r="G21" s="373"/>
      <c r="H21" s="384"/>
      <c r="I21" s="396" t="s">
        <v>878</v>
      </c>
      <c r="J21" s="384"/>
      <c r="K21" s="396" t="s">
        <v>913</v>
      </c>
      <c r="L21" s="384"/>
      <c r="M21" s="396" t="s">
        <v>914</v>
      </c>
      <c r="N21" s="384"/>
      <c r="O21" s="396" t="s">
        <v>915</v>
      </c>
      <c r="P21" s="373"/>
      <c r="Q21" s="373"/>
      <c r="R21" s="418"/>
      <c r="S21" s="2"/>
      <c r="T21" s="2"/>
      <c r="U21" s="2"/>
      <c r="V21" s="2"/>
      <c r="W21" s="2"/>
      <c r="X21" s="2"/>
      <c r="Y21" s="2"/>
      <c r="Z21" s="2"/>
    </row>
    <row r="22">
      <c r="A22" s="417">
        <v>6.0</v>
      </c>
      <c r="B22" s="396" t="s">
        <v>916</v>
      </c>
      <c r="C22" s="384"/>
      <c r="D22" s="396" t="s">
        <v>917</v>
      </c>
      <c r="E22" s="384"/>
      <c r="F22" s="396" t="s">
        <v>918</v>
      </c>
      <c r="G22" s="373"/>
      <c r="H22" s="384"/>
      <c r="I22" s="396" t="s">
        <v>894</v>
      </c>
      <c r="J22" s="384"/>
      <c r="K22" s="396" t="s">
        <v>872</v>
      </c>
      <c r="L22" s="384"/>
      <c r="M22" s="396" t="s">
        <v>919</v>
      </c>
      <c r="N22" s="384"/>
      <c r="O22" s="396" t="s">
        <v>920</v>
      </c>
      <c r="P22" s="373"/>
      <c r="Q22" s="373"/>
      <c r="R22" s="418"/>
      <c r="S22" s="2"/>
      <c r="T22" s="2"/>
      <c r="U22" s="2"/>
      <c r="V22" s="2"/>
      <c r="W22" s="2"/>
      <c r="X22" s="2"/>
      <c r="Y22" s="2"/>
      <c r="Z22" s="2"/>
    </row>
    <row r="23" ht="46.5" customHeight="1">
      <c r="A23" s="417">
        <v>8.0</v>
      </c>
      <c r="B23" s="396" t="s">
        <v>921</v>
      </c>
      <c r="C23" s="384"/>
      <c r="D23" s="396" t="s">
        <v>922</v>
      </c>
      <c r="E23" s="384"/>
      <c r="F23" s="396" t="s">
        <v>923</v>
      </c>
      <c r="G23" s="373"/>
      <c r="H23" s="384"/>
      <c r="I23" s="396" t="s">
        <v>906</v>
      </c>
      <c r="J23" s="384"/>
      <c r="K23" s="396" t="s">
        <v>924</v>
      </c>
      <c r="L23" s="384"/>
      <c r="M23" s="396" t="s">
        <v>925</v>
      </c>
      <c r="N23" s="384"/>
      <c r="O23" s="396" t="s">
        <v>926</v>
      </c>
      <c r="P23" s="373"/>
      <c r="Q23" s="373"/>
      <c r="R23" s="418"/>
      <c r="S23" s="2"/>
      <c r="T23" s="2"/>
      <c r="U23" s="2"/>
      <c r="V23" s="2"/>
      <c r="W23" s="2"/>
      <c r="X23" s="2"/>
      <c r="Y23" s="2"/>
      <c r="Z23" s="2"/>
    </row>
    <row r="24" ht="65.25" customHeight="1">
      <c r="A24" s="417">
        <v>9.0</v>
      </c>
      <c r="B24" s="396" t="s">
        <v>927</v>
      </c>
      <c r="C24" s="384"/>
      <c r="D24" s="396" t="s">
        <v>928</v>
      </c>
      <c r="E24" s="384"/>
      <c r="F24" s="396" t="s">
        <v>929</v>
      </c>
      <c r="G24" s="373"/>
      <c r="H24" s="384"/>
      <c r="I24" s="396" t="s">
        <v>878</v>
      </c>
      <c r="J24" s="384"/>
      <c r="K24" s="396" t="s">
        <v>930</v>
      </c>
      <c r="L24" s="384"/>
      <c r="M24" s="396" t="s">
        <v>931</v>
      </c>
      <c r="N24" s="384"/>
      <c r="O24" s="396" t="s">
        <v>932</v>
      </c>
      <c r="P24" s="373"/>
      <c r="Q24" s="373"/>
      <c r="R24" s="418"/>
      <c r="S24" s="2"/>
      <c r="T24" s="2"/>
      <c r="U24" s="2"/>
      <c r="V24" s="2"/>
      <c r="W24" s="2"/>
      <c r="X24" s="2"/>
      <c r="Y24" s="2"/>
      <c r="Z24" s="2"/>
    </row>
    <row r="25">
      <c r="A25" s="417">
        <v>10.0</v>
      </c>
      <c r="B25" s="396" t="s">
        <v>933</v>
      </c>
      <c r="C25" s="384"/>
      <c r="D25" s="396" t="s">
        <v>934</v>
      </c>
      <c r="E25" s="384"/>
      <c r="F25" s="396" t="s">
        <v>935</v>
      </c>
      <c r="G25" s="373"/>
      <c r="H25" s="384"/>
      <c r="I25" s="396" t="s">
        <v>906</v>
      </c>
      <c r="J25" s="384"/>
      <c r="K25" s="396" t="s">
        <v>936</v>
      </c>
      <c r="L25" s="384"/>
      <c r="M25" s="396" t="s">
        <v>937</v>
      </c>
      <c r="N25" s="384"/>
      <c r="O25" s="396" t="s">
        <v>938</v>
      </c>
      <c r="P25" s="373"/>
      <c r="Q25" s="373"/>
      <c r="R25" s="418"/>
      <c r="S25" s="2"/>
      <c r="T25" s="2"/>
      <c r="U25" s="2"/>
      <c r="V25" s="2"/>
      <c r="W25" s="2"/>
      <c r="X25" s="2"/>
      <c r="Y25" s="2"/>
      <c r="Z25" s="2"/>
    </row>
    <row r="26" ht="42.0" customHeight="1">
      <c r="A26" s="417">
        <v>11.0</v>
      </c>
      <c r="B26" s="396" t="s">
        <v>649</v>
      </c>
      <c r="C26" s="384"/>
      <c r="D26" s="396" t="s">
        <v>939</v>
      </c>
      <c r="E26" s="384"/>
      <c r="F26" s="396" t="s">
        <v>940</v>
      </c>
      <c r="G26" s="373"/>
      <c r="H26" s="384"/>
      <c r="I26" s="396" t="s">
        <v>878</v>
      </c>
      <c r="J26" s="384"/>
      <c r="K26" s="396" t="s">
        <v>941</v>
      </c>
      <c r="L26" s="384"/>
      <c r="M26" s="396" t="s">
        <v>942</v>
      </c>
      <c r="N26" s="384"/>
      <c r="O26" s="396" t="s">
        <v>943</v>
      </c>
      <c r="P26" s="373"/>
      <c r="Q26" s="373"/>
      <c r="R26" s="418"/>
      <c r="S26" s="2"/>
      <c r="T26" s="2"/>
      <c r="U26" s="2"/>
      <c r="V26" s="2"/>
      <c r="W26" s="2"/>
      <c r="X26" s="2"/>
      <c r="Y26" s="2"/>
      <c r="Z26" s="2"/>
    </row>
    <row r="27" ht="91.5" customHeight="1">
      <c r="A27" s="417">
        <v>12.0</v>
      </c>
      <c r="B27" s="396" t="s">
        <v>944</v>
      </c>
      <c r="C27" s="384"/>
      <c r="D27" s="396" t="s">
        <v>945</v>
      </c>
      <c r="E27" s="384"/>
      <c r="F27" s="396" t="s">
        <v>946</v>
      </c>
      <c r="G27" s="373"/>
      <c r="H27" s="384"/>
      <c r="I27" s="396" t="s">
        <v>894</v>
      </c>
      <c r="J27" s="384"/>
      <c r="K27" s="396" t="s">
        <v>947</v>
      </c>
      <c r="L27" s="384"/>
      <c r="M27" s="396" t="s">
        <v>948</v>
      </c>
      <c r="N27" s="384"/>
      <c r="O27" s="396" t="s">
        <v>949</v>
      </c>
      <c r="P27" s="373"/>
      <c r="Q27" s="373"/>
      <c r="R27" s="418"/>
      <c r="S27" s="2"/>
      <c r="T27" s="2"/>
      <c r="U27" s="2"/>
      <c r="V27" s="2"/>
      <c r="W27" s="2"/>
      <c r="X27" s="2"/>
      <c r="Y27" s="2"/>
      <c r="Z27" s="2"/>
    </row>
    <row r="28">
      <c r="A28" s="417">
        <v>13.0</v>
      </c>
      <c r="B28" s="396" t="s">
        <v>950</v>
      </c>
      <c r="C28" s="384"/>
      <c r="D28" s="396" t="s">
        <v>951</v>
      </c>
      <c r="E28" s="384"/>
      <c r="F28" s="396" t="s">
        <v>952</v>
      </c>
      <c r="G28" s="373"/>
      <c r="H28" s="384"/>
      <c r="I28" s="396" t="s">
        <v>591</v>
      </c>
      <c r="J28" s="384"/>
      <c r="K28" s="396" t="s">
        <v>734</v>
      </c>
      <c r="L28" s="384"/>
      <c r="M28" s="396" t="s">
        <v>953</v>
      </c>
      <c r="N28" s="384"/>
      <c r="O28" s="396" t="s">
        <v>954</v>
      </c>
      <c r="P28" s="373"/>
      <c r="Q28" s="373"/>
      <c r="R28" s="418"/>
      <c r="S28" s="2"/>
      <c r="T28" s="2"/>
      <c r="U28" s="2"/>
      <c r="V28" s="2"/>
      <c r="W28" s="2"/>
      <c r="X28" s="2"/>
      <c r="Y28" s="2"/>
      <c r="Z28" s="2"/>
    </row>
    <row r="29" ht="42.0" customHeight="1">
      <c r="A29" s="417">
        <v>14.0</v>
      </c>
      <c r="B29" s="396" t="s">
        <v>955</v>
      </c>
      <c r="C29" s="384"/>
      <c r="D29" s="396" t="s">
        <v>956</v>
      </c>
      <c r="E29" s="384"/>
      <c r="F29" s="396" t="s">
        <v>957</v>
      </c>
      <c r="G29" s="373"/>
      <c r="H29" s="384"/>
      <c r="I29" s="396" t="s">
        <v>546</v>
      </c>
      <c r="J29" s="384"/>
      <c r="K29" s="396" t="s">
        <v>958</v>
      </c>
      <c r="L29" s="384"/>
      <c r="M29" s="396" t="s">
        <v>606</v>
      </c>
      <c r="N29" s="384"/>
      <c r="O29" s="396" t="s">
        <v>959</v>
      </c>
      <c r="P29" s="373"/>
      <c r="Q29" s="373"/>
      <c r="R29" s="418"/>
      <c r="S29" s="2"/>
      <c r="T29" s="2"/>
      <c r="U29" s="2"/>
      <c r="V29" s="2"/>
      <c r="W29" s="2"/>
      <c r="X29" s="2"/>
      <c r="Y29" s="2"/>
      <c r="Z29" s="2"/>
    </row>
    <row r="30" ht="46.5" customHeight="1">
      <c r="A30" s="419">
        <v>15.0</v>
      </c>
      <c r="B30" s="420" t="s">
        <v>960</v>
      </c>
      <c r="C30" s="421"/>
      <c r="D30" s="420" t="s">
        <v>961</v>
      </c>
      <c r="E30" s="421"/>
      <c r="F30" s="420" t="s">
        <v>962</v>
      </c>
      <c r="G30" s="422"/>
      <c r="H30" s="421"/>
      <c r="I30" s="420" t="s">
        <v>963</v>
      </c>
      <c r="J30" s="421"/>
      <c r="K30" s="420" t="s">
        <v>964</v>
      </c>
      <c r="L30" s="421"/>
      <c r="M30" s="420" t="s">
        <v>965</v>
      </c>
      <c r="N30" s="421"/>
      <c r="O30" s="420" t="s">
        <v>753</v>
      </c>
      <c r="P30" s="422"/>
      <c r="Q30" s="422"/>
      <c r="R30" s="423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7" t="s">
        <v>95</v>
      </c>
      <c r="Q34" s="8"/>
      <c r="R34" s="9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94" t="s">
        <v>15</v>
      </c>
      <c r="Q35" s="95"/>
      <c r="R35" s="96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121">
    <mergeCell ref="B19:C19"/>
    <mergeCell ref="D19:E19"/>
    <mergeCell ref="F19:H19"/>
    <mergeCell ref="I19:J19"/>
    <mergeCell ref="K19:L19"/>
    <mergeCell ref="M19:N19"/>
    <mergeCell ref="O19:R19"/>
    <mergeCell ref="B20:C20"/>
    <mergeCell ref="D20:E20"/>
    <mergeCell ref="F20:H20"/>
    <mergeCell ref="I20:J20"/>
    <mergeCell ref="K20:L20"/>
    <mergeCell ref="M20:N20"/>
    <mergeCell ref="O20:R20"/>
    <mergeCell ref="B21:C21"/>
    <mergeCell ref="D21:E21"/>
    <mergeCell ref="F21:H21"/>
    <mergeCell ref="I21:J21"/>
    <mergeCell ref="K21:L21"/>
    <mergeCell ref="M21:N21"/>
    <mergeCell ref="O21:R21"/>
    <mergeCell ref="B22:C22"/>
    <mergeCell ref="D22:E22"/>
    <mergeCell ref="F22:H22"/>
    <mergeCell ref="I22:J22"/>
    <mergeCell ref="K22:L22"/>
    <mergeCell ref="M22:N22"/>
    <mergeCell ref="O22:R22"/>
    <mergeCell ref="B23:C23"/>
    <mergeCell ref="D23:E23"/>
    <mergeCell ref="F23:H23"/>
    <mergeCell ref="I23:J23"/>
    <mergeCell ref="K23:L23"/>
    <mergeCell ref="M23:N23"/>
    <mergeCell ref="O23:R23"/>
    <mergeCell ref="B24:C24"/>
    <mergeCell ref="D24:E24"/>
    <mergeCell ref="F24:H24"/>
    <mergeCell ref="I24:J24"/>
    <mergeCell ref="K24:L24"/>
    <mergeCell ref="M24:N24"/>
    <mergeCell ref="O24:R24"/>
    <mergeCell ref="B25:C25"/>
    <mergeCell ref="D25:E25"/>
    <mergeCell ref="F25:H25"/>
    <mergeCell ref="I25:J25"/>
    <mergeCell ref="K25:L25"/>
    <mergeCell ref="M25:N25"/>
    <mergeCell ref="O25:R25"/>
    <mergeCell ref="B26:C26"/>
    <mergeCell ref="D26:E26"/>
    <mergeCell ref="F26:H26"/>
    <mergeCell ref="I26:J26"/>
    <mergeCell ref="K26:L26"/>
    <mergeCell ref="M26:N26"/>
    <mergeCell ref="O26:R26"/>
    <mergeCell ref="B27:C27"/>
    <mergeCell ref="D27:E27"/>
    <mergeCell ref="F27:H27"/>
    <mergeCell ref="I27:J27"/>
    <mergeCell ref="K27:L27"/>
    <mergeCell ref="M27:N27"/>
    <mergeCell ref="O27:R27"/>
    <mergeCell ref="B28:C28"/>
    <mergeCell ref="D28:E28"/>
    <mergeCell ref="F28:H28"/>
    <mergeCell ref="I28:J28"/>
    <mergeCell ref="K28:L28"/>
    <mergeCell ref="M28:N28"/>
    <mergeCell ref="O28:R28"/>
    <mergeCell ref="B29:C29"/>
    <mergeCell ref="D29:E29"/>
    <mergeCell ref="F29:H29"/>
    <mergeCell ref="I29:J29"/>
    <mergeCell ref="K29:L29"/>
    <mergeCell ref="M29:N29"/>
    <mergeCell ref="O29:R29"/>
    <mergeCell ref="B30:C30"/>
    <mergeCell ref="D30:E30"/>
    <mergeCell ref="F30:H30"/>
    <mergeCell ref="I30:J30"/>
    <mergeCell ref="K30:L30"/>
    <mergeCell ref="M30:N30"/>
    <mergeCell ref="O30:R30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K16:L17"/>
    <mergeCell ref="M16:N17"/>
    <mergeCell ref="P11:Q11"/>
    <mergeCell ref="A14:R15"/>
    <mergeCell ref="O16:R17"/>
    <mergeCell ref="B7:D7"/>
    <mergeCell ref="F7:H7"/>
    <mergeCell ref="K7:M7"/>
    <mergeCell ref="O7:Q7"/>
    <mergeCell ref="F8:H10"/>
    <mergeCell ref="O8:Q10"/>
    <mergeCell ref="G11:H11"/>
    <mergeCell ref="B8:D10"/>
    <mergeCell ref="C11:D11"/>
    <mergeCell ref="A16:A17"/>
    <mergeCell ref="B16:C17"/>
    <mergeCell ref="D16:E17"/>
    <mergeCell ref="F16:H17"/>
    <mergeCell ref="I16:J17"/>
    <mergeCell ref="B18:C18"/>
    <mergeCell ref="D18:E18"/>
    <mergeCell ref="F18:H18"/>
    <mergeCell ref="I18:J18"/>
    <mergeCell ref="K18:L18"/>
    <mergeCell ref="M18:N18"/>
    <mergeCell ref="O18:R18"/>
    <mergeCell ref="P34:R34"/>
    <mergeCell ref="P35:R35"/>
  </mergeCells>
  <hyperlinks>
    <hyperlink display="Открыть →" location="'Мой склад - Документы'!A1" ref="C11"/>
    <hyperlink display="Открыть →" location="'Из наличия'!A1" ref="G11"/>
    <hyperlink display="Открыть →" location="'Предзаказ'!A1" ref="L11"/>
    <hyperlink display="Открыть →" location="'Доставка  самовывоз'!A1" ref="P11"/>
    <hyperlink display="Открыть →" location="'Главная'!A1" ref="P35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966</v>
      </c>
    </row>
    <row r="2">
      <c r="A2" s="3" t="s">
        <v>967</v>
      </c>
    </row>
    <row r="3">
      <c r="A3" s="59" t="s">
        <v>2</v>
      </c>
      <c r="E3" s="59" t="s">
        <v>3</v>
      </c>
      <c r="I3" s="59" t="s">
        <v>4</v>
      </c>
      <c r="N3" s="59" t="s">
        <v>66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149"/>
      <c r="B7" s="283" t="s">
        <v>7</v>
      </c>
      <c r="C7" s="8"/>
      <c r="D7" s="9"/>
      <c r="E7" s="149"/>
      <c r="F7" s="283" t="s">
        <v>8</v>
      </c>
      <c r="G7" s="8"/>
      <c r="H7" s="9"/>
      <c r="I7" s="149"/>
      <c r="J7" s="149"/>
      <c r="K7" s="283" t="s">
        <v>9</v>
      </c>
      <c r="L7" s="8"/>
      <c r="M7" s="9"/>
      <c r="N7" s="149"/>
      <c r="O7" s="283" t="s">
        <v>10</v>
      </c>
      <c r="P7" s="8"/>
      <c r="Q7" s="9"/>
      <c r="R7" s="149"/>
      <c r="S7" s="149"/>
      <c r="T7" s="149"/>
      <c r="U7" s="149"/>
      <c r="V7" s="149"/>
    </row>
    <row r="8">
      <c r="A8" s="149"/>
      <c r="B8" s="284" t="s">
        <v>11</v>
      </c>
      <c r="D8" s="11"/>
      <c r="E8" s="149"/>
      <c r="F8" s="284" t="s">
        <v>12</v>
      </c>
      <c r="H8" s="11"/>
      <c r="I8" s="149"/>
      <c r="J8" s="149"/>
      <c r="K8" s="284" t="s">
        <v>13</v>
      </c>
      <c r="M8" s="11"/>
      <c r="N8" s="149"/>
      <c r="O8" s="284" t="s">
        <v>14</v>
      </c>
      <c r="Q8" s="11"/>
      <c r="R8" s="149"/>
      <c r="S8" s="149"/>
      <c r="T8" s="149"/>
      <c r="U8" s="149"/>
      <c r="V8" s="149"/>
    </row>
    <row r="9">
      <c r="A9" s="149"/>
      <c r="B9" s="12"/>
      <c r="D9" s="11"/>
      <c r="E9" s="149"/>
      <c r="F9" s="12"/>
      <c r="H9" s="11"/>
      <c r="I9" s="149"/>
      <c r="J9" s="149"/>
      <c r="K9" s="12"/>
      <c r="M9" s="11"/>
      <c r="N9" s="149"/>
      <c r="O9" s="12"/>
      <c r="Q9" s="11"/>
      <c r="R9" s="149"/>
      <c r="S9" s="149"/>
      <c r="T9" s="149"/>
      <c r="U9" s="149"/>
      <c r="V9" s="149"/>
    </row>
    <row r="10">
      <c r="A10" s="149"/>
      <c r="B10" s="13"/>
      <c r="C10" s="14"/>
      <c r="D10" s="15"/>
      <c r="E10" s="149"/>
      <c r="F10" s="13"/>
      <c r="G10" s="14"/>
      <c r="H10" s="15"/>
      <c r="I10" s="149"/>
      <c r="J10" s="149"/>
      <c r="K10" s="13"/>
      <c r="L10" s="14"/>
      <c r="M10" s="15"/>
      <c r="N10" s="149"/>
      <c r="O10" s="13"/>
      <c r="P10" s="14"/>
      <c r="Q10" s="15"/>
      <c r="R10" s="149"/>
      <c r="S10" s="149"/>
      <c r="T10" s="149"/>
      <c r="U10" s="149"/>
      <c r="V10" s="149"/>
    </row>
    <row r="11">
      <c r="A11" s="149"/>
      <c r="B11" s="285"/>
      <c r="C11" s="286" t="s">
        <v>15</v>
      </c>
      <c r="D11" s="18"/>
      <c r="E11" s="149"/>
      <c r="F11" s="149"/>
      <c r="G11" s="286" t="s">
        <v>15</v>
      </c>
      <c r="H11" s="18"/>
      <c r="I11" s="149"/>
      <c r="J11" s="149"/>
      <c r="K11" s="149"/>
      <c r="L11" s="286" t="s">
        <v>15</v>
      </c>
      <c r="M11" s="18"/>
      <c r="N11" s="149"/>
      <c r="O11" s="149"/>
      <c r="P11" s="286" t="s">
        <v>15</v>
      </c>
      <c r="Q11" s="18"/>
      <c r="R11" s="149"/>
      <c r="S11" s="149"/>
      <c r="T11" s="149"/>
      <c r="U11" s="149"/>
      <c r="V11" s="149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4">
      <c r="A14" s="69" t="s">
        <v>968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1"/>
    </row>
    <row r="15">
      <c r="A15" s="72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73"/>
    </row>
    <row r="16">
      <c r="A16" s="424" t="s">
        <v>969</v>
      </c>
      <c r="B16" s="8"/>
      <c r="C16" s="8"/>
      <c r="D16" s="319" t="s">
        <v>536</v>
      </c>
      <c r="E16" s="8"/>
      <c r="F16" s="8"/>
      <c r="G16" s="319" t="s">
        <v>539</v>
      </c>
      <c r="H16" s="8"/>
      <c r="I16" s="8"/>
      <c r="J16" s="319" t="s">
        <v>71</v>
      </c>
      <c r="K16" s="8"/>
      <c r="L16" s="8"/>
      <c r="M16" s="319" t="s">
        <v>970</v>
      </c>
      <c r="N16" s="8"/>
      <c r="O16" s="8"/>
      <c r="P16" s="319" t="s">
        <v>971</v>
      </c>
      <c r="Q16" s="8"/>
      <c r="R16" s="425"/>
    </row>
    <row r="17">
      <c r="A17" s="76"/>
      <c r="B17" s="77"/>
      <c r="C17" s="77"/>
      <c r="D17" s="77"/>
      <c r="E17" s="77"/>
      <c r="F17" s="77"/>
      <c r="G17" s="77"/>
      <c r="H17" s="77"/>
      <c r="I17" s="77"/>
      <c r="M17" s="77"/>
      <c r="N17" s="77"/>
      <c r="O17" s="77"/>
      <c r="P17" s="77"/>
      <c r="Q17" s="77"/>
      <c r="R17" s="378"/>
    </row>
    <row r="18">
      <c r="A18" s="426" t="s">
        <v>972</v>
      </c>
      <c r="B18" s="427"/>
      <c r="C18" s="428"/>
      <c r="D18" s="429" t="s">
        <v>973</v>
      </c>
      <c r="E18" s="427"/>
      <c r="F18" s="427"/>
      <c r="G18" s="430" t="s">
        <v>974</v>
      </c>
      <c r="H18" s="427"/>
      <c r="I18" s="428"/>
      <c r="J18" s="429" t="s">
        <v>975</v>
      </c>
      <c r="K18" s="427"/>
      <c r="L18" s="427"/>
      <c r="M18" s="429" t="s">
        <v>976</v>
      </c>
      <c r="N18" s="427"/>
      <c r="O18" s="428"/>
      <c r="P18" s="429" t="s">
        <v>977</v>
      </c>
      <c r="Q18" s="427"/>
      <c r="R18" s="431"/>
    </row>
    <row r="19">
      <c r="A19" s="432" t="s">
        <v>978</v>
      </c>
      <c r="B19" s="48"/>
      <c r="C19" s="295"/>
      <c r="D19" s="303" t="s">
        <v>979</v>
      </c>
      <c r="E19" s="48"/>
      <c r="F19" s="48"/>
      <c r="G19" s="304" t="s">
        <v>980</v>
      </c>
      <c r="H19" s="48"/>
      <c r="I19" s="48"/>
      <c r="J19" s="303" t="s">
        <v>981</v>
      </c>
      <c r="K19" s="48"/>
      <c r="L19" s="48"/>
      <c r="M19" s="303" t="s">
        <v>982</v>
      </c>
      <c r="N19" s="48"/>
      <c r="O19" s="295"/>
      <c r="P19" s="303" t="s">
        <v>983</v>
      </c>
      <c r="Q19" s="48"/>
      <c r="R19" s="433"/>
    </row>
    <row r="20">
      <c r="A20" s="434" t="s">
        <v>984</v>
      </c>
      <c r="B20" s="48"/>
      <c r="C20" s="295"/>
      <c r="D20" s="294" t="s">
        <v>985</v>
      </c>
      <c r="E20" s="48"/>
      <c r="F20" s="48"/>
      <c r="G20" s="296" t="s">
        <v>986</v>
      </c>
      <c r="H20" s="48"/>
      <c r="I20" s="48"/>
      <c r="J20" s="294" t="s">
        <v>987</v>
      </c>
      <c r="K20" s="48"/>
      <c r="L20" s="48"/>
      <c r="M20" s="294" t="s">
        <v>645</v>
      </c>
      <c r="N20" s="48"/>
      <c r="O20" s="295"/>
      <c r="P20" s="294" t="s">
        <v>988</v>
      </c>
      <c r="Q20" s="48"/>
      <c r="R20" s="433"/>
    </row>
    <row r="21">
      <c r="A21" s="435" t="s">
        <v>989</v>
      </c>
      <c r="B21" s="436"/>
      <c r="C21" s="437"/>
      <c r="D21" s="438" t="s">
        <v>990</v>
      </c>
      <c r="E21" s="436"/>
      <c r="F21" s="436"/>
      <c r="G21" s="439" t="s">
        <v>991</v>
      </c>
      <c r="H21" s="436"/>
      <c r="I21" s="436"/>
      <c r="J21" s="438" t="s">
        <v>992</v>
      </c>
      <c r="K21" s="436"/>
      <c r="L21" s="436"/>
      <c r="M21" s="438" t="s">
        <v>645</v>
      </c>
      <c r="N21" s="436"/>
      <c r="O21" s="437"/>
      <c r="P21" s="438" t="s">
        <v>993</v>
      </c>
      <c r="Q21" s="436"/>
      <c r="R21" s="440"/>
    </row>
    <row r="22">
      <c r="A22" s="434" t="s">
        <v>994</v>
      </c>
      <c r="B22" s="48"/>
      <c r="C22" s="295"/>
      <c r="D22" s="294" t="s">
        <v>995</v>
      </c>
      <c r="E22" s="48"/>
      <c r="F22" s="48"/>
      <c r="G22" s="296" t="s">
        <v>996</v>
      </c>
      <c r="H22" s="48"/>
      <c r="I22" s="48"/>
      <c r="J22" s="294" t="s">
        <v>997</v>
      </c>
      <c r="K22" s="48"/>
      <c r="L22" s="48"/>
      <c r="M22" s="294" t="s">
        <v>645</v>
      </c>
      <c r="N22" s="48"/>
      <c r="O22" s="295"/>
      <c r="P22" s="294" t="s">
        <v>988</v>
      </c>
      <c r="Q22" s="48"/>
      <c r="R22" s="433"/>
    </row>
    <row r="23">
      <c r="K23" s="31"/>
      <c r="M23" s="31"/>
      <c r="N23" s="93"/>
      <c r="O23" s="93"/>
      <c r="P23" s="93"/>
      <c r="Q23" s="31"/>
    </row>
    <row r="24">
      <c r="M24" s="31"/>
      <c r="N24" s="93"/>
      <c r="O24" s="93"/>
      <c r="P24" s="93"/>
      <c r="Q24" s="31"/>
    </row>
    <row r="25">
      <c r="B25" s="329"/>
      <c r="C25" s="329"/>
      <c r="D25" s="329"/>
      <c r="E25" s="329"/>
      <c r="F25" s="329"/>
      <c r="G25" s="329"/>
      <c r="M25" s="31"/>
      <c r="N25" s="93"/>
      <c r="O25" s="93"/>
      <c r="P25" s="7" t="s">
        <v>95</v>
      </c>
      <c r="Q25" s="8"/>
      <c r="R25" s="9"/>
    </row>
    <row r="26">
      <c r="B26" s="329"/>
      <c r="C26" s="329"/>
      <c r="D26" s="329"/>
      <c r="E26" s="329"/>
      <c r="F26" s="329"/>
      <c r="G26" s="329"/>
      <c r="M26" s="93"/>
      <c r="N26" s="93"/>
      <c r="O26" s="93"/>
      <c r="P26" s="94" t="s">
        <v>15</v>
      </c>
      <c r="Q26" s="95"/>
      <c r="R26" s="96"/>
    </row>
    <row r="27">
      <c r="B27" s="329"/>
      <c r="C27" s="329"/>
      <c r="D27" s="329"/>
      <c r="E27" s="329"/>
      <c r="F27" s="329"/>
      <c r="G27" s="329"/>
      <c r="M27" s="93"/>
      <c r="N27" s="93"/>
      <c r="O27" s="93"/>
      <c r="P27" s="93"/>
      <c r="Q27" s="31"/>
    </row>
    <row r="28">
      <c r="B28" s="329"/>
      <c r="C28" s="329"/>
      <c r="D28" s="329"/>
      <c r="E28" s="329"/>
      <c r="F28" s="329"/>
      <c r="G28" s="329"/>
      <c r="M28" s="93"/>
      <c r="N28" s="93"/>
      <c r="O28" s="93"/>
      <c r="P28" s="93"/>
      <c r="Q28" s="31"/>
    </row>
    <row r="29">
      <c r="M29" s="93"/>
      <c r="N29" s="93"/>
      <c r="O29" s="93"/>
      <c r="P29" s="93"/>
      <c r="Q29" s="31"/>
    </row>
    <row r="30">
      <c r="M30" s="93"/>
      <c r="N30" s="93"/>
      <c r="O30" s="93"/>
      <c r="P30" s="93"/>
      <c r="Q30" s="31"/>
    </row>
    <row r="31">
      <c r="K31" s="31"/>
      <c r="L31" s="31"/>
      <c r="M31" s="93"/>
      <c r="N31" s="93"/>
      <c r="O31" s="93"/>
      <c r="P31" s="93"/>
      <c r="Q31" s="31"/>
    </row>
    <row r="32">
      <c r="L32" s="31"/>
      <c r="M32" s="93"/>
      <c r="N32" s="93"/>
      <c r="O32" s="93"/>
      <c r="P32" s="93"/>
      <c r="Q32" s="31"/>
    </row>
    <row r="33">
      <c r="L33" s="31"/>
      <c r="M33" s="31"/>
      <c r="N33" s="93"/>
      <c r="O33" s="93"/>
      <c r="P33" s="93"/>
      <c r="Q33" s="31"/>
    </row>
    <row r="34">
      <c r="A34" s="31"/>
      <c r="L34" s="31"/>
      <c r="M34" s="31"/>
    </row>
    <row r="35">
      <c r="A35" s="31"/>
      <c r="L35" s="31"/>
      <c r="M35" s="31"/>
    </row>
    <row r="36">
      <c r="A36" s="31"/>
      <c r="L36" s="31"/>
      <c r="M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>
      <c r="A40" s="31"/>
      <c r="B40" s="31"/>
      <c r="C40" s="326"/>
      <c r="D40" s="326"/>
      <c r="E40" s="326"/>
      <c r="F40" s="326"/>
      <c r="G40" s="326"/>
      <c r="H40" s="326"/>
      <c r="I40" s="326"/>
      <c r="J40" s="326"/>
      <c r="K40" s="326"/>
      <c r="L40" s="31"/>
      <c r="M40" s="31"/>
    </row>
    <row r="41">
      <c r="A41" s="31"/>
      <c r="B41" s="328"/>
      <c r="C41" s="329"/>
      <c r="D41" s="329"/>
      <c r="E41" s="329"/>
      <c r="F41" s="329"/>
      <c r="G41" s="329"/>
      <c r="H41" s="329"/>
      <c r="I41" s="329"/>
      <c r="J41" s="329"/>
      <c r="K41" s="31"/>
      <c r="L41" s="31"/>
      <c r="M41" s="31"/>
    </row>
    <row r="42">
      <c r="A42" s="31"/>
      <c r="B42" s="328"/>
      <c r="C42" s="329"/>
      <c r="D42" s="329"/>
      <c r="E42" s="329"/>
      <c r="F42" s="329"/>
      <c r="G42" s="329"/>
      <c r="H42" s="329"/>
      <c r="I42" s="329"/>
      <c r="J42" s="329"/>
      <c r="K42" s="31"/>
      <c r="L42" s="31"/>
      <c r="M42" s="31"/>
    </row>
    <row r="43">
      <c r="A43" s="31"/>
      <c r="B43" s="328"/>
      <c r="C43" s="329"/>
      <c r="D43" s="329"/>
      <c r="E43" s="329"/>
      <c r="F43" s="329"/>
      <c r="G43" s="329"/>
      <c r="H43" s="329"/>
      <c r="I43" s="329"/>
      <c r="J43" s="329"/>
      <c r="K43" s="31"/>
      <c r="L43" s="31"/>
      <c r="M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</sheetData>
  <mergeCells count="58">
    <mergeCell ref="J21:L21"/>
    <mergeCell ref="M21:O21"/>
    <mergeCell ref="A20:C20"/>
    <mergeCell ref="D20:F20"/>
    <mergeCell ref="G20:I20"/>
    <mergeCell ref="J20:L20"/>
    <mergeCell ref="M20:O20"/>
    <mergeCell ref="P20:R20"/>
    <mergeCell ref="A21:C21"/>
    <mergeCell ref="P21:R21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J16:L17"/>
    <mergeCell ref="M16:O17"/>
    <mergeCell ref="P16:R17"/>
    <mergeCell ref="J18:L18"/>
    <mergeCell ref="M18:O18"/>
    <mergeCell ref="P18:R18"/>
    <mergeCell ref="P11:Q11"/>
    <mergeCell ref="A14:R15"/>
    <mergeCell ref="B7:D7"/>
    <mergeCell ref="F7:H7"/>
    <mergeCell ref="K7:M7"/>
    <mergeCell ref="O7:Q7"/>
    <mergeCell ref="F8:H10"/>
    <mergeCell ref="O8:Q10"/>
    <mergeCell ref="G11:H11"/>
    <mergeCell ref="A18:C18"/>
    <mergeCell ref="A19:C19"/>
    <mergeCell ref="D19:F19"/>
    <mergeCell ref="G19:I19"/>
    <mergeCell ref="J19:L19"/>
    <mergeCell ref="M19:O19"/>
    <mergeCell ref="P19:R19"/>
    <mergeCell ref="B8:D10"/>
    <mergeCell ref="C11:D11"/>
    <mergeCell ref="A16:C17"/>
    <mergeCell ref="D16:F17"/>
    <mergeCell ref="G16:I17"/>
    <mergeCell ref="D18:F18"/>
    <mergeCell ref="G18:I18"/>
    <mergeCell ref="P22:R22"/>
    <mergeCell ref="P25:R25"/>
    <mergeCell ref="P26:R26"/>
    <mergeCell ref="D21:F21"/>
    <mergeCell ref="G21:I21"/>
    <mergeCell ref="A22:C22"/>
    <mergeCell ref="D22:F22"/>
    <mergeCell ref="G22:I22"/>
    <mergeCell ref="J22:L22"/>
    <mergeCell ref="M22:O22"/>
  </mergeCells>
  <hyperlinks>
    <hyperlink display="Открыть →" location="'М и Х Bambu Lab'!A1" ref="C11"/>
    <hyperlink display="Открыть →" location="'Из наличия'!A1" ref="G11"/>
    <hyperlink display="Открыть →" location="'Предзаказ'!A1" ref="L11"/>
    <hyperlink display="Открыть →" location="'Доставка  самовывоз'!A1" ref="P11"/>
    <hyperlink display="Открыть →" location="'Главная'!A1" ref="P26"/>
  </hyperlinks>
  <drawing r:id="rId1"/>
</worksheet>
</file>
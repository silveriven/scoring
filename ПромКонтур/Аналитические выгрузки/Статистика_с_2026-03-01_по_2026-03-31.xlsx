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'Sheet1'!$A$1:$AI$20</definedName>
  </definedNames>
  <calcPr calcId="122211"/>
</workbook>
</file>

<file path=xl/sharedStrings.xml><?xml version="1.0" encoding="utf-8"?>
<sst xmlns="http://schemas.openxmlformats.org/spreadsheetml/2006/main" count="84" uniqueCount="84">
  <si>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</si>
  <si>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</si>
  <si>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</si>
  <si>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</si>
  <si>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</si>
  <si>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</si>
  <si>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</si>
  <si>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</si>
  <si>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</si>
  <si>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</si>
  <si>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</si>
  <si>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</si>
  <si>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</si>
  <si>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</si>
  <si>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</si>
  <si>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</si>
  <si>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</si>
  <si>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</si>
  <si>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</si>
  <si>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</si>
  <si>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</si>
  <si>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</si>
  <si>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</si>
  <si>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</si>
  <si>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</si>
  <si>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</si>
  <si>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</si>
  <si>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</si>
  <si>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</si>
  <si>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</si>
  <si>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</si>
  <si>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</si>
  <si>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</si>
  <si>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</si>
  <si>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</si>
  <si>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</si>
  <si>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</si>
  <si>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Дмитрия Ульянова</t>
  </si>
  <si>
    <t>Электроника</t>
  </si>
  <si>
    <t>Оргтехника и расходники</t>
  </si>
  <si>
    <t>3D-принтеры</t>
  </si>
  <si>
    <t>95 000 ₽</t>
  </si>
  <si>
    <t>2026-01-13</t>
  </si>
  <si>
    <t>2026-05-20</t>
  </si>
  <si>
    <t>431 000 ₽</t>
  </si>
  <si>
    <t>2026-01-11</t>
  </si>
  <si>
    <t>2026-05-16</t>
  </si>
  <si>
    <t>615 500 ₽</t>
  </si>
  <si>
    <t>2026-01-14</t>
  </si>
  <si>
    <t>2026-07-03</t>
  </si>
  <si>
    <t>159 000 ₽</t>
  </si>
  <si>
    <t>Москва, Профсоюзная ул., 5/9</t>
  </si>
  <si>
    <t>89 000 ₽</t>
  </si>
  <si>
    <t>2026-04-18</t>
  </si>
  <si>
    <t>249 000 ₽</t>
  </si>
  <si>
    <t>2026-02-11</t>
  </si>
  <si>
    <t>2026-05-15</t>
  </si>
  <si>
    <t>Москва, Пятницкое ш. (дублёр)</t>
  </si>
  <si>
    <t>199 900 ₽</t>
  </si>
  <si>
    <t>2026-02-08</t>
  </si>
  <si>
    <t>143 900 ₽</t>
  </si>
  <si>
    <t>2026-01-21</t>
  </si>
  <si>
    <t>359 000 ₽</t>
  </si>
  <si>
    <t>2025-12-29</t>
  </si>
  <si>
    <t>1 490 000 ₽</t>
  </si>
  <si>
    <t>2026-01-04</t>
  </si>
  <si>
    <t>2026-04-13</t>
  </si>
  <si>
    <t>194 900 ₽</t>
  </si>
  <si>
    <t>2026-01-22</t>
  </si>
  <si>
    <t>2026-05-04</t>
  </si>
  <si>
    <t>459 000 ₽</t>
  </si>
  <si>
    <t>2025-12-28</t>
  </si>
  <si>
    <t>Москва, Калужско-Рижская линия</t>
  </si>
  <si>
    <t>754 998 ₽</t>
  </si>
  <si>
    <t>2026-01-18</t>
  </si>
  <si>
    <t>259 000 ₽</t>
  </si>
  <si>
    <t>299 000 ₽</t>
  </si>
  <si>
    <t>Москва, Юго-Западный административный округ, Академический район, 12-й квартал</t>
  </si>
  <si>
    <t>229 000 ₽</t>
  </si>
  <si>
    <t/>
  </si>
  <si>
    <t>269 000 ₽</t>
  </si>
  <si>
    <t>2025-12-19</t>
  </si>
  <si>
    <t>79 000 ₽</t>
  </si>
  <si>
    <t>2026-03-07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</si>
</sst>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HYPERLINK("https://www.avito.ru/moskva/bytovaya_elektronika/3d-_printer_eu_bambu_lab_p2s_combo_7861506000","7861506000")</f>
      </c>
      <c r="B2" t="s">
        <v>35</v>
      </c>
      <c r="C2" t="s">
        <v>36</v>
      </c>
      <c r="D2" t="s">
        <v>37</v>
      </c>
      <c r="E2" t="s">
        <v>38</v>
      </c>
      <c r="F2" t="s">
        <v>39</v>
      </c>
      <c r="G2" t="s">
        <v>40</v>
      </c>
      <c r="H2" s="3" t="str">
        <f>HYPERLINK("https://www.avito.ru/moskva/bytovaya_elektronika/3d-_printer_eu_bambu_lab_p2s_combo_7861506000","3Д- принтер EU Bambu Lab P2S Combo")</f>
      </c>
      <c r="I2" t="s">
        <v>41</v>
      </c>
      <c r="J2" t="s">
        <v>42</v>
      </c>
      <c r="K2" t="s">
        <v>43</v>
      </c>
      <c r="L2">
        <v>164</v>
      </c>
      <c r="M2">
        <v>14172</v>
      </c>
      <c r="N2" s="4">
        <v>0.162</v>
      </c>
      <c r="O2">
        <v>2297</v>
      </c>
      <c r="P2" s="5">
        <v>1.54</v>
      </c>
      <c r="Q2" s="4">
        <v>0.0339</v>
      </c>
      <c r="R2">
        <v>78</v>
      </c>
      <c r="S2">
        <v>64</v>
      </c>
      <c r="T2">
        <v>9</v>
      </c>
      <c r="U2">
        <v>5</v>
      </c>
      <c r="V2">
        <v>0</v>
      </c>
      <c r="W2" s="5">
        <v>45.47</v>
      </c>
      <c r="X2">
        <v>334</v>
      </c>
      <c r="Y2" s="4">
        <v>0</v>
      </c>
      <c r="Z2">
        <v>0</v>
      </c>
      <c r="AA2" s="5">
        <v>0</v>
      </c>
      <c r="AB2">
        <v>0</v>
      </c>
      <c r="AC2" s="5">
        <v>0</v>
      </c>
      <c r="AD2" s="5">
        <v>3546.8</v>
      </c>
      <c r="AE2" s="5">
        <v>0</v>
      </c>
      <c r="AF2" s="5">
        <v>86.8</v>
      </c>
      <c r="AG2" s="5">
        <v>3460</v>
      </c>
      <c r="AH2" s="5">
        <v>0</v>
      </c>
      <c r="AI2" s="5">
        <v>0</v>
      </c>
    </row>
    <row r="3">
      <c r="A3" s="2" t="str">
        <f>HYPERLINK("https://www.avito.ru/moskva/bytovaya_elektronika/3d-printer_bolshoy_fdm_dowell_dm6-8plus_7861315997","7861315997")</f>
      </c>
      <c r="B3" t="s">
        <v>35</v>
      </c>
      <c r="C3" t="s">
        <v>36</v>
      </c>
      <c r="D3" t="s">
        <v>37</v>
      </c>
      <c r="E3" t="s">
        <v>38</v>
      </c>
      <c r="F3" t="s">
        <v>39</v>
      </c>
      <c r="G3" t="s">
        <v>40</v>
      </c>
      <c r="H3" s="3" t="str">
        <f>HYPERLINK("https://www.avito.ru/moskva/bytovaya_elektronika/3d-printer_bolshoy_fdm_dowell_dm6-8plus_7861315997","3D-принтер большой (FDM) DoWell DM6-8Plus")</f>
      </c>
      <c r="I3" t="s">
        <v>44</v>
      </c>
      <c r="J3" t="s">
        <v>45</v>
      </c>
      <c r="K3" t="s">
        <v>46</v>
      </c>
      <c r="L3">
        <v>166</v>
      </c>
      <c r="M3">
        <v>11289</v>
      </c>
      <c r="N3" s="4">
        <v>0.1904</v>
      </c>
      <c r="O3">
        <v>2150</v>
      </c>
      <c r="P3" s="5">
        <v>0.04</v>
      </c>
      <c r="Q3" s="4">
        <v>0.0013</v>
      </c>
      <c r="R3">
        <v>3</v>
      </c>
      <c r="S3">
        <v>2</v>
      </c>
      <c r="T3">
        <v>1</v>
      </c>
      <c r="U3">
        <v>0</v>
      </c>
      <c r="V3">
        <v>0</v>
      </c>
      <c r="W3" s="5">
        <v>28.93</v>
      </c>
      <c r="X3">
        <v>195</v>
      </c>
      <c r="Y3" s="4">
        <v>0</v>
      </c>
      <c r="Z3">
        <v>0</v>
      </c>
      <c r="AA3" s="5">
        <v>0</v>
      </c>
      <c r="AB3">
        <v>0</v>
      </c>
      <c r="AC3" s="5">
        <v>0</v>
      </c>
      <c r="AD3" s="5">
        <v>86.8</v>
      </c>
      <c r="AE3" s="5">
        <v>0</v>
      </c>
      <c r="AF3" s="5">
        <v>86.8</v>
      </c>
      <c r="AG3" s="5">
        <v>0</v>
      </c>
      <c r="AH3" s="5">
        <v>0</v>
      </c>
      <c r="AI3" s="5">
        <v>0</v>
      </c>
    </row>
    <row r="4">
      <c r="A4" s="2" t="str">
        <f>HYPERLINK("https://www.avito.ru/moskva/bytovaya_elektronika/3d_printer_bolshoy_dowell_dowell_dm10-18plus_7861145324","7861145324")</f>
      </c>
      <c r="B4" t="s">
        <v>35</v>
      </c>
      <c r="C4" t="s">
        <v>36</v>
      </c>
      <c r="D4" t="s">
        <v>37</v>
      </c>
      <c r="E4" t="s">
        <v>38</v>
      </c>
      <c r="F4" t="s">
        <v>39</v>
      </c>
      <c r="G4" t="s">
        <v>40</v>
      </c>
      <c r="H4" s="3" t="str">
        <f>HYPERLINK("https://www.avito.ru/moskva/bytovaya_elektronika/3d_printer_bolshoy_dowell_dowell_dm10-18plus_7861145324","3Д принтер большой DoWell DoWell DM10-18Plus")</f>
      </c>
      <c r="I4" t="s">
        <v>47</v>
      </c>
      <c r="J4" t="s">
        <v>48</v>
      </c>
      <c r="K4" t="s">
        <v>49</v>
      </c>
      <c r="L4">
        <v>163</v>
      </c>
      <c r="M4">
        <v>9954</v>
      </c>
      <c r="N4" s="4">
        <v>0.1972</v>
      </c>
      <c r="O4">
        <v>1963</v>
      </c>
      <c r="P4" s="5">
        <v>0.04</v>
      </c>
      <c r="Q4" s="4">
        <v>0.0061</v>
      </c>
      <c r="R4">
        <v>12</v>
      </c>
      <c r="S4">
        <v>8</v>
      </c>
      <c r="T4">
        <v>3</v>
      </c>
      <c r="U4">
        <v>1</v>
      </c>
      <c r="V4">
        <v>0</v>
      </c>
      <c r="W4" s="5">
        <v>7.23</v>
      </c>
      <c r="X4">
        <v>198</v>
      </c>
      <c r="Y4" s="4">
        <v>0</v>
      </c>
      <c r="Z4">
        <v>0</v>
      </c>
      <c r="AA4" s="5">
        <v>0</v>
      </c>
      <c r="AB4">
        <v>0</v>
      </c>
      <c r="AC4" s="5">
        <v>0</v>
      </c>
      <c r="AD4" s="5">
        <v>86.8</v>
      </c>
      <c r="AE4" s="5">
        <v>0</v>
      </c>
      <c r="AF4" s="5">
        <v>86.8</v>
      </c>
      <c r="AG4" s="5">
        <v>0</v>
      </c>
      <c r="AH4" s="5">
        <v>0</v>
      </c>
      <c r="AI4" s="5">
        <v>0</v>
      </c>
    </row>
    <row r="5">
      <c r="A5" s="2" t="str">
        <f>HYPERLINK("https://www.avito.ru/moskva/bytovaya_elektronika/3d-_printer_cn_bambu_lab_h2d_combo_ams_7861277713","7861277713")</f>
      </c>
      <c r="B5" t="s">
        <v>35</v>
      </c>
      <c r="C5" t="s">
        <v>36</v>
      </c>
      <c r="D5" t="s">
        <v>37</v>
      </c>
      <c r="E5" t="s">
        <v>38</v>
      </c>
      <c r="F5" t="s">
        <v>39</v>
      </c>
      <c r="G5" t="s">
        <v>40</v>
      </c>
      <c r="H5" s="3" t="str">
        <f>HYPERLINK("https://www.avito.ru/moskva/bytovaya_elektronika/3d-_printer_cn_bambu_lab_h2d_combo_ams_7861277713","3Д- принтер CN Bambu Lab H2D Combo AMS")</f>
      </c>
      <c r="I5" t="s">
        <v>50</v>
      </c>
      <c r="J5" t="s">
        <v>42</v>
      </c>
      <c r="K5" t="s">
        <v>49</v>
      </c>
      <c r="L5">
        <v>164</v>
      </c>
      <c r="M5">
        <v>8383</v>
      </c>
      <c r="N5" s="4">
        <v>0.184</v>
      </c>
      <c r="O5">
        <v>1543</v>
      </c>
      <c r="P5" s="5">
        <v>1.78</v>
      </c>
      <c r="Q5" s="4">
        <v>0.0265</v>
      </c>
      <c r="R5">
        <v>41</v>
      </c>
      <c r="S5">
        <v>35</v>
      </c>
      <c r="T5">
        <v>3</v>
      </c>
      <c r="U5">
        <v>3</v>
      </c>
      <c r="V5">
        <v>0</v>
      </c>
      <c r="W5" s="5">
        <v>66.99</v>
      </c>
      <c r="X5">
        <v>160</v>
      </c>
      <c r="Y5" s="4">
        <v>0</v>
      </c>
      <c r="Z5">
        <v>0</v>
      </c>
      <c r="AA5" s="5">
        <v>0</v>
      </c>
      <c r="AB5">
        <v>0</v>
      </c>
      <c r="AC5" s="5">
        <v>0</v>
      </c>
      <c r="AD5" s="5">
        <v>2746.8</v>
      </c>
      <c r="AE5" s="5">
        <v>0</v>
      </c>
      <c r="AF5" s="5">
        <v>86.8</v>
      </c>
      <c r="AG5" s="5">
        <v>2660</v>
      </c>
      <c r="AH5" s="5">
        <v>0</v>
      </c>
      <c r="AI5" s="5">
        <v>0</v>
      </c>
    </row>
    <row r="6">
      <c r="A6" s="2" t="str">
        <f>HYPERLINK("https://www.avito.ru/moskva/bytovaya_elektronika/3d_printer_snapmaker_u1_7861839904","7861839904")</f>
      </c>
      <c r="B6" t="s">
        <v>35</v>
      </c>
      <c r="C6" t="s">
        <v>36</v>
      </c>
      <c r="D6" t="s">
        <v>51</v>
      </c>
      <c r="E6" t="s">
        <v>38</v>
      </c>
      <c r="F6" t="s">
        <v>39</v>
      </c>
      <c r="G6" t="s">
        <v>40</v>
      </c>
      <c r="H6" s="3" t="str">
        <f>HYPERLINK("https://www.avito.ru/moskva/bytovaya_elektronika/3d_printer_snapmaker_u1_7861839904","3D принтер Snapmaker U1")</f>
      </c>
      <c r="I6" t="s">
        <v>52</v>
      </c>
      <c r="J6" t="s">
        <v>42</v>
      </c>
      <c r="K6" t="s">
        <v>53</v>
      </c>
      <c r="L6">
        <v>164</v>
      </c>
      <c r="M6">
        <v>6705</v>
      </c>
      <c r="N6" s="4">
        <v>0.1904</v>
      </c>
      <c r="O6">
        <v>1277</v>
      </c>
      <c r="P6" s="5">
        <v>2.66</v>
      </c>
      <c r="Q6" s="4">
        <v>0.0227</v>
      </c>
      <c r="R6">
        <v>29</v>
      </c>
      <c r="S6">
        <v>25</v>
      </c>
      <c r="T6">
        <v>3</v>
      </c>
      <c r="U6">
        <v>1</v>
      </c>
      <c r="V6">
        <v>0</v>
      </c>
      <c r="W6" s="5">
        <v>117.47</v>
      </c>
      <c r="X6">
        <v>56</v>
      </c>
      <c r="Y6" s="4">
        <v>0</v>
      </c>
      <c r="Z6">
        <v>0</v>
      </c>
      <c r="AA6" s="5">
        <v>0</v>
      </c>
      <c r="AB6">
        <v>0</v>
      </c>
      <c r="AC6" s="5">
        <v>0</v>
      </c>
      <c r="AD6" s="5">
        <v>3406.8</v>
      </c>
      <c r="AE6" s="5">
        <v>0</v>
      </c>
      <c r="AF6" s="5">
        <v>86.8</v>
      </c>
      <c r="AG6" s="5">
        <v>3320</v>
      </c>
      <c r="AH6" s="5">
        <v>0</v>
      </c>
      <c r="AI6" s="5">
        <v>0</v>
      </c>
    </row>
    <row r="7">
      <c r="A7" s="2" t="str">
        <f>HYPERLINK("https://www.avito.ru/moskva/bytovaya_elektronika/3d_printer_eu_bambu_lab_h2c_combo_7893919239","7893919239")</f>
      </c>
      <c r="B7" t="s">
        <v>35</v>
      </c>
      <c r="C7" t="s">
        <v>36</v>
      </c>
      <c r="D7" t="s">
        <v>37</v>
      </c>
      <c r="E7" t="s">
        <v>38</v>
      </c>
      <c r="F7" t="s">
        <v>39</v>
      </c>
      <c r="G7" t="s">
        <v>40</v>
      </c>
      <c r="H7" s="3" t="str">
        <f>HYPERLINK("https://www.avito.ru/moskva/bytovaya_elektronika/3d_printer_eu_bambu_lab_h2c_combo_7893919239","3Д принтер EU Bambu Lab H2C combo")</f>
      </c>
      <c r="I7" t="s">
        <v>54</v>
      </c>
      <c r="J7" t="s">
        <v>55</v>
      </c>
      <c r="K7" t="s">
        <v>56</v>
      </c>
      <c r="L7">
        <v>135</v>
      </c>
      <c r="M7">
        <v>4750</v>
      </c>
      <c r="N7" s="4">
        <v>0.196</v>
      </c>
      <c r="O7">
        <v>931</v>
      </c>
      <c r="P7" s="5">
        <v>3.8</v>
      </c>
      <c r="Q7" s="4">
        <v>0.044</v>
      </c>
      <c r="R7">
        <v>41</v>
      </c>
      <c r="S7">
        <v>35</v>
      </c>
      <c r="T7">
        <v>6</v>
      </c>
      <c r="U7">
        <v>0</v>
      </c>
      <c r="V7">
        <v>0</v>
      </c>
      <c r="W7" s="5">
        <v>86.5</v>
      </c>
      <c r="X7">
        <v>69</v>
      </c>
      <c r="Y7" s="4">
        <v>0</v>
      </c>
      <c r="Z7">
        <v>0</v>
      </c>
      <c r="AA7" s="5">
        <v>0</v>
      </c>
      <c r="AB7">
        <v>0</v>
      </c>
      <c r="AC7" s="5">
        <v>0</v>
      </c>
      <c r="AD7" s="5">
        <v>3546.8</v>
      </c>
      <c r="AE7" s="5">
        <v>0</v>
      </c>
      <c r="AF7" s="5">
        <v>86.8</v>
      </c>
      <c r="AG7" s="5">
        <v>3460</v>
      </c>
      <c r="AH7" s="5">
        <v>0</v>
      </c>
      <c r="AI7" s="5">
        <v>0</v>
      </c>
    </row>
    <row r="8">
      <c r="A8" s="2" t="str">
        <f>HYPERLINK("https://www.avito.ru/moskva/bytovaya_elektronika/3d_printer_eu_bambu_lab_h2d_combo_nalichie_7893846634","7893846634")</f>
      </c>
      <c r="B8" t="s">
        <v>35</v>
      </c>
      <c r="C8" t="s">
        <v>36</v>
      </c>
      <c r="D8" t="s">
        <v>57</v>
      </c>
      <c r="E8" t="s">
        <v>38</v>
      </c>
      <c r="F8" t="s">
        <v>39</v>
      </c>
      <c r="G8" t="s">
        <v>40</v>
      </c>
      <c r="H8" s="3" t="str">
        <f>HYPERLINK("https://www.avito.ru/moskva/bytovaya_elektronika/3d_printer_eu_bambu_lab_h2d_combo_nalichie_7893846634","3Д принтер EU Bambu Lab H2D Combo наличие")</f>
      </c>
      <c r="I8" t="s">
        <v>58</v>
      </c>
      <c r="J8" t="s">
        <v>59</v>
      </c>
      <c r="K8" t="s">
        <v>46</v>
      </c>
      <c r="L8">
        <v>138</v>
      </c>
      <c r="M8">
        <v>3910</v>
      </c>
      <c r="N8" s="4">
        <v>0.2028</v>
      </c>
      <c r="O8">
        <v>793</v>
      </c>
      <c r="P8" s="5">
        <v>1.68</v>
      </c>
      <c r="Q8" s="4">
        <v>0.0239</v>
      </c>
      <c r="R8">
        <v>19</v>
      </c>
      <c r="S8">
        <v>15</v>
      </c>
      <c r="T8">
        <v>3</v>
      </c>
      <c r="U8">
        <v>1</v>
      </c>
      <c r="V8">
        <v>0</v>
      </c>
      <c r="W8" s="5">
        <v>70.43</v>
      </c>
      <c r="X8">
        <v>58</v>
      </c>
      <c r="Y8" s="4">
        <v>0</v>
      </c>
      <c r="Z8">
        <v>0</v>
      </c>
      <c r="AA8" s="5">
        <v>0</v>
      </c>
      <c r="AB8">
        <v>0</v>
      </c>
      <c r="AC8" s="5">
        <v>0</v>
      </c>
      <c r="AD8" s="5">
        <v>1338.35</v>
      </c>
      <c r="AE8" s="5">
        <v>0</v>
      </c>
      <c r="AF8" s="5">
        <v>78.35</v>
      </c>
      <c r="AG8" s="5">
        <v>1260</v>
      </c>
      <c r="AH8" s="5">
        <v>0</v>
      </c>
      <c r="AI8" s="5">
        <v>0</v>
      </c>
    </row>
    <row r="9">
      <c r="A9" s="2" t="str">
        <f>HYPERLINK("https://www.avito.ru/moskva/bytovaya_elektronika/3d_printer_bambu_lab_h2s_combo_ams_2_pro_7861541793","7861541793")</f>
      </c>
      <c r="B9" t="s">
        <v>35</v>
      </c>
      <c r="C9" t="s">
        <v>36</v>
      </c>
      <c r="D9" t="s">
        <v>57</v>
      </c>
      <c r="E9" t="s">
        <v>38</v>
      </c>
      <c r="F9" t="s">
        <v>39</v>
      </c>
      <c r="G9" t="s">
        <v>40</v>
      </c>
      <c r="H9" s="3" t="str">
        <f>HYPERLINK("https://www.avito.ru/moskva/bytovaya_elektronika/3d_printer_bambu_lab_h2s_combo_ams_2_pro_7861541793","3D принтер Bambu Lab H2S combo AMS 2 PRO")</f>
      </c>
      <c r="I9" t="s">
        <v>60</v>
      </c>
      <c r="J9" t="s">
        <v>61</v>
      </c>
      <c r="K9" t="s">
        <v>49</v>
      </c>
      <c r="L9">
        <v>156</v>
      </c>
      <c r="M9">
        <v>3855</v>
      </c>
      <c r="N9" s="4">
        <v>0.1911</v>
      </c>
      <c r="O9">
        <v>737</v>
      </c>
      <c r="P9" s="5">
        <v>3.42</v>
      </c>
      <c r="Q9" s="4">
        <v>0.0583</v>
      </c>
      <c r="R9">
        <v>43</v>
      </c>
      <c r="S9">
        <v>37</v>
      </c>
      <c r="T9">
        <v>3</v>
      </c>
      <c r="U9">
        <v>3</v>
      </c>
      <c r="V9">
        <v>0</v>
      </c>
      <c r="W9" s="5">
        <v>58.76</v>
      </c>
      <c r="X9">
        <v>64</v>
      </c>
      <c r="Y9" s="4">
        <v>0</v>
      </c>
      <c r="Z9">
        <v>0</v>
      </c>
      <c r="AA9" s="5">
        <v>0</v>
      </c>
      <c r="AB9">
        <v>0</v>
      </c>
      <c r="AC9" s="5">
        <v>0</v>
      </c>
      <c r="AD9" s="5">
        <v>2526.8</v>
      </c>
      <c r="AE9" s="5">
        <v>0</v>
      </c>
      <c r="AF9" s="5">
        <v>86.8</v>
      </c>
      <c r="AG9" s="5">
        <v>2440</v>
      </c>
      <c r="AH9" s="5">
        <v>0</v>
      </c>
      <c r="AI9" s="5">
        <v>0</v>
      </c>
    </row>
    <row r="10">
      <c r="A10" s="2" t="str">
        <f>HYPERLINK("https://www.avito.ru/moskva/bytovaya_elektronika/3d_printer_promyshlennyy_dowell_dm-8_800800800_7829120103","7829120103")</f>
      </c>
      <c r="B10" t="s">
        <v>35</v>
      </c>
      <c r="C10" t="s">
        <v>36</v>
      </c>
      <c r="D10" t="s">
        <v>51</v>
      </c>
      <c r="E10" t="s">
        <v>38</v>
      </c>
      <c r="F10" t="s">
        <v>39</v>
      </c>
      <c r="G10" t="s">
        <v>40</v>
      </c>
      <c r="H10" s="3" t="str">
        <f>HYPERLINK("https://www.avito.ru/moskva/bytovaya_elektronika/3d_printer_promyshlennyy_dowell_dm-8_800800800_7829120103","3Д принтер промышленный DoWell DM-8 800*800*800")</f>
      </c>
      <c r="I10" t="s">
        <v>62</v>
      </c>
      <c r="J10" t="s">
        <v>63</v>
      </c>
      <c r="K10" t="s">
        <v>46</v>
      </c>
      <c r="L10">
        <v>179</v>
      </c>
      <c r="M10">
        <v>1208</v>
      </c>
      <c r="N10" s="4">
        <v>0.3394</v>
      </c>
      <c r="O10">
        <v>410</v>
      </c>
      <c r="P10" s="5">
        <v>0.21</v>
      </c>
      <c r="Q10" s="4">
        <v>0.0048</v>
      </c>
      <c r="R10">
        <v>2</v>
      </c>
      <c r="S10">
        <v>2</v>
      </c>
      <c r="T10">
        <v>0</v>
      </c>
      <c r="U10">
        <v>0</v>
      </c>
      <c r="V10">
        <v>0</v>
      </c>
      <c r="W10" s="5">
        <v>43.4</v>
      </c>
      <c r="X10">
        <v>36</v>
      </c>
      <c r="Y10" s="4">
        <v>0</v>
      </c>
      <c r="Z10">
        <v>0</v>
      </c>
      <c r="AA10" s="5">
        <v>0</v>
      </c>
      <c r="AB10">
        <v>0</v>
      </c>
      <c r="AC10" s="5">
        <v>0</v>
      </c>
      <c r="AD10" s="5">
        <v>86.8</v>
      </c>
      <c r="AE10" s="5">
        <v>0</v>
      </c>
      <c r="AF10" s="5">
        <v>86.8</v>
      </c>
      <c r="AG10" s="5">
        <v>0</v>
      </c>
      <c r="AH10" s="5">
        <v>0</v>
      </c>
      <c r="AI10" s="5">
        <v>0</v>
      </c>
    </row>
    <row r="11">
      <c r="A11" s="2" t="str">
        <f>HYPERLINK("https://www.avito.ru/moskva/bytovaya_elektronika/3d_printer_bolshoy_100010001000_mingda_7829546342","7829546342")</f>
      </c>
      <c r="B11" t="s">
        <v>35</v>
      </c>
      <c r="C11" t="s">
        <v>36</v>
      </c>
      <c r="D11" t="s">
        <v>51</v>
      </c>
      <c r="E11" t="s">
        <v>38</v>
      </c>
      <c r="F11" t="s">
        <v>39</v>
      </c>
      <c r="G11" t="s">
        <v>40</v>
      </c>
      <c r="H11" s="3" t="str">
        <f>HYPERLINK("https://www.avito.ru/moskva/bytovaya_elektronika/3d_printer_bolshoy_100010001000_mingda_7829546342","3Д принтер большой 1000*1000*1000 mingda")</f>
      </c>
      <c r="I11" t="s">
        <v>64</v>
      </c>
      <c r="J11" t="s">
        <v>65</v>
      </c>
      <c r="K11" t="s">
        <v>66</v>
      </c>
      <c r="L11">
        <v>173</v>
      </c>
      <c r="M11">
        <v>1086</v>
      </c>
      <c r="N11" s="4">
        <v>0.3627</v>
      </c>
      <c r="O11">
        <v>394</v>
      </c>
      <c r="P11" s="5">
        <v>0.22</v>
      </c>
      <c r="Q11" s="4">
        <v>0.005</v>
      </c>
      <c r="R11">
        <v>2</v>
      </c>
      <c r="S11">
        <v>2</v>
      </c>
      <c r="T11">
        <v>0</v>
      </c>
      <c r="U11">
        <v>0</v>
      </c>
      <c r="V11">
        <v>0</v>
      </c>
      <c r="W11" s="5">
        <v>43.4</v>
      </c>
      <c r="X11">
        <v>21</v>
      </c>
      <c r="Y11" s="4">
        <v>0</v>
      </c>
      <c r="Z11">
        <v>0</v>
      </c>
      <c r="AA11" s="5">
        <v>0</v>
      </c>
      <c r="AB11">
        <v>0</v>
      </c>
      <c r="AC11" s="5">
        <v>0</v>
      </c>
      <c r="AD11" s="5">
        <v>86.8</v>
      </c>
      <c r="AE11" s="5">
        <v>0</v>
      </c>
      <c r="AF11" s="5">
        <v>86.8</v>
      </c>
      <c r="AG11" s="5">
        <v>0</v>
      </c>
      <c r="AH11" s="5">
        <v>0</v>
      </c>
      <c r="AI11" s="5">
        <v>0</v>
      </c>
    </row>
    <row r="12">
      <c r="A12" s="2" t="str">
        <f>HYPERLINK("https://www.avito.ru/moskva/bytovaya_elektronika/3d_printer_eu_bambu_lab_h2d_combo_ams_7861721825","7861721825")</f>
      </c>
      <c r="B12" t="s">
        <v>35</v>
      </c>
      <c r="C12" t="s">
        <v>36</v>
      </c>
      <c r="D12" t="s">
        <v>57</v>
      </c>
      <c r="E12" t="s">
        <v>38</v>
      </c>
      <c r="F12" t="s">
        <v>39</v>
      </c>
      <c r="G12" t="s">
        <v>40</v>
      </c>
      <c r="H12" s="3" t="str">
        <f>HYPERLINK("https://www.avito.ru/moskva/bytovaya_elektronika/3d_printer_eu_bambu_lab_h2d_combo_ams_7861721825","3Д принтер EU Bambu lab H2D Combo AMS")</f>
      </c>
      <c r="I12" t="s">
        <v>67</v>
      </c>
      <c r="J12" t="s">
        <v>68</v>
      </c>
      <c r="K12" t="s">
        <v>69</v>
      </c>
      <c r="L12">
        <v>155</v>
      </c>
      <c r="M12">
        <v>1462</v>
      </c>
      <c r="N12" s="4">
        <v>0.1723</v>
      </c>
      <c r="O12">
        <v>252</v>
      </c>
      <c r="P12" s="5">
        <v>1.71</v>
      </c>
      <c r="Q12" s="4">
        <v>0.0277</v>
      </c>
      <c r="R12">
        <v>7</v>
      </c>
      <c r="S12">
        <v>6</v>
      </c>
      <c r="T12">
        <v>1</v>
      </c>
      <c r="U12">
        <v>0</v>
      </c>
      <c r="V12">
        <v>0</v>
      </c>
      <c r="W12" s="5">
        <v>61.6</v>
      </c>
      <c r="X12">
        <v>23</v>
      </c>
      <c r="Y12" s="4">
        <v>0</v>
      </c>
      <c r="Z12">
        <v>0</v>
      </c>
      <c r="AA12" s="5">
        <v>0</v>
      </c>
      <c r="AB12">
        <v>0</v>
      </c>
      <c r="AC12" s="5">
        <v>0</v>
      </c>
      <c r="AD12" s="5">
        <v>431.2</v>
      </c>
      <c r="AE12" s="5">
        <v>0</v>
      </c>
      <c r="AF12" s="5">
        <v>81.2</v>
      </c>
      <c r="AG12" s="5">
        <v>350</v>
      </c>
      <c r="AH12" s="5">
        <v>0</v>
      </c>
      <c r="AI12" s="5">
        <v>0</v>
      </c>
    </row>
    <row r="13">
      <c r="A13" s="2" t="str">
        <f>HYPERLINK("https://www.avito.ru/moskva/bytovaya_elektronika/3d_printer_promyshlennyy_dowell_dm-10-8_7829627106","7829627106")</f>
      </c>
      <c r="B13" t="s">
        <v>35</v>
      </c>
      <c r="C13" t="s">
        <v>36</v>
      </c>
      <c r="D13" t="s">
        <v>51</v>
      </c>
      <c r="E13" t="s">
        <v>38</v>
      </c>
      <c r="F13" t="s">
        <v>39</v>
      </c>
      <c r="G13" t="s">
        <v>40</v>
      </c>
      <c r="H13" s="3" t="str">
        <f>HYPERLINK("https://www.avito.ru/moskva/bytovaya_elektronika/3d_printer_promyshlennyy_dowell_dm-10-8_7829627106","3D принтер промышленный dowell DM-10-8")</f>
      </c>
      <c r="I13" t="s">
        <v>70</v>
      </c>
      <c r="J13" t="s">
        <v>71</v>
      </c>
      <c r="K13" t="s">
        <v>49</v>
      </c>
      <c r="L13">
        <v>180</v>
      </c>
      <c r="M13">
        <v>1210</v>
      </c>
      <c r="N13" s="4">
        <v>0.2041</v>
      </c>
      <c r="O13">
        <v>247</v>
      </c>
      <c r="P13" s="5">
        <v>0.15</v>
      </c>
      <c r="Q13" s="4">
        <v>0.0121</v>
      </c>
      <c r="R13">
        <v>3</v>
      </c>
      <c r="S13">
        <v>1</v>
      </c>
      <c r="T13">
        <v>1</v>
      </c>
      <c r="U13">
        <v>1</v>
      </c>
      <c r="V13">
        <v>0</v>
      </c>
      <c r="W13" s="5">
        <v>12.52</v>
      </c>
      <c r="X13">
        <v>21</v>
      </c>
      <c r="Y13" s="4">
        <v>0</v>
      </c>
      <c r="Z13">
        <v>0</v>
      </c>
      <c r="AA13" s="5">
        <v>0</v>
      </c>
      <c r="AB13">
        <v>0</v>
      </c>
      <c r="AC13" s="5">
        <v>0</v>
      </c>
      <c r="AD13" s="5">
        <v>37.56</v>
      </c>
      <c r="AE13" s="5">
        <v>0</v>
      </c>
      <c r="AF13" s="5">
        <v>37.56</v>
      </c>
      <c r="AG13" s="5">
        <v>0</v>
      </c>
      <c r="AH13" s="5">
        <v>0</v>
      </c>
      <c r="AI13" s="5">
        <v>0</v>
      </c>
    </row>
    <row r="14">
      <c r="A14" s="2" t="str">
        <f>HYPERLINK("https://www.avito.ru/moskva/bytovaya_elektronika/3d-printer_bolshoy_fdm_dowell_dm1016-10_pro_7861534642","7861534642")</f>
      </c>
      <c r="B14" t="s">
        <v>35</v>
      </c>
      <c r="C14" t="s">
        <v>36</v>
      </c>
      <c r="D14" t="s">
        <v>72</v>
      </c>
      <c r="E14" t="s">
        <v>38</v>
      </c>
      <c r="F14" t="s">
        <v>39</v>
      </c>
      <c r="G14" t="s">
        <v>40</v>
      </c>
      <c r="H14" s="3" t="str">
        <f>HYPERLINK("https://www.avito.ru/moskva/bytovaya_elektronika/3d-printer_bolshoy_fdm_dowell_dm1016-10_pro_7861534642","3D-принтер большой FDM DoWell DM1016-10 Pro")</f>
      </c>
      <c r="I14" t="s">
        <v>73</v>
      </c>
      <c r="J14" t="s">
        <v>74</v>
      </c>
      <c r="K14" t="s">
        <v>46</v>
      </c>
      <c r="L14">
        <v>159</v>
      </c>
      <c r="M14">
        <v>696</v>
      </c>
      <c r="N14" s="4">
        <v>0.3031</v>
      </c>
      <c r="O14">
        <v>211</v>
      </c>
      <c r="P14" s="5">
        <v>0.26</v>
      </c>
      <c r="Q14" s="4">
        <v>0.0047</v>
      </c>
      <c r="R14">
        <v>1</v>
      </c>
      <c r="S14">
        <v>1</v>
      </c>
      <c r="T14">
        <v>0</v>
      </c>
      <c r="U14">
        <v>0</v>
      </c>
      <c r="V14">
        <v>0</v>
      </c>
      <c r="W14" s="5">
        <v>56.34</v>
      </c>
      <c r="X14">
        <v>22</v>
      </c>
      <c r="Y14" s="4">
        <v>0</v>
      </c>
      <c r="Z14">
        <v>0</v>
      </c>
      <c r="AA14" s="5">
        <v>0</v>
      </c>
      <c r="AB14">
        <v>0</v>
      </c>
      <c r="AC14" s="5">
        <v>0</v>
      </c>
      <c r="AD14" s="5">
        <v>56.34</v>
      </c>
      <c r="AE14" s="5">
        <v>0</v>
      </c>
      <c r="AF14" s="5">
        <v>56.34</v>
      </c>
      <c r="AG14" s="5">
        <v>0</v>
      </c>
      <c r="AH14" s="5">
        <v>0</v>
      </c>
      <c r="AI14" s="5">
        <v>0</v>
      </c>
    </row>
    <row r="15">
      <c r="A15" s="2" t="str">
        <f>HYPERLINK("https://www.avito.ru/moskva/bytovaya_elektronika/3d_printer_bambu_lab_h2d_laser_combo_ams_40vt_cn_7861099048","7861099048")</f>
      </c>
      <c r="B15" t="s">
        <v>35</v>
      </c>
      <c r="C15" t="s">
        <v>36</v>
      </c>
      <c r="D15" t="s">
        <v>57</v>
      </c>
      <c r="E15" t="s">
        <v>38</v>
      </c>
      <c r="F15" t="s">
        <v>39</v>
      </c>
      <c r="G15" t="s">
        <v>40</v>
      </c>
      <c r="H15" s="3" t="str">
        <f>HYPERLINK("https://www.avito.ru/moskva/bytovaya_elektronika/3d_printer_bambu_lab_h2d_laser_combo_ams_40vt_cn_7861099048","3D принтер Bambu Lab H2D Laser Combo AMS 40Вт CN")</f>
      </c>
      <c r="I15" t="s">
        <v>75</v>
      </c>
      <c r="J15" t="s">
        <v>61</v>
      </c>
      <c r="K15" t="s">
        <v>49</v>
      </c>
      <c r="L15">
        <v>156</v>
      </c>
      <c r="M15">
        <v>759</v>
      </c>
      <c r="N15" s="4">
        <v>0.2424</v>
      </c>
      <c r="O15">
        <v>184</v>
      </c>
      <c r="P15" s="5">
        <v>0.47</v>
      </c>
      <c r="Q15" s="4">
        <v>0.0271</v>
      </c>
      <c r="R15">
        <v>5</v>
      </c>
      <c r="S15">
        <v>4</v>
      </c>
      <c r="T15">
        <v>1</v>
      </c>
      <c r="U15">
        <v>0</v>
      </c>
      <c r="V15">
        <v>0</v>
      </c>
      <c r="W15" s="5">
        <v>17.36</v>
      </c>
      <c r="X15">
        <v>16</v>
      </c>
      <c r="Y15" s="4">
        <v>0</v>
      </c>
      <c r="Z15">
        <v>0</v>
      </c>
      <c r="AA15" s="5">
        <v>0</v>
      </c>
      <c r="AB15">
        <v>0</v>
      </c>
      <c r="AC15" s="5">
        <v>0</v>
      </c>
      <c r="AD15" s="5">
        <v>86.8</v>
      </c>
      <c r="AE15" s="5">
        <v>0</v>
      </c>
      <c r="AF15" s="5">
        <v>86.8</v>
      </c>
      <c r="AG15" s="5">
        <v>0</v>
      </c>
      <c r="AH15" s="5">
        <v>0</v>
      </c>
      <c r="AI15" s="5">
        <v>0</v>
      </c>
    </row>
    <row r="16">
      <c r="A16" s="2" t="str">
        <f>HYPERLINK("https://www.avito.ru/moskva/bytovaya_elektronika/3d_printer_bambu_lab_h2d_pro_combo_eu_7893214302","7893214302")</f>
      </c>
      <c r="B16" t="s">
        <v>35</v>
      </c>
      <c r="C16" t="s">
        <v>36</v>
      </c>
      <c r="D16" t="s">
        <v>37</v>
      </c>
      <c r="E16" t="s">
        <v>38</v>
      </c>
      <c r="F16" t="s">
        <v>39</v>
      </c>
      <c r="G16" t="s">
        <v>40</v>
      </c>
      <c r="H16" s="3" t="str">
        <f>HYPERLINK("https://www.avito.ru/moskva/bytovaya_elektronika/3d_printer_bambu_lab_h2d_pro_combo_eu_7893214302","3Д принтер Bambu Lab H2D PRO Combo EU")</f>
      </c>
      <c r="I16" t="s">
        <v>76</v>
      </c>
      <c r="J16" t="s">
        <v>55</v>
      </c>
      <c r="K16" t="s">
        <v>46</v>
      </c>
      <c r="L16">
        <v>135</v>
      </c>
      <c r="M16">
        <v>576</v>
      </c>
      <c r="N16" s="4">
        <v>0.2118</v>
      </c>
      <c r="O16">
        <v>122</v>
      </c>
      <c r="P16" s="5">
        <v>0.69</v>
      </c>
      <c r="Q16" s="4">
        <v>0.0409</v>
      </c>
      <c r="R16">
        <v>5</v>
      </c>
      <c r="S16">
        <v>5</v>
      </c>
      <c r="T16">
        <v>0</v>
      </c>
      <c r="U16">
        <v>0</v>
      </c>
      <c r="V16">
        <v>0</v>
      </c>
      <c r="W16" s="5">
        <v>16.92</v>
      </c>
      <c r="X16">
        <v>7</v>
      </c>
      <c r="Y16" s="4">
        <v>0</v>
      </c>
      <c r="Z16">
        <v>0</v>
      </c>
      <c r="AA16" s="5">
        <v>0</v>
      </c>
      <c r="AB16">
        <v>0</v>
      </c>
      <c r="AC16" s="5">
        <v>0</v>
      </c>
      <c r="AD16" s="5">
        <v>84.61</v>
      </c>
      <c r="AE16" s="5">
        <v>0</v>
      </c>
      <c r="AF16" s="5">
        <v>84.61</v>
      </c>
      <c r="AG16" s="5">
        <v>0</v>
      </c>
      <c r="AH16" s="5">
        <v>0</v>
      </c>
      <c r="AI16" s="5">
        <v>0</v>
      </c>
    </row>
    <row r="17">
      <c r="A17" s="2" t="str">
        <f>HYPERLINK("https://www.avito.ru/moskva/bytovaya_elektronika/3d_printer_cn_bambu_lab_h2d_laser_full_combo_10_vt_7861372585","7861372585")</f>
      </c>
      <c r="B17" t="s">
        <v>35</v>
      </c>
      <c r="C17" t="s">
        <v>36</v>
      </c>
      <c r="D17" t="s">
        <v>77</v>
      </c>
      <c r="E17" t="s">
        <v>38</v>
      </c>
      <c r="F17" t="s">
        <v>39</v>
      </c>
      <c r="G17" t="s">
        <v>40</v>
      </c>
      <c r="H17" s="3" t="str">
        <f>HYPERLINK("https://www.avito.ru/moskva/bytovaya_elektronika/3d_printer_cn_bambu_lab_h2d_laser_full_combo_10_vt_7861372585","3D принтер CN Bambu Lab H2D Laser Full Combo 10 Вт")</f>
      </c>
      <c r="I17" t="s">
        <v>78</v>
      </c>
      <c r="J17" t="s">
        <v>61</v>
      </c>
      <c r="K17" t="s">
        <v>49</v>
      </c>
      <c r="L17">
        <v>156</v>
      </c>
      <c r="M17">
        <v>438</v>
      </c>
      <c r="N17" s="4">
        <v>0.1415</v>
      </c>
      <c r="O17">
        <v>62</v>
      </c>
      <c r="P17" s="5">
        <v>1.4</v>
      </c>
      <c r="Q17" s="4">
        <v>0</v>
      </c>
      <c r="R17">
        <v>0</v>
      </c>
      <c r="S17">
        <v>0</v>
      </c>
      <c r="T17">
        <v>0</v>
      </c>
      <c r="U17">
        <v>0</v>
      </c>
      <c r="V17">
        <v>0</v>
      </c>
      <c r="W17" s="5" t="s">
        <v>79</v>
      </c>
      <c r="X17">
        <v>3</v>
      </c>
      <c r="Y17" s="4">
        <v>0</v>
      </c>
      <c r="Z17">
        <v>0</v>
      </c>
      <c r="AA17" s="5">
        <v>0</v>
      </c>
      <c r="AB17">
        <v>0</v>
      </c>
      <c r="AC17" s="5">
        <v>0</v>
      </c>
      <c r="AD17" s="5">
        <v>86.8</v>
      </c>
      <c r="AE17" s="5">
        <v>0</v>
      </c>
      <c r="AF17" s="5">
        <v>86.8</v>
      </c>
      <c r="AG17" s="5">
        <v>0</v>
      </c>
      <c r="AH17" s="5">
        <v>0</v>
      </c>
      <c r="AI17" s="5">
        <v>0</v>
      </c>
    </row>
    <row r="18">
      <c r="A18" s="2" t="str">
        <f>HYPERLINK("https://www.avito.ru/moskva/bytovaya_elektronika/3d_printer_eu_bambu_lab_h2d_laser_full_combo_10w_7829233208","7829233208")</f>
      </c>
      <c r="B18" t="s">
        <v>35</v>
      </c>
      <c r="C18" t="s">
        <v>36</v>
      </c>
      <c r="D18" t="s">
        <v>57</v>
      </c>
      <c r="E18" t="s">
        <v>38</v>
      </c>
      <c r="F18" t="s">
        <v>39</v>
      </c>
      <c r="G18" t="s">
        <v>40</v>
      </c>
      <c r="H18" s="3" t="str">
        <f>HYPERLINK("https://www.avito.ru/moskva/bytovaya_elektronika/3d_printer_eu_bambu_lab_h2d_laser_full_combo_10w_7829233208","3Д принтер EU Bambu Lab H2D Laser Full Combo 10W")</f>
      </c>
      <c r="I18" t="s">
        <v>80</v>
      </c>
      <c r="J18" t="s">
        <v>81</v>
      </c>
      <c r="K18" t="s">
        <v>49</v>
      </c>
      <c r="L18">
        <v>189</v>
      </c>
      <c r="M18">
        <v>331</v>
      </c>
      <c r="N18" s="4">
        <v>0.1752</v>
      </c>
      <c r="O18">
        <v>58</v>
      </c>
      <c r="P18" s="5">
        <v>1.49</v>
      </c>
      <c r="Q18" s="4">
        <v>0.0689</v>
      </c>
      <c r="R18">
        <v>4</v>
      </c>
      <c r="S18">
        <v>4</v>
      </c>
      <c r="T18">
        <v>0</v>
      </c>
      <c r="U18">
        <v>0</v>
      </c>
      <c r="V18">
        <v>0</v>
      </c>
      <c r="W18" s="5">
        <v>21.7</v>
      </c>
      <c r="X18">
        <v>4</v>
      </c>
      <c r="Y18" s="4">
        <v>0</v>
      </c>
      <c r="Z18">
        <v>0</v>
      </c>
      <c r="AA18" s="5">
        <v>0</v>
      </c>
      <c r="AB18">
        <v>0</v>
      </c>
      <c r="AC18" s="5">
        <v>0</v>
      </c>
      <c r="AD18" s="5">
        <v>86.8</v>
      </c>
      <c r="AE18" s="5">
        <v>0</v>
      </c>
      <c r="AF18" s="5">
        <v>86.8</v>
      </c>
      <c r="AG18" s="5">
        <v>0</v>
      </c>
      <c r="AH18" s="5">
        <v>0</v>
      </c>
      <c r="AI18" s="5">
        <v>0</v>
      </c>
    </row>
    <row r="19">
      <c r="A19" s="2" t="str">
        <f>HYPERLINK("https://www.avito.ru/moskva/bytovaya_elektronika/3d_printer_creality_k2_pro_combo_7829591441","7829591441")</f>
      </c>
      <c r="B19" t="s">
        <v>35</v>
      </c>
      <c r="C19" t="s">
        <v>36</v>
      </c>
      <c r="D19" t="s">
        <v>51</v>
      </c>
      <c r="E19" t="s">
        <v>38</v>
      </c>
      <c r="F19" t="s">
        <v>39</v>
      </c>
      <c r="G19" t="s">
        <v>40</v>
      </c>
      <c r="H19" s="3" t="str">
        <f>HYPERLINK("https://www.avito.ru/moskva/bytovaya_elektronika/3d_printer_creality_k2_pro_combo_7829591441","3D принтер creality k2 pro combo")</f>
      </c>
      <c r="I19" t="s">
        <v>82</v>
      </c>
      <c r="J19" t="s">
        <v>65</v>
      </c>
      <c r="K19" t="s">
        <v>83</v>
      </c>
      <c r="L19">
        <v>173</v>
      </c>
      <c r="M19">
        <v>191</v>
      </c>
      <c r="N19" s="4">
        <v>0.2251</v>
      </c>
      <c r="O19">
        <v>43</v>
      </c>
      <c r="P19" s="5">
        <v>0.43</v>
      </c>
      <c r="Q19" s="4">
        <v>0.0697</v>
      </c>
      <c r="R19">
        <v>3</v>
      </c>
      <c r="S19">
        <v>2</v>
      </c>
      <c r="T19">
        <v>1</v>
      </c>
      <c r="U19">
        <v>0</v>
      </c>
      <c r="V19">
        <v>0</v>
      </c>
      <c r="W19" s="5">
        <v>6.26</v>
      </c>
      <c r="X19">
        <v>2</v>
      </c>
      <c r="Y19" s="4">
        <v>0</v>
      </c>
      <c r="Z19">
        <v>0</v>
      </c>
      <c r="AA19" s="5">
        <v>0</v>
      </c>
      <c r="AB19">
        <v>0</v>
      </c>
      <c r="AC19" s="5">
        <v>0</v>
      </c>
      <c r="AD19" s="5">
        <v>18.78</v>
      </c>
      <c r="AE19" s="5">
        <v>0</v>
      </c>
      <c r="AF19" s="5">
        <v>18.78</v>
      </c>
      <c r="AG19" s="5">
        <v>0</v>
      </c>
      <c r="AH19" s="5">
        <v>0</v>
      </c>
      <c r="AI19" s="5">
        <v>0</v>
      </c>
    </row>
  </sheetData>
  <autoFilter ref="$A$1:$AI$2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
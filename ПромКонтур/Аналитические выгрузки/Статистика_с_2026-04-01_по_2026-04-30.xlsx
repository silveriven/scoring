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'Sheet1'!$A$1:$AI$27</definedName>
  </definedNames>
  <calcPr calcId="122211"/>
</workbook>
</file>

<file path=xl/sharedStrings.xml><?xml version="1.0" encoding="utf-8"?>
<sst xmlns="http://schemas.openxmlformats.org/spreadsheetml/2006/main" count="95" uniqueCount="95">
  <si>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</si>
  <si>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</si>
  <si>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</si>
  <si>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</si>
  <si>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</si>
  <si>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</si>
  <si>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</si>
  <si>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</si>
  <si>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</si>
  <si>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</si>
  <si>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</si>
  <si>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</si>
  <si>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</si>
  <si>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</si>
  <si>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</si>
  <si>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</si>
  <si>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</si>
  <si>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</si>
  <si>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</si>
  <si>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</si>
  <si>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</si>
  <si>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</si>
  <si>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</si>
  <si>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</si>
  <si>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</si>
  <si>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</si>
  <si>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</si>
  <si>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</si>
  <si>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</si>
  <si>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</si>
  <si>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</si>
  <si>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</si>
  <si>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</si>
  <si>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</si>
  <si>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</si>
  <si>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</si>
  <si>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</si>
  <si>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Дмитрия Ульянова</t>
  </si>
  <si>
    <t>Электроника</t>
  </si>
  <si>
    <t>Оргтехника и расходники</t>
  </si>
  <si>
    <t>3D-принтеры</t>
  </si>
  <si>
    <t>431 000 ₽</t>
  </si>
  <si>
    <t>2026-01-11</t>
  </si>
  <si>
    <t>2026-05-16</t>
  </si>
  <si>
    <t>615 500 ₽</t>
  </si>
  <si>
    <t>2026-01-14</t>
  </si>
  <si>
    <t>2026-07-03</t>
  </si>
  <si>
    <t>159 000 ₽</t>
  </si>
  <si>
    <t>2026-01-13</t>
  </si>
  <si>
    <t>Москва, Большой Каменный мост</t>
  </si>
  <si>
    <t>199 900 ₽</t>
  </si>
  <si>
    <t>2026-04-08</t>
  </si>
  <si>
    <t>2026-05-08</t>
  </si>
  <si>
    <t>Москва, Пятницкое ш. (дублёр)</t>
  </si>
  <si>
    <t>143 900 ₽</t>
  </si>
  <si>
    <t>2026-01-21</t>
  </si>
  <si>
    <t>Москва, Профсоюзная ул., 5/9</t>
  </si>
  <si>
    <t>359 000 ₽</t>
  </si>
  <si>
    <t>2025-12-29</t>
  </si>
  <si>
    <t>Москва, Смоленский б-р</t>
  </si>
  <si>
    <t>Объявление удалено</t>
  </si>
  <si>
    <t/>
  </si>
  <si>
    <t>249 000 ₽</t>
  </si>
  <si>
    <t>2026-02-11</t>
  </si>
  <si>
    <t>2026-05-15</t>
  </si>
  <si>
    <t>2026-02-08</t>
  </si>
  <si>
    <t>259 000 ₽</t>
  </si>
  <si>
    <t>194 900 ₽</t>
  </si>
  <si>
    <t>2026-01-22</t>
  </si>
  <si>
    <t>2026-05-04</t>
  </si>
  <si>
    <t>95 000 ₽</t>
  </si>
  <si>
    <t>2026-05-20</t>
  </si>
  <si>
    <t>299 000 ₽</t>
  </si>
  <si>
    <t>1 490 000 ₽</t>
  </si>
  <si>
    <t>2026-01-04</t>
  </si>
  <si>
    <t>2026-04-13</t>
  </si>
  <si>
    <t>Москва, пр. Воскресенские Ворота</t>
  </si>
  <si>
    <t>199 000 ₽</t>
  </si>
  <si>
    <t>2026-04-17</t>
  </si>
  <si>
    <t>2026-05-17</t>
  </si>
  <si>
    <t>109 000 ₽</t>
  </si>
  <si>
    <t>Москва, Калужско-Рижская линия</t>
  </si>
  <si>
    <t>754 998 ₽</t>
  </si>
  <si>
    <t>2026-01-18</t>
  </si>
  <si>
    <t>149 000 ₽</t>
  </si>
  <si>
    <t>Москва, Юго-Западный административный округ, Академический район, 12-й квартал</t>
  </si>
  <si>
    <t>229 000 ₽</t>
  </si>
  <si>
    <t>Москва, пр-т Академика Сахарова</t>
  </si>
  <si>
    <t>94 900 ₽</t>
  </si>
  <si>
    <t>269 000 ₽</t>
  </si>
  <si>
    <t>2025-12-19</t>
  </si>
  <si>
    <t>Москва, ул. Новый Арбат</t>
  </si>
  <si>
    <t>Москва, Садовая-Сухаревская ул., 11</t>
  </si>
  <si>
    <t>89 000 ₽</t>
  </si>
  <si>
    <t>2026-04-18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</si>
</sst>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J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14"/>
    <col customWidth="true" max="19" min="19" width="20"/>
    <col customWidth="true" max="20" min="20" width="24"/>
    <col customWidth="true" max="21" min="21" width="41"/>
    <col customWidth="true" max="22" min="22" width="35"/>
    <col customWidth="true" max="23" min="23" width="27"/>
    <col customWidth="true" max="24" min="24" width="26"/>
    <col customWidth="true" max="25" min="25" width="49"/>
    <col customWidth="true" max="26" min="26" width="22"/>
    <col customWidth="true" max="27" min="27" width="34"/>
    <col customWidth="true" max="28" min="28" width="24"/>
    <col customWidth="true" max="29" min="29" width="36"/>
    <col customWidth="true" max="30" min="30" width="27"/>
    <col customWidth="true" max="31" min="31" width="35"/>
    <col customWidth="true" max="32" min="32" width="46"/>
    <col customWidth="true" max="33" min="33" width="28"/>
    <col customWidth="true" max="34" min="34" width="23"/>
    <col customWidth="true" max="35" min="35"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tr">
        <f>HYPERLINK("https://www.avito.ru/moskva/bytovaya_elektronika/3d-printer_bolshoy_fdm_dowell_dm6-8plus_7861315997","7861315997")</f>
      </c>
      <c r="B2" t="s">
        <v>35</v>
      </c>
      <c r="C2" t="s">
        <v>36</v>
      </c>
      <c r="D2" t="s">
        <v>37</v>
      </c>
      <c r="E2" t="s">
        <v>38</v>
      </c>
      <c r="F2" t="s">
        <v>39</v>
      </c>
      <c r="G2" t="s">
        <v>40</v>
      </c>
      <c r="H2" s="3" t="str">
        <f>HYPERLINK("https://www.avito.ru/moskva/bytovaya_elektronika/3d-printer_bolshoy_fdm_dowell_dm6-8plus_7861315997","3D-принтер большой (FDM) DoWell DM6-8Plus")</f>
      </c>
      <c r="I2" t="s">
        <v>41</v>
      </c>
      <c r="J2" t="s">
        <v>42</v>
      </c>
      <c r="K2" t="s">
        <v>43</v>
      </c>
      <c r="L2">
        <v>166</v>
      </c>
      <c r="M2">
        <v>5504</v>
      </c>
      <c r="N2" s="4">
        <v>0.2443</v>
      </c>
      <c r="O2">
        <v>1345</v>
      </c>
      <c r="P2" s="5">
        <v>0.47</v>
      </c>
      <c r="Q2" s="4">
        <v>0.0044</v>
      </c>
      <c r="R2">
        <v>6</v>
      </c>
      <c r="S2">
        <v>5</v>
      </c>
      <c r="T2">
        <v>0</v>
      </c>
      <c r="U2">
        <v>1</v>
      </c>
      <c r="V2">
        <v>0</v>
      </c>
      <c r="W2" s="5">
        <v>107.24</v>
      </c>
      <c r="X2">
        <v>103</v>
      </c>
      <c r="Y2" s="4">
        <v>0</v>
      </c>
      <c r="Z2">
        <v>0</v>
      </c>
      <c r="AA2" s="5">
        <v>0</v>
      </c>
      <c r="AB2">
        <v>0</v>
      </c>
      <c r="AC2" s="5">
        <v>0</v>
      </c>
      <c r="AD2" s="5">
        <v>643.45</v>
      </c>
      <c r="AE2" s="5">
        <v>0</v>
      </c>
      <c r="AF2" s="5">
        <v>83.45</v>
      </c>
      <c r="AG2" s="5">
        <v>560</v>
      </c>
      <c r="AH2" s="5">
        <v>0</v>
      </c>
      <c r="AI2" s="5">
        <v>0</v>
      </c>
    </row>
    <row r="3">
      <c r="A3" s="2" t="str">
        <f>HYPERLINK("https://www.avito.ru/moskva/bytovaya_elektronika/3d_printer_bolshoy_dowell_dowell_dm10-18plus_7861145324","7861145324")</f>
      </c>
      <c r="B3" t="s">
        <v>35</v>
      </c>
      <c r="C3" t="s">
        <v>36</v>
      </c>
      <c r="D3" t="s">
        <v>37</v>
      </c>
      <c r="E3" t="s">
        <v>38</v>
      </c>
      <c r="F3" t="s">
        <v>39</v>
      </c>
      <c r="G3" t="s">
        <v>40</v>
      </c>
      <c r="H3" s="3" t="str">
        <f>HYPERLINK("https://www.avito.ru/moskva/bytovaya_elektronika/3d_printer_bolshoy_dowell_dowell_dm10-18plus_7861145324","3Д принтер большой DoWell DoWell DM10-18Plus")</f>
      </c>
      <c r="I3" t="s">
        <v>44</v>
      </c>
      <c r="J3" t="s">
        <v>45</v>
      </c>
      <c r="K3" t="s">
        <v>46</v>
      </c>
      <c r="L3">
        <v>163</v>
      </c>
      <c r="M3">
        <v>5818</v>
      </c>
      <c r="N3" s="4">
        <v>0.2267</v>
      </c>
      <c r="O3">
        <v>1319</v>
      </c>
      <c r="P3" s="5">
        <v>0.92</v>
      </c>
      <c r="Q3" s="4">
        <v>0.0083</v>
      </c>
      <c r="R3">
        <v>11</v>
      </c>
      <c r="S3">
        <v>9</v>
      </c>
      <c r="T3">
        <v>1</v>
      </c>
      <c r="U3">
        <v>1</v>
      </c>
      <c r="V3">
        <v>0</v>
      </c>
      <c r="W3" s="5">
        <v>110.69</v>
      </c>
      <c r="X3">
        <v>127</v>
      </c>
      <c r="Y3" s="4">
        <v>0</v>
      </c>
      <c r="Z3">
        <v>0</v>
      </c>
      <c r="AA3" s="5">
        <v>0</v>
      </c>
      <c r="AB3">
        <v>0</v>
      </c>
      <c r="AC3" s="5">
        <v>0</v>
      </c>
      <c r="AD3" s="5">
        <v>1217.6</v>
      </c>
      <c r="AE3" s="5">
        <v>0</v>
      </c>
      <c r="AF3" s="5">
        <v>47.6</v>
      </c>
      <c r="AG3" s="5">
        <v>1170</v>
      </c>
      <c r="AH3" s="5">
        <v>0</v>
      </c>
      <c r="AI3" s="5">
        <v>0</v>
      </c>
    </row>
    <row r="4">
      <c r="A4" s="2" t="str">
        <f>HYPERLINK("https://www.avito.ru/moskva/bytovaya_elektronika/3d-_printer_cn_bambu_lab_h2d_combo_ams_7861277713","7861277713")</f>
      </c>
      <c r="B4" t="s">
        <v>35</v>
      </c>
      <c r="C4" t="s">
        <v>36</v>
      </c>
      <c r="D4" t="s">
        <v>37</v>
      </c>
      <c r="E4" t="s">
        <v>38</v>
      </c>
      <c r="F4" t="s">
        <v>39</v>
      </c>
      <c r="G4" t="s">
        <v>40</v>
      </c>
      <c r="H4" s="3" t="str">
        <f>HYPERLINK("https://www.avito.ru/moskva/bytovaya_elektronika/3d-_printer_cn_bambu_lab_h2d_combo_ams_7861277713","3Д- принтер CN Bambu Lab H2D Combo AMS")</f>
      </c>
      <c r="I4" t="s">
        <v>47</v>
      </c>
      <c r="J4" t="s">
        <v>48</v>
      </c>
      <c r="K4" t="s">
        <v>46</v>
      </c>
      <c r="L4">
        <v>164</v>
      </c>
      <c r="M4">
        <v>3930</v>
      </c>
      <c r="N4" s="4">
        <v>0.1913</v>
      </c>
      <c r="O4">
        <v>752</v>
      </c>
      <c r="P4" s="5">
        <v>2.82</v>
      </c>
      <c r="Q4" s="4">
        <v>0.0199</v>
      </c>
      <c r="R4">
        <v>15</v>
      </c>
      <c r="S4">
        <v>12</v>
      </c>
      <c r="T4">
        <v>3</v>
      </c>
      <c r="U4">
        <v>0</v>
      </c>
      <c r="V4">
        <v>0</v>
      </c>
      <c r="W4" s="5">
        <v>141.84</v>
      </c>
      <c r="X4">
        <v>61</v>
      </c>
      <c r="Y4" s="4">
        <v>0</v>
      </c>
      <c r="Z4">
        <v>0</v>
      </c>
      <c r="AA4" s="5">
        <v>0</v>
      </c>
      <c r="AB4">
        <v>0</v>
      </c>
      <c r="AC4" s="5">
        <v>0</v>
      </c>
      <c r="AD4" s="5">
        <v>2127.6</v>
      </c>
      <c r="AE4" s="5">
        <v>0</v>
      </c>
      <c r="AF4" s="5">
        <v>47.6</v>
      </c>
      <c r="AG4" s="5">
        <v>2080</v>
      </c>
      <c r="AH4" s="5">
        <v>0</v>
      </c>
      <c r="AI4" s="5">
        <v>0</v>
      </c>
    </row>
    <row r="5">
      <c r="A5" s="2" t="str">
        <f>HYPERLINK("https://www.avito.ru/moskva/bytovaya_elektronika/bambu_lab_h2d_combo_ams_2_pro_7989459683","7989459683")</f>
      </c>
      <c r="B5" t="s">
        <v>35</v>
      </c>
      <c r="C5" t="s">
        <v>36</v>
      </c>
      <c r="D5" t="s">
        <v>49</v>
      </c>
      <c r="E5" t="s">
        <v>38</v>
      </c>
      <c r="F5" t="s">
        <v>39</v>
      </c>
      <c r="G5" t="s">
        <v>40</v>
      </c>
      <c r="H5" s="3" t="str">
        <f>HYPERLINK("https://www.avito.ru/moskva/bytovaya_elektronika/bambu_lab_h2d_combo_ams_2_pro_7989459683","Bambu lab H2D combo AMS 2 Pro")</f>
      </c>
      <c r="I5" t="s">
        <v>50</v>
      </c>
      <c r="J5" t="s">
        <v>51</v>
      </c>
      <c r="K5" t="s">
        <v>52</v>
      </c>
      <c r="L5">
        <v>79</v>
      </c>
      <c r="M5">
        <v>3211</v>
      </c>
      <c r="N5" s="4">
        <v>0.198</v>
      </c>
      <c r="O5">
        <v>636</v>
      </c>
      <c r="P5" s="5">
        <v>1.4</v>
      </c>
      <c r="Q5" s="4">
        <v>0.0204</v>
      </c>
      <c r="R5">
        <v>13</v>
      </c>
      <c r="S5">
        <v>11</v>
      </c>
      <c r="T5">
        <v>0</v>
      </c>
      <c r="U5">
        <v>2</v>
      </c>
      <c r="V5">
        <v>0</v>
      </c>
      <c r="W5" s="5">
        <v>68.62</v>
      </c>
      <c r="X5">
        <v>68</v>
      </c>
      <c r="Y5" s="4">
        <v>0</v>
      </c>
      <c r="Z5">
        <v>0</v>
      </c>
      <c r="AA5" s="5">
        <v>0</v>
      </c>
      <c r="AB5">
        <v>0</v>
      </c>
      <c r="AC5" s="5">
        <v>0</v>
      </c>
      <c r="AD5" s="5">
        <v>892.09</v>
      </c>
      <c r="AE5" s="5">
        <v>0</v>
      </c>
      <c r="AF5" s="5">
        <v>72.09</v>
      </c>
      <c r="AG5" s="5">
        <v>820</v>
      </c>
      <c r="AH5" s="5">
        <v>0</v>
      </c>
      <c r="AI5" s="5">
        <v>0</v>
      </c>
    </row>
    <row r="6">
      <c r="A6" s="2" t="str">
        <f>HYPERLINK("https://www.avito.ru/moskva/bytovaya_elektronika/3d_printer_bambu_lab_h2s_combo_ams_2_pro_7861541793","7861541793")</f>
      </c>
      <c r="B6" t="s">
        <v>35</v>
      </c>
      <c r="C6" t="s">
        <v>36</v>
      </c>
      <c r="D6" t="s">
        <v>53</v>
      </c>
      <c r="E6" t="s">
        <v>38</v>
      </c>
      <c r="F6" t="s">
        <v>39</v>
      </c>
      <c r="G6" t="s">
        <v>40</v>
      </c>
      <c r="H6" s="3" t="str">
        <f>HYPERLINK("https://www.avito.ru/moskva/bytovaya_elektronika/3d_printer_bambu_lab_h2s_combo_ams_2_pro_7861541793","3D принтер Bambu Lab H2S combo AMS 2 PRO")</f>
      </c>
      <c r="I6" t="s">
        <v>54</v>
      </c>
      <c r="J6" t="s">
        <v>55</v>
      </c>
      <c r="K6" t="s">
        <v>46</v>
      </c>
      <c r="L6">
        <v>156</v>
      </c>
      <c r="M6">
        <v>4005</v>
      </c>
      <c r="N6" s="4">
        <v>0.1578</v>
      </c>
      <c r="O6">
        <v>632</v>
      </c>
      <c r="P6" s="5">
        <v>1.95</v>
      </c>
      <c r="Q6" s="4">
        <v>0.0379</v>
      </c>
      <c r="R6">
        <v>24</v>
      </c>
      <c r="S6">
        <v>21</v>
      </c>
      <c r="T6">
        <v>1</v>
      </c>
      <c r="U6">
        <v>2</v>
      </c>
      <c r="V6">
        <v>0</v>
      </c>
      <c r="W6" s="5">
        <v>51.55</v>
      </c>
      <c r="X6">
        <v>53</v>
      </c>
      <c r="Y6" s="4">
        <v>0</v>
      </c>
      <c r="Z6">
        <v>0</v>
      </c>
      <c r="AA6" s="5">
        <v>0</v>
      </c>
      <c r="AB6">
        <v>0</v>
      </c>
      <c r="AC6" s="5">
        <v>0</v>
      </c>
      <c r="AD6" s="5">
        <v>1237.2</v>
      </c>
      <c r="AE6" s="5">
        <v>0</v>
      </c>
      <c r="AF6" s="5">
        <v>67.2</v>
      </c>
      <c r="AG6" s="5">
        <v>1170</v>
      </c>
      <c r="AH6" s="5">
        <v>0</v>
      </c>
      <c r="AI6" s="5">
        <v>0</v>
      </c>
    </row>
    <row r="7">
      <c r="A7" s="2" t="str">
        <f>HYPERLINK("https://www.avito.ru/moskva/bytovaya_elektronika/3d_printer_promyshlennyy_dowell_dm-8_800800800_7829120103","7829120103")</f>
      </c>
      <c r="B7" t="s">
        <v>35</v>
      </c>
      <c r="C7" t="s">
        <v>36</v>
      </c>
      <c r="D7" t="s">
        <v>56</v>
      </c>
      <c r="E7" t="s">
        <v>38</v>
      </c>
      <c r="F7" t="s">
        <v>39</v>
      </c>
      <c r="G7" t="s">
        <v>40</v>
      </c>
      <c r="H7" s="3" t="str">
        <f>HYPERLINK("https://www.avito.ru/moskva/bytovaya_elektronika/3d_printer_promyshlennyy_dowell_dm-8_800800800_7829120103","3Д принтер промышленный DoWell DM-8 800*800*800")</f>
      </c>
      <c r="I7" t="s">
        <v>57</v>
      </c>
      <c r="J7" t="s">
        <v>58</v>
      </c>
      <c r="K7" t="s">
        <v>43</v>
      </c>
      <c r="L7">
        <v>179</v>
      </c>
      <c r="M7">
        <v>1732</v>
      </c>
      <c r="N7" s="4">
        <v>0.3129</v>
      </c>
      <c r="O7">
        <v>542</v>
      </c>
      <c r="P7" s="5">
        <v>0.54</v>
      </c>
      <c r="Q7" s="4">
        <v>0.0036</v>
      </c>
      <c r="R7">
        <v>2</v>
      </c>
      <c r="S7">
        <v>1</v>
      </c>
      <c r="T7">
        <v>1</v>
      </c>
      <c r="U7">
        <v>0</v>
      </c>
      <c r="V7">
        <v>0</v>
      </c>
      <c r="W7" s="5">
        <v>146.72</v>
      </c>
      <c r="X7">
        <v>34</v>
      </c>
      <c r="Y7" s="4">
        <v>0</v>
      </c>
      <c r="Z7">
        <v>0</v>
      </c>
      <c r="AA7" s="5">
        <v>0</v>
      </c>
      <c r="AB7">
        <v>0</v>
      </c>
      <c r="AC7" s="5">
        <v>0</v>
      </c>
      <c r="AD7" s="5">
        <v>293.45</v>
      </c>
      <c r="AE7" s="5">
        <v>0</v>
      </c>
      <c r="AF7" s="5">
        <v>83.45</v>
      </c>
      <c r="AG7" s="5">
        <v>210</v>
      </c>
      <c r="AH7" s="5">
        <v>0</v>
      </c>
      <c r="AI7" s="5">
        <v>0</v>
      </c>
    </row>
    <row r="8">
      <c r="A8">
        <v>7989838485</v>
      </c>
      <c r="B8" t="s">
        <v>35</v>
      </c>
      <c r="C8" t="s">
        <v>36</v>
      </c>
      <c r="D8" t="s">
        <v>59</v>
      </c>
      <c r="E8" t="s">
        <v>38</v>
      </c>
      <c r="F8" t="s">
        <v>39</v>
      </c>
      <c r="G8" t="s">
        <v>40</v>
      </c>
      <c r="H8" t="s">
        <v>60</v>
      </c>
      <c r="I8" t="s">
        <v>61</v>
      </c>
      <c r="J8" t="s">
        <v>51</v>
      </c>
      <c r="K8" t="s">
        <v>52</v>
      </c>
      <c r="L8">
        <v>79</v>
      </c>
      <c r="M8">
        <v>1811</v>
      </c>
      <c r="N8" s="4">
        <v>0.2595</v>
      </c>
      <c r="O8">
        <v>470</v>
      </c>
      <c r="P8" s="5">
        <v>1.89</v>
      </c>
      <c r="Q8" s="4">
        <v>0.0212</v>
      </c>
      <c r="R8">
        <v>10</v>
      </c>
      <c r="S8">
        <v>9</v>
      </c>
      <c r="T8">
        <v>1</v>
      </c>
      <c r="U8">
        <v>0</v>
      </c>
      <c r="V8">
        <v>0</v>
      </c>
      <c r="W8" s="5">
        <v>89.2</v>
      </c>
      <c r="X8">
        <v>23</v>
      </c>
      <c r="Y8" s="4">
        <v>0</v>
      </c>
      <c r="Z8">
        <v>0</v>
      </c>
      <c r="AA8" s="5">
        <v>0</v>
      </c>
      <c r="AB8">
        <v>0</v>
      </c>
      <c r="AC8" s="5">
        <v>0</v>
      </c>
      <c r="AD8" s="5">
        <v>892.09</v>
      </c>
      <c r="AE8" s="5">
        <v>0</v>
      </c>
      <c r="AF8" s="5">
        <v>72.09</v>
      </c>
      <c r="AG8" s="5">
        <v>820</v>
      </c>
      <c r="AH8" s="5">
        <v>0</v>
      </c>
      <c r="AI8" s="5">
        <v>0</v>
      </c>
    </row>
    <row r="9">
      <c r="A9" s="2" t="str">
        <f>HYPERLINK("https://www.avito.ru/moskva/bytovaya_elektronika/3d_printer_eu_bambu_lab_h2c_combo_7893919239","7893919239")</f>
      </c>
      <c r="B9" t="s">
        <v>35</v>
      </c>
      <c r="C9" t="s">
        <v>36</v>
      </c>
      <c r="D9" t="s">
        <v>37</v>
      </c>
      <c r="E9" t="s">
        <v>38</v>
      </c>
      <c r="F9" t="s">
        <v>39</v>
      </c>
      <c r="G9" t="s">
        <v>40</v>
      </c>
      <c r="H9" s="3" t="str">
        <f>HYPERLINK("https://www.avito.ru/moskva/bytovaya_elektronika/3d_printer_eu_bambu_lab_h2c_combo_7893919239","3Д принтер EU Bambu Lab H2C combo")</f>
      </c>
      <c r="I9" t="s">
        <v>62</v>
      </c>
      <c r="J9" t="s">
        <v>63</v>
      </c>
      <c r="K9" t="s">
        <v>64</v>
      </c>
      <c r="L9">
        <v>135</v>
      </c>
      <c r="M9">
        <v>2259</v>
      </c>
      <c r="N9" s="4">
        <v>0.1952</v>
      </c>
      <c r="O9">
        <v>441</v>
      </c>
      <c r="P9" s="5">
        <v>5.79</v>
      </c>
      <c r="Q9" s="4">
        <v>0.0453</v>
      </c>
      <c r="R9">
        <v>20</v>
      </c>
      <c r="S9">
        <v>17</v>
      </c>
      <c r="T9">
        <v>2</v>
      </c>
      <c r="U9">
        <v>1</v>
      </c>
      <c r="V9">
        <v>0</v>
      </c>
      <c r="W9" s="5">
        <v>127.79</v>
      </c>
      <c r="X9">
        <v>24</v>
      </c>
      <c r="Y9" s="4">
        <v>0</v>
      </c>
      <c r="Z9">
        <v>0</v>
      </c>
      <c r="AA9" s="5">
        <v>0</v>
      </c>
      <c r="AB9">
        <v>0</v>
      </c>
      <c r="AC9" s="5">
        <v>0</v>
      </c>
      <c r="AD9" s="5">
        <v>2555.98</v>
      </c>
      <c r="AE9" s="5">
        <v>35</v>
      </c>
      <c r="AF9" s="5">
        <v>80.98</v>
      </c>
      <c r="AG9" s="5">
        <v>2475</v>
      </c>
      <c r="AH9" s="5">
        <v>0</v>
      </c>
      <c r="AI9" s="5">
        <v>0</v>
      </c>
    </row>
    <row r="10">
      <c r="A10" s="2" t="str">
        <f>HYPERLINK("https://www.avito.ru/moskva/bytovaya_elektronika/3d_printer_eu_bambu_lab_h2d_combo_nalichie_7893846634","7893846634")</f>
      </c>
      <c r="B10" t="s">
        <v>35</v>
      </c>
      <c r="C10" t="s">
        <v>36</v>
      </c>
      <c r="D10" t="s">
        <v>53</v>
      </c>
      <c r="E10" t="s">
        <v>38</v>
      </c>
      <c r="F10" t="s">
        <v>39</v>
      </c>
      <c r="G10" t="s">
        <v>40</v>
      </c>
      <c r="H10" s="3" t="str">
        <f>HYPERLINK("https://www.avito.ru/moskva/bytovaya_elektronika/3d_printer_eu_bambu_lab_h2d_combo_nalichie_7893846634","3Д принтер EU Bambu Lab H2D Combo наличие")</f>
      </c>
      <c r="I10" t="s">
        <v>50</v>
      </c>
      <c r="J10" t="s">
        <v>65</v>
      </c>
      <c r="K10" t="s">
        <v>43</v>
      </c>
      <c r="L10">
        <v>138</v>
      </c>
      <c r="M10">
        <v>1402</v>
      </c>
      <c r="N10" s="4">
        <v>0.2189</v>
      </c>
      <c r="O10">
        <v>307</v>
      </c>
      <c r="P10" s="5">
        <v>2.35</v>
      </c>
      <c r="Q10" s="4">
        <v>0.0195</v>
      </c>
      <c r="R10">
        <v>6</v>
      </c>
      <c r="S10">
        <v>6</v>
      </c>
      <c r="T10">
        <v>0</v>
      </c>
      <c r="U10">
        <v>0</v>
      </c>
      <c r="V10">
        <v>0</v>
      </c>
      <c r="W10" s="5">
        <v>120.66</v>
      </c>
      <c r="X10">
        <v>30</v>
      </c>
      <c r="Y10" s="4">
        <v>0</v>
      </c>
      <c r="Z10">
        <v>0</v>
      </c>
      <c r="AA10" s="5">
        <v>0</v>
      </c>
      <c r="AB10">
        <v>0</v>
      </c>
      <c r="AC10" s="5">
        <v>0</v>
      </c>
      <c r="AD10" s="5">
        <v>724</v>
      </c>
      <c r="AE10" s="5">
        <v>0</v>
      </c>
      <c r="AF10" s="5">
        <v>94</v>
      </c>
      <c r="AG10" s="5">
        <v>630</v>
      </c>
      <c r="AH10" s="5">
        <v>0</v>
      </c>
      <c r="AI10" s="5">
        <v>0</v>
      </c>
    </row>
    <row r="11">
      <c r="A11" s="2" t="str">
        <f>HYPERLINK("https://www.avito.ru/moskva/bytovaya_elektronika/3d_printer_bambu_lab_h2d_laser_combo_ams_40vt_cn_7861099048","7861099048")</f>
      </c>
      <c r="B11" t="s">
        <v>35</v>
      </c>
      <c r="C11" t="s">
        <v>36</v>
      </c>
      <c r="D11" t="s">
        <v>53</v>
      </c>
      <c r="E11" t="s">
        <v>38</v>
      </c>
      <c r="F11" t="s">
        <v>39</v>
      </c>
      <c r="G11" t="s">
        <v>40</v>
      </c>
      <c r="H11" s="3" t="str">
        <f>HYPERLINK("https://www.avito.ru/moskva/bytovaya_elektronika/3d_printer_bambu_lab_h2d_laser_combo_ams_40vt_cn_7861099048","3D принтер Bambu Lab H2D Laser Combo AMS 40Вт CN")</f>
      </c>
      <c r="I11" t="s">
        <v>66</v>
      </c>
      <c r="J11" t="s">
        <v>55</v>
      </c>
      <c r="K11" t="s">
        <v>46</v>
      </c>
      <c r="L11">
        <v>156</v>
      </c>
      <c r="M11">
        <v>945</v>
      </c>
      <c r="N11" s="4">
        <v>0.2296</v>
      </c>
      <c r="O11">
        <v>217</v>
      </c>
      <c r="P11" s="5">
        <v>4.08</v>
      </c>
      <c r="Q11" s="4">
        <v>0.046</v>
      </c>
      <c r="R11">
        <v>10</v>
      </c>
      <c r="S11">
        <v>8</v>
      </c>
      <c r="T11">
        <v>2</v>
      </c>
      <c r="U11">
        <v>0</v>
      </c>
      <c r="V11">
        <v>0</v>
      </c>
      <c r="W11" s="5">
        <v>88.72</v>
      </c>
      <c r="X11">
        <v>24</v>
      </c>
      <c r="Y11" s="4">
        <v>0</v>
      </c>
      <c r="Z11">
        <v>0</v>
      </c>
      <c r="AA11" s="5">
        <v>0</v>
      </c>
      <c r="AB11">
        <v>0</v>
      </c>
      <c r="AC11" s="5">
        <v>0</v>
      </c>
      <c r="AD11" s="5">
        <v>887.2</v>
      </c>
      <c r="AE11" s="5">
        <v>0</v>
      </c>
      <c r="AF11" s="5">
        <v>67.2</v>
      </c>
      <c r="AG11" s="5">
        <v>820</v>
      </c>
      <c r="AH11" s="5">
        <v>0</v>
      </c>
      <c r="AI11" s="5">
        <v>0</v>
      </c>
    </row>
    <row r="12">
      <c r="A12" s="2" t="str">
        <f>HYPERLINK("https://www.avito.ru/moskva/bytovaya_elektronika/3d_printer_eu_bambu_lab_h2d_combo_ams_7861721825","7861721825")</f>
      </c>
      <c r="B12" t="s">
        <v>35</v>
      </c>
      <c r="C12" t="s">
        <v>36</v>
      </c>
      <c r="D12" t="s">
        <v>53</v>
      </c>
      <c r="E12" t="s">
        <v>38</v>
      </c>
      <c r="F12" t="s">
        <v>39</v>
      </c>
      <c r="G12" t="s">
        <v>40</v>
      </c>
      <c r="H12" s="3" t="str">
        <f>HYPERLINK("https://www.avito.ru/moskva/bytovaya_elektronika/3d_printer_eu_bambu_lab_h2d_combo_ams_7861721825","3Д принтер EU Bambu lab H2D Combo AMS")</f>
      </c>
      <c r="I12" t="s">
        <v>67</v>
      </c>
      <c r="J12" t="s">
        <v>68</v>
      </c>
      <c r="K12" t="s">
        <v>69</v>
      </c>
      <c r="L12">
        <v>155</v>
      </c>
      <c r="M12">
        <v>1262</v>
      </c>
      <c r="N12" s="4">
        <v>0.1481</v>
      </c>
      <c r="O12">
        <v>187</v>
      </c>
      <c r="P12" s="5">
        <v>4.19</v>
      </c>
      <c r="Q12" s="4">
        <v>0.0748</v>
      </c>
      <c r="R12">
        <v>14</v>
      </c>
      <c r="S12">
        <v>13</v>
      </c>
      <c r="T12">
        <v>1</v>
      </c>
      <c r="U12">
        <v>0</v>
      </c>
      <c r="V12">
        <v>0</v>
      </c>
      <c r="W12" s="5">
        <v>56</v>
      </c>
      <c r="X12">
        <v>16</v>
      </c>
      <c r="Y12" s="4">
        <v>0</v>
      </c>
      <c r="Z12">
        <v>0</v>
      </c>
      <c r="AA12" s="5">
        <v>0</v>
      </c>
      <c r="AB12">
        <v>0</v>
      </c>
      <c r="AC12" s="5">
        <v>0</v>
      </c>
      <c r="AD12" s="5">
        <v>784</v>
      </c>
      <c r="AE12" s="5">
        <v>0</v>
      </c>
      <c r="AF12" s="5">
        <v>84</v>
      </c>
      <c r="AG12" s="5">
        <v>700</v>
      </c>
      <c r="AH12" s="5">
        <v>0</v>
      </c>
      <c r="AI12" s="5">
        <v>0</v>
      </c>
    </row>
    <row r="13">
      <c r="A13" s="2" t="str">
        <f>HYPERLINK("https://www.avito.ru/moskva/bytovaya_elektronika/3d-_printer_eu_bambu_lab_p2s_combo_7861506000","7861506000")</f>
      </c>
      <c r="B13" t="s">
        <v>35</v>
      </c>
      <c r="C13" t="s">
        <v>36</v>
      </c>
      <c r="D13" t="s">
        <v>37</v>
      </c>
      <c r="E13" t="s">
        <v>38</v>
      </c>
      <c r="F13" t="s">
        <v>39</v>
      </c>
      <c r="G13" t="s">
        <v>40</v>
      </c>
      <c r="H13" s="3" t="str">
        <f>HYPERLINK("https://www.avito.ru/moskva/bytovaya_elektronika/3d-_printer_eu_bambu_lab_p2s_combo_7861506000","3Д- принтер EU Bambu Lab P2S Combo")</f>
      </c>
      <c r="I13" t="s">
        <v>70</v>
      </c>
      <c r="J13" t="s">
        <v>48</v>
      </c>
      <c r="K13" t="s">
        <v>71</v>
      </c>
      <c r="L13">
        <v>164</v>
      </c>
      <c r="M13">
        <v>2226</v>
      </c>
      <c r="N13" s="4">
        <v>0.0759</v>
      </c>
      <c r="O13">
        <v>169</v>
      </c>
      <c r="P13" s="5">
        <v>6.28</v>
      </c>
      <c r="Q13" s="4">
        <v>0</v>
      </c>
      <c r="R13">
        <v>0</v>
      </c>
      <c r="S13">
        <v>0</v>
      </c>
      <c r="T13">
        <v>0</v>
      </c>
      <c r="U13">
        <v>0</v>
      </c>
      <c r="V13">
        <v>0</v>
      </c>
      <c r="W13" s="5" t="s">
        <v>61</v>
      </c>
      <c r="X13">
        <v>7</v>
      </c>
      <c r="Y13" s="4">
        <v>0.0059</v>
      </c>
      <c r="Z13">
        <v>1</v>
      </c>
      <c r="AA13" s="5">
        <v>89300</v>
      </c>
      <c r="AB13">
        <v>0</v>
      </c>
      <c r="AC13" s="5">
        <v>0</v>
      </c>
      <c r="AD13" s="5">
        <v>1062.13</v>
      </c>
      <c r="AE13" s="5">
        <v>0</v>
      </c>
      <c r="AF13" s="5">
        <v>82.13</v>
      </c>
      <c r="AG13" s="5">
        <v>980</v>
      </c>
      <c r="AH13" s="5">
        <v>0</v>
      </c>
      <c r="AI13" s="5">
        <v>0</v>
      </c>
    </row>
    <row r="14">
      <c r="A14" s="2" t="str">
        <f>HYPERLINK("https://www.avito.ru/moskva/bytovaya_elektronika/3d_printer_bambu_lab_h2d_pro_combo_eu_7893214302","7893214302")</f>
      </c>
      <c r="B14" t="s">
        <v>35</v>
      </c>
      <c r="C14" t="s">
        <v>36</v>
      </c>
      <c r="D14" t="s">
        <v>37</v>
      </c>
      <c r="E14" t="s">
        <v>38</v>
      </c>
      <c r="F14" t="s">
        <v>39</v>
      </c>
      <c r="G14" t="s">
        <v>40</v>
      </c>
      <c r="H14" s="3" t="str">
        <f>HYPERLINK("https://www.avito.ru/moskva/bytovaya_elektronika/3d_printer_bambu_lab_h2d_pro_combo_eu_7893214302","3Д принтер Bambu Lab H2D PRO Combo EU")</f>
      </c>
      <c r="I14" t="s">
        <v>72</v>
      </c>
      <c r="J14" t="s">
        <v>63</v>
      </c>
      <c r="K14" t="s">
        <v>43</v>
      </c>
      <c r="L14">
        <v>135</v>
      </c>
      <c r="M14">
        <v>785</v>
      </c>
      <c r="N14" s="4">
        <v>0.1974</v>
      </c>
      <c r="O14">
        <v>155</v>
      </c>
      <c r="P14" s="5">
        <v>4.67</v>
      </c>
      <c r="Q14" s="4">
        <v>0.0451</v>
      </c>
      <c r="R14">
        <v>7</v>
      </c>
      <c r="S14">
        <v>6</v>
      </c>
      <c r="T14">
        <v>1</v>
      </c>
      <c r="U14">
        <v>0</v>
      </c>
      <c r="V14">
        <v>0</v>
      </c>
      <c r="W14" s="5">
        <v>103.42</v>
      </c>
      <c r="X14">
        <v>13</v>
      </c>
      <c r="Y14" s="4">
        <v>0</v>
      </c>
      <c r="Z14">
        <v>0</v>
      </c>
      <c r="AA14" s="5">
        <v>0</v>
      </c>
      <c r="AB14">
        <v>0</v>
      </c>
      <c r="AC14" s="5">
        <v>0</v>
      </c>
      <c r="AD14" s="5">
        <v>724</v>
      </c>
      <c r="AE14" s="5">
        <v>0</v>
      </c>
      <c r="AF14" s="5">
        <v>94</v>
      </c>
      <c r="AG14" s="5">
        <v>630</v>
      </c>
      <c r="AH14" s="5">
        <v>0</v>
      </c>
      <c r="AI14" s="5">
        <v>0</v>
      </c>
    </row>
    <row r="15">
      <c r="A15" s="2" t="str">
        <f>HYPERLINK("https://www.avito.ru/moskva/bytovaya_elektronika/3d_printer_bolshoy_100010001000_mingda_7829546342","7829546342")</f>
      </c>
      <c r="B15" t="s">
        <v>35</v>
      </c>
      <c r="C15" t="s">
        <v>36</v>
      </c>
      <c r="D15" t="s">
        <v>56</v>
      </c>
      <c r="E15" t="s">
        <v>38</v>
      </c>
      <c r="F15" t="s">
        <v>39</v>
      </c>
      <c r="G15" t="s">
        <v>40</v>
      </c>
      <c r="H15" s="3" t="str">
        <f>HYPERLINK("https://www.avito.ru/moskva/bytovaya_elektronika/3d_printer_bolshoy_100010001000_mingda_7829546342","3Д принтер большой 1000*1000*1000 mingda")</f>
      </c>
      <c r="I15" t="s">
        <v>73</v>
      </c>
      <c r="J15" t="s">
        <v>74</v>
      </c>
      <c r="K15" t="s">
        <v>75</v>
      </c>
      <c r="L15">
        <v>173</v>
      </c>
      <c r="M15">
        <v>325</v>
      </c>
      <c r="N15" s="4">
        <v>0.4369</v>
      </c>
      <c r="O15">
        <v>142</v>
      </c>
      <c r="P15" s="5">
        <v>0.25</v>
      </c>
      <c r="Q15" s="4">
        <v>0</v>
      </c>
      <c r="R15">
        <v>0</v>
      </c>
      <c r="S15">
        <v>0</v>
      </c>
      <c r="T15">
        <v>0</v>
      </c>
      <c r="U15">
        <v>0</v>
      </c>
      <c r="V15">
        <v>0</v>
      </c>
      <c r="W15" s="5" t="s">
        <v>61</v>
      </c>
      <c r="X15">
        <v>11</v>
      </c>
      <c r="Y15" s="4">
        <v>0</v>
      </c>
      <c r="Z15">
        <v>0</v>
      </c>
      <c r="AA15" s="5">
        <v>0</v>
      </c>
      <c r="AB15">
        <v>0</v>
      </c>
      <c r="AC15" s="5">
        <v>0</v>
      </c>
      <c r="AD15" s="5">
        <v>36.4</v>
      </c>
      <c r="AE15" s="5">
        <v>0</v>
      </c>
      <c r="AF15" s="5">
        <v>36.4</v>
      </c>
      <c r="AG15" s="5">
        <v>0</v>
      </c>
      <c r="AH15" s="5">
        <v>0</v>
      </c>
      <c r="AI15" s="5">
        <v>0</v>
      </c>
    </row>
    <row r="16">
      <c r="A16" s="2" t="str">
        <f>HYPERLINK("https://www.avito.ru/moskva/bytovaya_elektronika/3d_printer_bambu_lab_h2d_combo_nalichie_8021296504","8021296504")</f>
      </c>
      <c r="B16" t="s">
        <v>35</v>
      </c>
      <c r="C16" t="s">
        <v>36</v>
      </c>
      <c r="D16" t="s">
        <v>76</v>
      </c>
      <c r="E16" t="s">
        <v>38</v>
      </c>
      <c r="F16" t="s">
        <v>39</v>
      </c>
      <c r="G16" t="s">
        <v>40</v>
      </c>
      <c r="H16" s="3" t="str">
        <f>HYPERLINK("https://www.avito.ru/moskva/bytovaya_elektronika/3d_printer_bambu_lab_h2d_combo_nalichie_8021296504","3D принтер Bambu Lab H2D Combo наличие")</f>
      </c>
      <c r="I16" t="s">
        <v>77</v>
      </c>
      <c r="J16" t="s">
        <v>78</v>
      </c>
      <c r="K16" t="s">
        <v>79</v>
      </c>
      <c r="L16">
        <v>70</v>
      </c>
      <c r="M16">
        <v>912</v>
      </c>
      <c r="N16" s="4">
        <v>0.1403</v>
      </c>
      <c r="O16">
        <v>128</v>
      </c>
      <c r="P16" s="5">
        <v>10.22</v>
      </c>
      <c r="Q16" s="4">
        <v>0.0312</v>
      </c>
      <c r="R16">
        <v>4</v>
      </c>
      <c r="S16">
        <v>4</v>
      </c>
      <c r="T16">
        <v>0</v>
      </c>
      <c r="U16">
        <v>0</v>
      </c>
      <c r="V16">
        <v>0</v>
      </c>
      <c r="W16" s="5">
        <v>327.23</v>
      </c>
      <c r="X16">
        <v>11</v>
      </c>
      <c r="Y16" s="4">
        <v>0</v>
      </c>
      <c r="Z16">
        <v>0</v>
      </c>
      <c r="AA16" s="5">
        <v>0</v>
      </c>
      <c r="AB16">
        <v>0</v>
      </c>
      <c r="AC16" s="5">
        <v>0</v>
      </c>
      <c r="AD16" s="5">
        <v>1308.92</v>
      </c>
      <c r="AE16" s="5">
        <v>0</v>
      </c>
      <c r="AF16" s="5">
        <v>43.92</v>
      </c>
      <c r="AG16" s="5">
        <v>1265</v>
      </c>
      <c r="AH16" s="5">
        <v>0</v>
      </c>
      <c r="AI16" s="5">
        <v>0</v>
      </c>
    </row>
    <row r="17">
      <c r="A17" s="2" t="str">
        <f>HYPERLINK("https://www.avito.ru/moskva/bytovaya_elektronika/3d-printer_snapmaker_u1_7989611534","7989611534")</f>
      </c>
      <c r="B17" t="s">
        <v>35</v>
      </c>
      <c r="C17" t="s">
        <v>36</v>
      </c>
      <c r="D17" t="s">
        <v>49</v>
      </c>
      <c r="E17" t="s">
        <v>38</v>
      </c>
      <c r="F17" t="s">
        <v>39</v>
      </c>
      <c r="G17" t="s">
        <v>40</v>
      </c>
      <c r="H17" s="3" t="str">
        <f>HYPERLINK("https://www.avito.ru/moskva/bytovaya_elektronika/3d-printer_snapmaker_u1_7989611534","3D-принтер Snapmaker U1")</f>
      </c>
      <c r="I17" t="s">
        <v>80</v>
      </c>
      <c r="J17" t="s">
        <v>51</v>
      </c>
      <c r="K17" t="s">
        <v>52</v>
      </c>
      <c r="L17">
        <v>79</v>
      </c>
      <c r="M17">
        <v>1095</v>
      </c>
      <c r="N17" s="4">
        <v>0.1077</v>
      </c>
      <c r="O17">
        <v>118</v>
      </c>
      <c r="P17" s="5">
        <v>3.49</v>
      </c>
      <c r="Q17" s="4">
        <v>0.0169</v>
      </c>
      <c r="R17">
        <v>2</v>
      </c>
      <c r="S17">
        <v>2</v>
      </c>
      <c r="T17">
        <v>0</v>
      </c>
      <c r="U17">
        <v>0</v>
      </c>
      <c r="V17">
        <v>0</v>
      </c>
      <c r="W17" s="5">
        <v>206.04</v>
      </c>
      <c r="X17">
        <v>5</v>
      </c>
      <c r="Y17" s="4">
        <v>0</v>
      </c>
      <c r="Z17">
        <v>0</v>
      </c>
      <c r="AA17" s="5">
        <v>0</v>
      </c>
      <c r="AB17">
        <v>0</v>
      </c>
      <c r="AC17" s="5">
        <v>0</v>
      </c>
      <c r="AD17" s="5">
        <v>412.09</v>
      </c>
      <c r="AE17" s="5">
        <v>0</v>
      </c>
      <c r="AF17" s="5">
        <v>72.09</v>
      </c>
      <c r="AG17" s="5">
        <v>340</v>
      </c>
      <c r="AH17" s="5">
        <v>0</v>
      </c>
      <c r="AI17" s="5">
        <v>0</v>
      </c>
    </row>
    <row r="18">
      <c r="A18" s="2" t="str">
        <f>HYPERLINK("https://www.avito.ru/moskva/bytovaya_elektronika/3d-printer_bolshoy_fdm_dowell_dm1016-10_pro_7861534642","7861534642")</f>
      </c>
      <c r="B18" t="s">
        <v>35</v>
      </c>
      <c r="C18" t="s">
        <v>36</v>
      </c>
      <c r="D18" t="s">
        <v>81</v>
      </c>
      <c r="E18" t="s">
        <v>38</v>
      </c>
      <c r="F18" t="s">
        <v>39</v>
      </c>
      <c r="G18" t="s">
        <v>40</v>
      </c>
      <c r="H18" s="3" t="str">
        <f>HYPERLINK("https://www.avito.ru/moskva/bytovaya_elektronika/3d-printer_bolshoy_fdm_dowell_dm1016-10_pro_7861534642","3D-принтер большой FDM DoWell DM1016-10 Pro")</f>
      </c>
      <c r="I18" t="s">
        <v>82</v>
      </c>
      <c r="J18" t="s">
        <v>83</v>
      </c>
      <c r="K18" t="s">
        <v>43</v>
      </c>
      <c r="L18">
        <v>159</v>
      </c>
      <c r="M18">
        <v>242</v>
      </c>
      <c r="N18" s="4">
        <v>0.4214</v>
      </c>
      <c r="O18">
        <v>102</v>
      </c>
      <c r="P18" s="5">
        <v>1.14</v>
      </c>
      <c r="Q18" s="4">
        <v>0.0294</v>
      </c>
      <c r="R18">
        <v>3</v>
      </c>
      <c r="S18">
        <v>2</v>
      </c>
      <c r="T18">
        <v>1</v>
      </c>
      <c r="U18">
        <v>0</v>
      </c>
      <c r="V18">
        <v>0</v>
      </c>
      <c r="W18" s="5">
        <v>39.01</v>
      </c>
      <c r="X18">
        <v>9</v>
      </c>
      <c r="Y18" s="4">
        <v>0</v>
      </c>
      <c r="Z18">
        <v>0</v>
      </c>
      <c r="AA18" s="5">
        <v>0</v>
      </c>
      <c r="AB18">
        <v>0</v>
      </c>
      <c r="AC18" s="5">
        <v>0</v>
      </c>
      <c r="AD18" s="5">
        <v>117.05</v>
      </c>
      <c r="AE18" s="5">
        <v>0</v>
      </c>
      <c r="AF18" s="5">
        <v>47.05</v>
      </c>
      <c r="AG18" s="5">
        <v>70</v>
      </c>
      <c r="AH18" s="5">
        <v>0</v>
      </c>
      <c r="AI18" s="5">
        <v>0</v>
      </c>
    </row>
    <row r="19">
      <c r="A19" s="2" t="str">
        <f>HYPERLINK("https://www.avito.ru/moskva/bytovaya_elektronika/3d_printer_bambu_lab_h2s_combo_v_nalichii_8021800703","8021800703")</f>
      </c>
      <c r="B19" t="s">
        <v>35</v>
      </c>
      <c r="C19" t="s">
        <v>36</v>
      </c>
      <c r="D19" t="s">
        <v>76</v>
      </c>
      <c r="E19" t="s">
        <v>38</v>
      </c>
      <c r="F19" t="s">
        <v>39</v>
      </c>
      <c r="G19" t="s">
        <v>40</v>
      </c>
      <c r="H19" s="3" t="str">
        <f>HYPERLINK("https://www.avito.ru/moskva/bytovaya_elektronika/3d_printer_bambu_lab_h2s_combo_v_nalichii_8021800703","3D принтер Bambu Lab H2С Combo В наличии")</f>
      </c>
      <c r="I19" t="s">
        <v>66</v>
      </c>
      <c r="J19" t="s">
        <v>78</v>
      </c>
      <c r="K19" t="s">
        <v>79</v>
      </c>
      <c r="L19">
        <v>70</v>
      </c>
      <c r="M19">
        <v>615</v>
      </c>
      <c r="N19" s="4">
        <v>0.143</v>
      </c>
      <c r="O19">
        <v>88</v>
      </c>
      <c r="P19" s="5">
        <v>13.56</v>
      </c>
      <c r="Q19" s="4">
        <v>0.0113</v>
      </c>
      <c r="R19">
        <v>1</v>
      </c>
      <c r="S19">
        <v>1</v>
      </c>
      <c r="T19">
        <v>0</v>
      </c>
      <c r="U19">
        <v>0</v>
      </c>
      <c r="V19">
        <v>0</v>
      </c>
      <c r="W19" s="5">
        <v>1193.92</v>
      </c>
      <c r="X19">
        <v>10</v>
      </c>
      <c r="Y19" s="4">
        <v>0</v>
      </c>
      <c r="Z19">
        <v>0</v>
      </c>
      <c r="AA19" s="5">
        <v>0</v>
      </c>
      <c r="AB19">
        <v>0</v>
      </c>
      <c r="AC19" s="5">
        <v>0</v>
      </c>
      <c r="AD19" s="5">
        <v>1193.92</v>
      </c>
      <c r="AE19" s="5">
        <v>0</v>
      </c>
      <c r="AF19" s="5">
        <v>43.92</v>
      </c>
      <c r="AG19" s="5">
        <v>1150</v>
      </c>
      <c r="AH19" s="5">
        <v>0</v>
      </c>
      <c r="AI19" s="5">
        <v>0</v>
      </c>
    </row>
    <row r="20">
      <c r="A20" s="2" t="str">
        <f>HYPERLINK("https://www.avito.ru/moskva/bytovaya_elektronika/3d_printer_bambu_lab_h2s_nalichie_8021836088","8021836088")</f>
      </c>
      <c r="B20" t="s">
        <v>35</v>
      </c>
      <c r="C20" t="s">
        <v>36</v>
      </c>
      <c r="D20" t="s">
        <v>76</v>
      </c>
      <c r="E20" t="s">
        <v>38</v>
      </c>
      <c r="F20" t="s">
        <v>39</v>
      </c>
      <c r="G20" t="s">
        <v>40</v>
      </c>
      <c r="H20" s="3" t="str">
        <f>HYPERLINK("https://www.avito.ru/moskva/bytovaya_elektronika/3d_printer_bambu_lab_h2s_nalichie_8021836088","3D принтер Bambu Lab H2S наличие")</f>
      </c>
      <c r="I20" t="s">
        <v>84</v>
      </c>
      <c r="J20" t="s">
        <v>78</v>
      </c>
      <c r="K20" t="s">
        <v>79</v>
      </c>
      <c r="L20">
        <v>70</v>
      </c>
      <c r="M20">
        <v>521</v>
      </c>
      <c r="N20" s="4">
        <v>0.0844</v>
      </c>
      <c r="O20">
        <v>44</v>
      </c>
      <c r="P20" s="5">
        <v>18.61</v>
      </c>
      <c r="Q20" s="4">
        <v>0.0454</v>
      </c>
      <c r="R20">
        <v>2</v>
      </c>
      <c r="S20">
        <v>2</v>
      </c>
      <c r="T20">
        <v>0</v>
      </c>
      <c r="U20">
        <v>0</v>
      </c>
      <c r="V20">
        <v>0</v>
      </c>
      <c r="W20" s="5">
        <v>409.46</v>
      </c>
      <c r="X20">
        <v>2</v>
      </c>
      <c r="Y20" s="4">
        <v>0</v>
      </c>
      <c r="Z20">
        <v>0</v>
      </c>
      <c r="AA20" s="5">
        <v>0</v>
      </c>
      <c r="AB20">
        <v>0</v>
      </c>
      <c r="AC20" s="5">
        <v>0</v>
      </c>
      <c r="AD20" s="5">
        <v>818.92</v>
      </c>
      <c r="AE20" s="5">
        <v>0</v>
      </c>
      <c r="AF20" s="5">
        <v>43.92</v>
      </c>
      <c r="AG20" s="5">
        <v>775</v>
      </c>
      <c r="AH20" s="5">
        <v>0</v>
      </c>
      <c r="AI20" s="5">
        <v>0</v>
      </c>
    </row>
    <row r="21">
      <c r="A21" s="2" t="str">
        <f>HYPERLINK("https://www.avito.ru/moskva/bytovaya_elektronika/3d_printer_cn_bambu_lab_h2d_laser_full_combo_10_vt_7861372585","7861372585")</f>
      </c>
      <c r="B21" t="s">
        <v>35</v>
      </c>
      <c r="C21" t="s">
        <v>36</v>
      </c>
      <c r="D21" t="s">
        <v>85</v>
      </c>
      <c r="E21" t="s">
        <v>38</v>
      </c>
      <c r="F21" t="s">
        <v>39</v>
      </c>
      <c r="G21" t="s">
        <v>40</v>
      </c>
      <c r="H21" s="3" t="str">
        <f>HYPERLINK("https://www.avito.ru/moskva/bytovaya_elektronika/3d_printer_cn_bambu_lab_h2d_laser_full_combo_10_vt_7861372585","3D принтер CN Bambu Lab H2D Laser Full Combo 10 Вт")</f>
      </c>
      <c r="I21" t="s">
        <v>86</v>
      </c>
      <c r="J21" t="s">
        <v>55</v>
      </c>
      <c r="K21" t="s">
        <v>46</v>
      </c>
      <c r="L21">
        <v>156</v>
      </c>
      <c r="M21">
        <v>354</v>
      </c>
      <c r="N21" s="4">
        <v>0.1101</v>
      </c>
      <c r="O21">
        <v>39</v>
      </c>
      <c r="P21" s="5">
        <v>12.49</v>
      </c>
      <c r="Q21" s="4">
        <v>0.0512</v>
      </c>
      <c r="R21">
        <v>2</v>
      </c>
      <c r="S21">
        <v>1</v>
      </c>
      <c r="T21">
        <v>1</v>
      </c>
      <c r="U21">
        <v>0</v>
      </c>
      <c r="V21">
        <v>0</v>
      </c>
      <c r="W21" s="5">
        <v>243.6</v>
      </c>
      <c r="X21">
        <v>2</v>
      </c>
      <c r="Y21" s="4">
        <v>0</v>
      </c>
      <c r="Z21">
        <v>0</v>
      </c>
      <c r="AA21" s="5">
        <v>0</v>
      </c>
      <c r="AB21">
        <v>0</v>
      </c>
      <c r="AC21" s="5">
        <v>0</v>
      </c>
      <c r="AD21" s="5">
        <v>487.2</v>
      </c>
      <c r="AE21" s="5">
        <v>0</v>
      </c>
      <c r="AF21" s="5">
        <v>67.2</v>
      </c>
      <c r="AG21" s="5">
        <v>420</v>
      </c>
      <c r="AH21" s="5">
        <v>0</v>
      </c>
      <c r="AI21" s="5">
        <v>0</v>
      </c>
    </row>
    <row r="22">
      <c r="A22" s="2" t="str">
        <f>HYPERLINK("https://www.avito.ru/moskva/bytovaya_elektronika/3d-printer_bambu_lab_p2s_combo_7989176980","7989176980")</f>
      </c>
      <c r="B22" t="s">
        <v>35</v>
      </c>
      <c r="C22" t="s">
        <v>36</v>
      </c>
      <c r="D22" t="s">
        <v>87</v>
      </c>
      <c r="E22" t="s">
        <v>38</v>
      </c>
      <c r="F22" t="s">
        <v>39</v>
      </c>
      <c r="G22" t="s">
        <v>40</v>
      </c>
      <c r="H22" s="3" t="str">
        <f>HYPERLINK("https://www.avito.ru/moskva/bytovaya_elektronika/3d-printer_bambu_lab_p2s_combo_7989176980","3D-принтер Bambu Lab P2S Combo")</f>
      </c>
      <c r="I22" t="s">
        <v>88</v>
      </c>
      <c r="J22" t="s">
        <v>51</v>
      </c>
      <c r="K22" t="s">
        <v>52</v>
      </c>
      <c r="L22">
        <v>79</v>
      </c>
      <c r="M22">
        <v>502</v>
      </c>
      <c r="N22" s="4">
        <v>0.0737</v>
      </c>
      <c r="O22">
        <v>37</v>
      </c>
      <c r="P22" s="5">
        <v>11.4</v>
      </c>
      <c r="Q22" s="4">
        <v>0.054</v>
      </c>
      <c r="R22">
        <v>2</v>
      </c>
      <c r="S22">
        <v>1</v>
      </c>
      <c r="T22">
        <v>1</v>
      </c>
      <c r="U22">
        <v>0</v>
      </c>
      <c r="V22">
        <v>0</v>
      </c>
      <c r="W22" s="5">
        <v>211.04</v>
      </c>
      <c r="X22">
        <v>2</v>
      </c>
      <c r="Y22" s="4">
        <v>0</v>
      </c>
      <c r="Z22">
        <v>0</v>
      </c>
      <c r="AA22" s="5">
        <v>0</v>
      </c>
      <c r="AB22">
        <v>0</v>
      </c>
      <c r="AC22" s="5">
        <v>0</v>
      </c>
      <c r="AD22" s="5">
        <v>422.09</v>
      </c>
      <c r="AE22" s="5">
        <v>0</v>
      </c>
      <c r="AF22" s="5">
        <v>72.09</v>
      </c>
      <c r="AG22" s="5">
        <v>350</v>
      </c>
      <c r="AH22" s="5">
        <v>0</v>
      </c>
      <c r="AI22" s="5">
        <v>0</v>
      </c>
    </row>
    <row r="23">
      <c r="A23" s="2" t="str">
        <f>HYPERLINK("https://www.avito.ru/moskva/bytovaya_elektronika/3d_printer_eu_bambu_lab_h2d_laser_full_combo_10w_7829233208","7829233208")</f>
      </c>
      <c r="B23" t="s">
        <v>35</v>
      </c>
      <c r="C23" t="s">
        <v>36</v>
      </c>
      <c r="D23" t="s">
        <v>53</v>
      </c>
      <c r="E23" t="s">
        <v>38</v>
      </c>
      <c r="F23" t="s">
        <v>39</v>
      </c>
      <c r="G23" t="s">
        <v>40</v>
      </c>
      <c r="H23" s="3" t="str">
        <f>HYPERLINK("https://www.avito.ru/moskva/bytovaya_elektronika/3d_printer_eu_bambu_lab_h2d_laser_full_combo_10w_7829233208","3Д принтер EU Bambu Lab H2D Laser Full Combo 10W")</f>
      </c>
      <c r="I23" t="s">
        <v>89</v>
      </c>
      <c r="J23" t="s">
        <v>90</v>
      </c>
      <c r="K23" t="s">
        <v>46</v>
      </c>
      <c r="L23">
        <v>189</v>
      </c>
      <c r="M23">
        <v>397</v>
      </c>
      <c r="N23" s="4">
        <v>0.0881</v>
      </c>
      <c r="O23">
        <v>35</v>
      </c>
      <c r="P23" s="5">
        <v>21.92</v>
      </c>
      <c r="Q23" s="4">
        <v>0.0285</v>
      </c>
      <c r="R23">
        <v>1</v>
      </c>
      <c r="S23">
        <v>1</v>
      </c>
      <c r="T23">
        <v>0</v>
      </c>
      <c r="U23">
        <v>0</v>
      </c>
      <c r="V23">
        <v>0</v>
      </c>
      <c r="W23" s="5">
        <v>767.2</v>
      </c>
      <c r="X23">
        <v>5</v>
      </c>
      <c r="Y23" s="4">
        <v>0</v>
      </c>
      <c r="Z23">
        <v>0</v>
      </c>
      <c r="AA23" s="5">
        <v>0</v>
      </c>
      <c r="AB23">
        <v>0</v>
      </c>
      <c r="AC23" s="5">
        <v>0</v>
      </c>
      <c r="AD23" s="5">
        <v>767.2</v>
      </c>
      <c r="AE23" s="5">
        <v>0</v>
      </c>
      <c r="AF23" s="5">
        <v>67.2</v>
      </c>
      <c r="AG23" s="5">
        <v>700</v>
      </c>
      <c r="AH23" s="5">
        <v>0</v>
      </c>
      <c r="AI23" s="5">
        <v>0</v>
      </c>
    </row>
    <row r="24">
      <c r="A24" s="2" t="str">
        <f>HYPERLINK("https://www.avito.ru/moskva/bytovaya_elektronika/3d-printer_bambu_lab_p2s_combo_7989464352","7989464352")</f>
      </c>
      <c r="B24" t="s">
        <v>35</v>
      </c>
      <c r="C24" t="s">
        <v>36</v>
      </c>
      <c r="D24" t="s">
        <v>91</v>
      </c>
      <c r="E24" t="s">
        <v>38</v>
      </c>
      <c r="F24" t="s">
        <v>39</v>
      </c>
      <c r="G24" t="s">
        <v>40</v>
      </c>
      <c r="H24" s="3" t="str">
        <f>HYPERLINK("https://www.avito.ru/moskva/bytovaya_elektronika/3d-printer_bambu_lab_p2s_combo_7989464352","3D-принтер Bambu Lab P2S Combo")</f>
      </c>
      <c r="I24" t="s">
        <v>88</v>
      </c>
      <c r="J24" t="s">
        <v>51</v>
      </c>
      <c r="K24" t="s">
        <v>52</v>
      </c>
      <c r="L24">
        <v>79</v>
      </c>
      <c r="M24">
        <v>480</v>
      </c>
      <c r="N24" s="4">
        <v>0.0604</v>
      </c>
      <c r="O24">
        <v>29</v>
      </c>
      <c r="P24" s="5">
        <v>7.31</v>
      </c>
      <c r="Q24" s="4">
        <v>0</v>
      </c>
      <c r="R24">
        <v>0</v>
      </c>
      <c r="S24">
        <v>0</v>
      </c>
      <c r="T24">
        <v>0</v>
      </c>
      <c r="U24">
        <v>0</v>
      </c>
      <c r="V24">
        <v>0</v>
      </c>
      <c r="W24" s="5" t="s">
        <v>61</v>
      </c>
      <c r="X24">
        <v>3</v>
      </c>
      <c r="Y24" s="4">
        <v>0</v>
      </c>
      <c r="Z24">
        <v>0</v>
      </c>
      <c r="AA24" s="5">
        <v>0</v>
      </c>
      <c r="AB24">
        <v>0</v>
      </c>
      <c r="AC24" s="5">
        <v>0</v>
      </c>
      <c r="AD24" s="5">
        <v>212.09</v>
      </c>
      <c r="AE24" s="5">
        <v>0</v>
      </c>
      <c r="AF24" s="5">
        <v>72.09</v>
      </c>
      <c r="AG24" s="5">
        <v>140</v>
      </c>
      <c r="AH24" s="5">
        <v>0</v>
      </c>
      <c r="AI24" s="5">
        <v>0</v>
      </c>
    </row>
    <row r="25">
      <c r="A25" s="2" t="str">
        <f>HYPERLINK("https://www.avito.ru/moskva/bytovaya_elektronika/3d-printer_bambu_lab_p2s_combo_7989248918","7989248918")</f>
      </c>
      <c r="B25" t="s">
        <v>35</v>
      </c>
      <c r="C25" t="s">
        <v>36</v>
      </c>
      <c r="D25" t="s">
        <v>92</v>
      </c>
      <c r="E25" t="s">
        <v>38</v>
      </c>
      <c r="F25" t="s">
        <v>39</v>
      </c>
      <c r="G25" t="s">
        <v>40</v>
      </c>
      <c r="H25" s="3" t="str">
        <f>HYPERLINK("https://www.avito.ru/moskva/bytovaya_elektronika/3d-printer_bambu_lab_p2s_combo_7989248918","3D-принтер Bambu Lab P2S Combo")</f>
      </c>
      <c r="I25" t="s">
        <v>88</v>
      </c>
      <c r="J25" t="s">
        <v>51</v>
      </c>
      <c r="K25" t="s">
        <v>52</v>
      </c>
      <c r="L25">
        <v>79</v>
      </c>
      <c r="M25">
        <v>349</v>
      </c>
      <c r="N25" s="4">
        <v>0.0802</v>
      </c>
      <c r="O25">
        <v>28</v>
      </c>
      <c r="P25" s="5">
        <v>7.21</v>
      </c>
      <c r="Q25" s="4">
        <v>0</v>
      </c>
      <c r="R25">
        <v>0</v>
      </c>
      <c r="S25">
        <v>0</v>
      </c>
      <c r="T25">
        <v>0</v>
      </c>
      <c r="U25">
        <v>0</v>
      </c>
      <c r="V25">
        <v>0</v>
      </c>
      <c r="W25" s="5" t="s">
        <v>61</v>
      </c>
      <c r="X25">
        <v>1</v>
      </c>
      <c r="Y25" s="4">
        <v>0</v>
      </c>
      <c r="Z25">
        <v>0</v>
      </c>
      <c r="AA25" s="5">
        <v>0</v>
      </c>
      <c r="AB25">
        <v>0</v>
      </c>
      <c r="AC25" s="5">
        <v>0</v>
      </c>
      <c r="AD25" s="5">
        <v>202.09</v>
      </c>
      <c r="AE25" s="5">
        <v>0</v>
      </c>
      <c r="AF25" s="5">
        <v>72.09</v>
      </c>
      <c r="AG25" s="5">
        <v>130</v>
      </c>
      <c r="AH25" s="5">
        <v>0</v>
      </c>
      <c r="AI25" s="5">
        <v>0</v>
      </c>
    </row>
    <row r="26">
      <c r="A26" s="2" t="str">
        <f>HYPERLINK("https://www.avito.ru/moskva/bytovaya_elektronika/3d_printer_snapmaker_u1_7861839904","7861839904")</f>
      </c>
      <c r="B26" t="s">
        <v>35</v>
      </c>
      <c r="C26" t="s">
        <v>36</v>
      </c>
      <c r="D26" t="s">
        <v>56</v>
      </c>
      <c r="E26" t="s">
        <v>38</v>
      </c>
      <c r="F26" t="s">
        <v>39</v>
      </c>
      <c r="G26" t="s">
        <v>40</v>
      </c>
      <c r="H26" s="3" t="str">
        <f>HYPERLINK("https://www.avito.ru/moskva/bytovaya_elektronika/3d_printer_snapmaker_u1_7861839904","3D принтер Snapmaker U1")</f>
      </c>
      <c r="I26" t="s">
        <v>93</v>
      </c>
      <c r="J26" t="s">
        <v>48</v>
      </c>
      <c r="K26" t="s">
        <v>94</v>
      </c>
      <c r="L26">
        <v>164</v>
      </c>
      <c r="M26">
        <v>0</v>
      </c>
      <c r="N26" s="4" t="s">
        <v>61</v>
      </c>
      <c r="O26">
        <v>0</v>
      </c>
      <c r="P26" s="5" t="s">
        <v>61</v>
      </c>
      <c r="Q26" s="4" t="s">
        <v>61</v>
      </c>
      <c r="R26">
        <v>0</v>
      </c>
      <c r="S26">
        <v>0</v>
      </c>
      <c r="T26">
        <v>0</v>
      </c>
      <c r="U26">
        <v>0</v>
      </c>
      <c r="V26">
        <v>0</v>
      </c>
      <c r="W26" s="5" t="s">
        <v>61</v>
      </c>
      <c r="X26">
        <v>0</v>
      </c>
      <c r="Y26" s="4" t="s">
        <v>61</v>
      </c>
      <c r="Z26">
        <v>0</v>
      </c>
      <c r="AA26" s="5">
        <v>0</v>
      </c>
      <c r="AB26">
        <v>0</v>
      </c>
      <c r="AC26" s="5">
        <v>0</v>
      </c>
      <c r="AD26" s="5">
        <v>47.6</v>
      </c>
      <c r="AE26" s="5">
        <v>0</v>
      </c>
      <c r="AF26" s="5">
        <v>47.6</v>
      </c>
      <c r="AG26" s="5">
        <v>0</v>
      </c>
      <c r="AH26" s="5">
        <v>0</v>
      </c>
      <c r="AI26" s="5">
        <v>0</v>
      </c>
    </row>
  </sheetData>
  <autoFilter ref="$A$1:$AI$27"/>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
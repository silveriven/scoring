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'Sheet1'!$A$1:$AI$70</definedName>
  </definedNames>
  <calcPr calcId="122211"/>
</workbook>
</file>

<file path=xl/sharedStrings.xml><?xml version="1.0" encoding="utf-8"?>
<sst xmlns="http://schemas.openxmlformats.org/spreadsheetml/2006/main" count="151" uniqueCount="151">
  <si>
    <t>Номер объявления</t>
  </si>
  <si>
    <t>Регион размещения</t>
  </si>
  <si>
    <t>Город</t>
  </si>
  <si>
    <t>Адрес</t>
  </si>
  <si>
    <t>Категория</t>
  </si>
  <si>
    <t>Подкатегория</t>
  </si>
  <si>
    <t>Параметр</t>
  </si>
  <si>
    <t>Название объявления</t>
  </si>
  <si>
    <t>Цена</t>
  </si>
  <si>
    <t>Дата первой публикации</t>
  </si>
  <si>
    <t>Дата снятия с публикации</t>
  </si>
  <si>
    <t>Дней на Авито</t>
  </si>
  <si>
    <t>Показы</t>
  </si>
  <si>
    <t>Конверсия из показов в просмотры</t>
  </si>
  <si>
    <t>Просмотры</t>
  </si>
  <si>
    <t>Средняя цена просмотра</t>
  </si>
  <si>
    <t>Конверсия из просмотров в контакты</t>
  </si>
  <si>
    <t>Контакты</t>
  </si>
  <si>
    <t>Написали в чат</t>
  </si>
  <si>
    <t>Посмотрели телефон</t>
  </si>
  <si>
    <t>Посмотрели телефон и написали в чат</t>
  </si>
  <si>
    <t>Откликнулись на скидку в чате</t>
  </si>
  <si>
    <t>Средняя цена контакта</t>
  </si>
  <si>
    <t>Добавили в избранное</t>
  </si>
  <si>
    <t>Конверсия из просмотров в заказанные товары</t>
  </si>
  <si>
    <t>Заказано товаров</t>
  </si>
  <si>
    <t>Стоимость заказанных товаров</t>
  </si>
  <si>
    <t>Доставлено товаров</t>
  </si>
  <si>
    <t>Стоимость доставленных товаров</t>
  </si>
  <si>
    <t>Расходы на объявления</t>
  </si>
  <si>
    <t>Списано бонусов на объявления</t>
  </si>
  <si>
    <t>Расходы на размещение и целевые действия</t>
  </si>
  <si>
    <t>Расходы на продвижение</t>
  </si>
  <si>
    <t>Остальные расходы</t>
  </si>
  <si>
    <t>Комиссия</t>
  </si>
  <si>
    <t>Все регионы</t>
  </si>
  <si>
    <t>Москва</t>
  </si>
  <si>
    <t>Москва, ул. Дмитрия Ульянова</t>
  </si>
  <si>
    <t>Электроника</t>
  </si>
  <si>
    <t>Оргтехника и расходники</t>
  </si>
  <si>
    <t>3D-принтеры</t>
  </si>
  <si>
    <t>431 000 ₽</t>
  </si>
  <si>
    <t>2026-01-11</t>
  </si>
  <si>
    <t>2026-05-16</t>
  </si>
  <si>
    <t>159 000 ₽</t>
  </si>
  <si>
    <t>2026-01-13</t>
  </si>
  <si>
    <t>2026-07-03</t>
  </si>
  <si>
    <t>615 500 ₽</t>
  </si>
  <si>
    <t>2026-01-14</t>
  </si>
  <si>
    <t>95 000 ₽</t>
  </si>
  <si>
    <t>2026-05-20</t>
  </si>
  <si>
    <t>Москва, Пятницкое ш. (дублёр)</t>
  </si>
  <si>
    <t>143 900 ₽</t>
  </si>
  <si>
    <t>2026-01-21</t>
  </si>
  <si>
    <t>Москва, Профсоюзная ул., 5/9</t>
  </si>
  <si>
    <t>89 000 ₽</t>
  </si>
  <si>
    <t>2026-04-18</t>
  </si>
  <si>
    <t>459 000 ₽</t>
  </si>
  <si>
    <t>2025-12-28</t>
  </si>
  <si>
    <t>359 000 ₽</t>
  </si>
  <si>
    <t>2025-12-29</t>
  </si>
  <si>
    <t>194 900 ₽</t>
  </si>
  <si>
    <t>2026-01-22</t>
  </si>
  <si>
    <t>2026-05-04</t>
  </si>
  <si>
    <t>259 000 ₽</t>
  </si>
  <si>
    <t>79 000 ₽</t>
  </si>
  <si>
    <t>2026-01-04</t>
  </si>
  <si>
    <t>2026-03-07</t>
  </si>
  <si>
    <t>1 490 000 ₽</t>
  </si>
  <si>
    <t>2026-04-13</t>
  </si>
  <si>
    <t>Москва, Юго-Западный административный округ, Академический район, 12-й квартал</t>
  </si>
  <si>
    <t>229 000 ₽</t>
  </si>
  <si>
    <t>269 000 ₽</t>
  </si>
  <si>
    <t>2025-12-19</t>
  </si>
  <si>
    <t>Москва, Калужско-Рижская линия</t>
  </si>
  <si>
    <t>1 282 899 ₽</t>
  </si>
  <si>
    <t/>
  </si>
  <si>
    <t>Принтеры</t>
  </si>
  <si>
    <t>849 000 ₽</t>
  </si>
  <si>
    <t>2025-12-27</t>
  </si>
  <si>
    <t>2026-01-26</t>
  </si>
  <si>
    <t>2 110 999 ₽</t>
  </si>
  <si>
    <t>2026-02-10</t>
  </si>
  <si>
    <t>550 000 ₽</t>
  </si>
  <si>
    <t>399 000 ₽</t>
  </si>
  <si>
    <t>2026-01-28</t>
  </si>
  <si>
    <t>2026-02-12</t>
  </si>
  <si>
    <t>754 998 ₽</t>
  </si>
  <si>
    <t>2026-01-18</t>
  </si>
  <si>
    <t>907 499 ₽</t>
  </si>
  <si>
    <t>469 000 ₽</t>
  </si>
  <si>
    <t>2 490 000 ₽</t>
  </si>
  <si>
    <t>2026-01-03</t>
  </si>
  <si>
    <t>2026-02-02</t>
  </si>
  <si>
    <t>983 999 ₽</t>
  </si>
  <si>
    <t>2026-06-03</t>
  </si>
  <si>
    <t>975 000 ₽</t>
  </si>
  <si>
    <t>2025-12-25</t>
  </si>
  <si>
    <t>2026-02-23</t>
  </si>
  <si>
    <t>449 000 ₽</t>
  </si>
  <si>
    <t>754 999 ₽</t>
  </si>
  <si>
    <t>2026-02-21</t>
  </si>
  <si>
    <t>1 270 000 ₽</t>
  </si>
  <si>
    <t>777 199 ₽</t>
  </si>
  <si>
    <t>495 999 ₽</t>
  </si>
  <si>
    <t>2026-02-13</t>
  </si>
  <si>
    <t>436 000 ₽</t>
  </si>
  <si>
    <t>2026-02-20</t>
  </si>
  <si>
    <t>998 989 ₽</t>
  </si>
  <si>
    <t>527 989 ₽</t>
  </si>
  <si>
    <t>656 989 ₽</t>
  </si>
  <si>
    <t>1 913 500 ₽</t>
  </si>
  <si>
    <t>1 413 999 ₽</t>
  </si>
  <si>
    <t>1 900 175 ₽</t>
  </si>
  <si>
    <t>624 999 ₽</t>
  </si>
  <si>
    <t>2 990 000 ₽</t>
  </si>
  <si>
    <t>2025-12-26</t>
  </si>
  <si>
    <t>2026-02-24</t>
  </si>
  <si>
    <t>945 000 ₽</t>
  </si>
  <si>
    <t>1 098 999 ₽</t>
  </si>
  <si>
    <t>437 989 ₽</t>
  </si>
  <si>
    <t>1 274 999 ₽</t>
  </si>
  <si>
    <t>751 999 ₽</t>
  </si>
  <si>
    <t>880 899 ₽</t>
  </si>
  <si>
    <t>890 000 ₽</t>
  </si>
  <si>
    <t>2026-02-03</t>
  </si>
  <si>
    <t>Московская область</t>
  </si>
  <si>
    <t>Подольск</t>
  </si>
  <si>
    <t>Подольск, ул. Кирова, 74с40</t>
  </si>
  <si>
    <t>534 900 ₽</t>
  </si>
  <si>
    <t>49 900 ₽</t>
  </si>
  <si>
    <t>2025-11-21</t>
  </si>
  <si>
    <t>2026-01-20</t>
  </si>
  <si>
    <t>790 000 ₽</t>
  </si>
  <si>
    <t>2026-01-25</t>
  </si>
  <si>
    <t>919 899 ₽</t>
  </si>
  <si>
    <t>1 321 899 ₽</t>
  </si>
  <si>
    <t>926 899 ₽</t>
  </si>
  <si>
    <t>353 000 ₽</t>
  </si>
  <si>
    <t>836 199 ₽</t>
  </si>
  <si>
    <t>542 999 ₽</t>
  </si>
  <si>
    <t>861 999 ₽</t>
  </si>
  <si>
    <t>461 899 ₽</t>
  </si>
  <si>
    <t>544 344 ₽</t>
  </si>
  <si>
    <t>949 999 ₽</t>
  </si>
  <si>
    <t>462 999 ₽</t>
  </si>
  <si>
    <t>645 000 ₽</t>
  </si>
  <si>
    <t>791 899 ₽</t>
  </si>
  <si>
    <t>635 899 ₽</t>
  </si>
  <si>
    <t>715 000 ₽</t>
  </si>
  <si>
    <t>957 499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</si>
</sst>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font>
    <font>
      <family val="2"/>
      <color rgb="FF1478C4"/>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false">
      <alignment/>
    </xf>
    <xf numFmtId="0" fontId="0" fillId="0" borderId="0" xfId="0" applyAlignment="true">
      <alignment horizontal="right"/>
    </xf>
    <xf numFmtId="0" fontId="2" fillId="0" borderId="0" xfId="0" applyFont="true" applyAlignment="false">
      <alignment/>
    </xf>
    <xf numFmtId="10" fontId="0" fillId="0" borderId="0" xfId="0" applyNumberFormat="true" applyAlignment="false">
      <alignment/>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Right" state="frozen" topLeftCell="AJ2" ySplit="1"/>
    </sheetView>
  </sheetViews>
  <sheetFormatPr defaultRowHeight="15"/>
  <cols>
    <col customWidth="true" max="1" min="1" width="22"/>
    <col customWidth="true" max="2" min="2" width="23"/>
    <col customWidth="true" max="4" min="3" width="11"/>
    <col customWidth="true" max="5" min="5" width="15"/>
    <col customWidth="true" max="6" min="6" width="18"/>
    <col customWidth="true" max="7" min="7" width="14"/>
    <col customWidth="true" max="8" min="8" width="25"/>
    <col customWidth="true" max="9" min="9" width="10"/>
    <col customWidth="true" max="10" min="10" width="28"/>
    <col customWidth="true" max="11" min="11" width="30"/>
    <col customWidth="true" max="12" min="12" width="19"/>
    <col customWidth="true" max="13" min="13" width="12"/>
    <col customWidth="true" max="14" min="14" width="38"/>
    <col customWidth="true" max="15" min="15" width="15"/>
    <col customWidth="true" max="16" min="16" width="28"/>
    <col customWidth="true" max="17" min="17" width="40"/>
    <col customWidth="true" max="18" min="18" width="14"/>
    <col customWidth="true" max="19" min="19" width="20"/>
    <col customWidth="true" max="20" min="20" width="24"/>
    <col customWidth="true" max="21" min="21" width="41"/>
    <col customWidth="true" max="22" min="22" width="35"/>
    <col customWidth="true" max="23" min="23" width="27"/>
    <col customWidth="true" max="24" min="24" width="26"/>
    <col customWidth="true" max="25" min="25" width="49"/>
    <col customWidth="true" max="26" min="26" width="22"/>
    <col customWidth="true" max="27" min="27" width="34"/>
    <col customWidth="true" max="28" min="28" width="24"/>
    <col customWidth="true" max="29" min="29" width="36"/>
    <col customWidth="true" max="30" min="30" width="27"/>
    <col customWidth="true" max="31" min="31" width="35"/>
    <col customWidth="true" max="32" min="32" width="46"/>
    <col customWidth="true" max="33" min="33" width="28"/>
    <col customWidth="true" max="34" min="34" width="23"/>
    <col customWidth="true" max="35" min="35" width="14"/>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c r="A2" s="2" t="str">
        <f>HYPERLINK("https://www.avito.ru/moskva/bytovaya_elektronika/3d-printer_bolshoy_fdm_dowell_dm6-8plus_7861315997","7861315997")</f>
      </c>
      <c r="B2" t="s">
        <v>35</v>
      </c>
      <c r="C2" t="s">
        <v>36</v>
      </c>
      <c r="D2" t="s">
        <v>37</v>
      </c>
      <c r="E2" t="s">
        <v>38</v>
      </c>
      <c r="F2" t="s">
        <v>39</v>
      </c>
      <c r="G2" t="s">
        <v>40</v>
      </c>
      <c r="H2" s="3" t="str">
        <f>HYPERLINK("https://www.avito.ru/moskva/bytovaya_elektronika/3d-printer_bolshoy_fdm_dowell_dm6-8plus_7861315997","3D-принтер большой (FDM) DoWell DM6-8Plus")</f>
      </c>
      <c r="I2" t="s">
        <v>41</v>
      </c>
      <c r="J2" t="s">
        <v>42</v>
      </c>
      <c r="K2" t="s">
        <v>43</v>
      </c>
      <c r="L2">
        <v>166</v>
      </c>
      <c r="M2">
        <v>16272</v>
      </c>
      <c r="N2" s="4">
        <v>0.1838</v>
      </c>
      <c r="O2">
        <v>2991</v>
      </c>
      <c r="P2" s="5">
        <v>0.06</v>
      </c>
      <c r="Q2" s="4">
        <v>0.001</v>
      </c>
      <c r="R2">
        <v>3</v>
      </c>
      <c r="S2">
        <v>2</v>
      </c>
      <c r="T2">
        <v>1</v>
      </c>
      <c r="U2">
        <v>0</v>
      </c>
      <c r="V2">
        <v>0</v>
      </c>
      <c r="W2" s="5">
        <v>68.61</v>
      </c>
      <c r="X2">
        <v>321</v>
      </c>
      <c r="Y2" s="4">
        <v>0</v>
      </c>
      <c r="Z2">
        <v>0</v>
      </c>
      <c r="AA2" s="5">
        <v>0</v>
      </c>
      <c r="AB2">
        <v>0</v>
      </c>
      <c r="AC2" s="5">
        <v>0</v>
      </c>
      <c r="AD2" s="5">
        <v>205.83</v>
      </c>
      <c r="AE2" s="5">
        <v>0</v>
      </c>
      <c r="AF2" s="5">
        <v>65.83</v>
      </c>
      <c r="AG2" s="5">
        <v>140</v>
      </c>
      <c r="AH2" s="5">
        <v>0</v>
      </c>
      <c r="AI2" s="5">
        <v>0</v>
      </c>
    </row>
    <row r="3">
      <c r="A3" s="2" t="str">
        <f>HYPERLINK("https://www.avito.ru/moskva/bytovaya_elektronika/3d-_printer_cn_bambu_lab_h2d_combo_ams_7861277713","7861277713")</f>
      </c>
      <c r="B3" t="s">
        <v>35</v>
      </c>
      <c r="C3" t="s">
        <v>36</v>
      </c>
      <c r="D3" t="s">
        <v>37</v>
      </c>
      <c r="E3" t="s">
        <v>38</v>
      </c>
      <c r="F3" t="s">
        <v>39</v>
      </c>
      <c r="G3" t="s">
        <v>40</v>
      </c>
      <c r="H3" s="3" t="str">
        <f>HYPERLINK("https://www.avito.ru/moskva/bytovaya_elektronika/3d-_printer_cn_bambu_lab_h2d_combo_ams_7861277713","3Д- принтер CN Bambu Lab H2D Combo AMS")</f>
      </c>
      <c r="I3" t="s">
        <v>44</v>
      </c>
      <c r="J3" t="s">
        <v>45</v>
      </c>
      <c r="K3" t="s">
        <v>46</v>
      </c>
      <c r="L3">
        <v>164</v>
      </c>
      <c r="M3">
        <v>11631</v>
      </c>
      <c r="N3" s="4">
        <v>0.2049</v>
      </c>
      <c r="O3">
        <v>2384</v>
      </c>
      <c r="P3" s="5">
        <v>0.54</v>
      </c>
      <c r="Q3" s="4">
        <v>0.0209</v>
      </c>
      <c r="R3">
        <v>50</v>
      </c>
      <c r="S3">
        <v>43</v>
      </c>
      <c r="T3">
        <v>5</v>
      </c>
      <c r="U3">
        <v>2</v>
      </c>
      <c r="V3">
        <v>0</v>
      </c>
      <c r="W3" s="5">
        <v>26.19</v>
      </c>
      <c r="X3">
        <v>214</v>
      </c>
      <c r="Y3" s="4">
        <v>0</v>
      </c>
      <c r="Z3">
        <v>0</v>
      </c>
      <c r="AA3" s="5">
        <v>0</v>
      </c>
      <c r="AB3">
        <v>0</v>
      </c>
      <c r="AC3" s="5">
        <v>0</v>
      </c>
      <c r="AD3" s="5">
        <v>1309.57</v>
      </c>
      <c r="AE3" s="5">
        <v>0</v>
      </c>
      <c r="AF3" s="5">
        <v>59.57</v>
      </c>
      <c r="AG3" s="5">
        <v>1250</v>
      </c>
      <c r="AH3" s="5">
        <v>0</v>
      </c>
      <c r="AI3" s="5">
        <v>0</v>
      </c>
    </row>
    <row r="4">
      <c r="A4" s="2" t="str">
        <f>HYPERLINK("https://www.avito.ru/moskva/bytovaya_elektronika/3d_printer_bolshoy_dowell_dowell_dm10-18plus_7861145324","7861145324")</f>
      </c>
      <c r="B4" t="s">
        <v>35</v>
      </c>
      <c r="C4" t="s">
        <v>36</v>
      </c>
      <c r="D4" t="s">
        <v>37</v>
      </c>
      <c r="E4" t="s">
        <v>38</v>
      </c>
      <c r="F4" t="s">
        <v>39</v>
      </c>
      <c r="G4" t="s">
        <v>40</v>
      </c>
      <c r="H4" s="3" t="str">
        <f>HYPERLINK("https://www.avito.ru/moskva/bytovaya_elektronika/3d_printer_bolshoy_dowell_dowell_dm10-18plus_7861145324","3Д принтер большой DoWell DoWell DM10-18Plus")</f>
      </c>
      <c r="I4" t="s">
        <v>47</v>
      </c>
      <c r="J4" t="s">
        <v>48</v>
      </c>
      <c r="K4" t="s">
        <v>46</v>
      </c>
      <c r="L4">
        <v>163</v>
      </c>
      <c r="M4">
        <v>12506</v>
      </c>
      <c r="N4" s="4">
        <v>0.1834</v>
      </c>
      <c r="O4">
        <v>2294</v>
      </c>
      <c r="P4" s="5">
        <v>0.08</v>
      </c>
      <c r="Q4" s="4">
        <v>0.0043</v>
      </c>
      <c r="R4">
        <v>10</v>
      </c>
      <c r="S4">
        <v>7</v>
      </c>
      <c r="T4">
        <v>3</v>
      </c>
      <c r="U4">
        <v>0</v>
      </c>
      <c r="V4">
        <v>0</v>
      </c>
      <c r="W4" s="5">
        <v>19.64</v>
      </c>
      <c r="X4">
        <v>262</v>
      </c>
      <c r="Y4" s="4">
        <v>0</v>
      </c>
      <c r="Z4">
        <v>0</v>
      </c>
      <c r="AA4" s="5">
        <v>0</v>
      </c>
      <c r="AB4">
        <v>0</v>
      </c>
      <c r="AC4" s="5">
        <v>0</v>
      </c>
      <c r="AD4" s="5">
        <v>196.44</v>
      </c>
      <c r="AE4" s="5">
        <v>0</v>
      </c>
      <c r="AF4" s="5">
        <v>56.44</v>
      </c>
      <c r="AG4" s="5">
        <v>140</v>
      </c>
      <c r="AH4" s="5">
        <v>0</v>
      </c>
      <c r="AI4" s="5">
        <v>0</v>
      </c>
    </row>
    <row r="5">
      <c r="A5" s="2" t="str">
        <f>HYPERLINK("https://www.avito.ru/moskva/bytovaya_elektronika/3d-_printer_eu_bambu_lab_p2s_combo_7861506000","7861506000")</f>
      </c>
      <c r="B5" t="s">
        <v>35</v>
      </c>
      <c r="C5" t="s">
        <v>36</v>
      </c>
      <c r="D5" t="s">
        <v>37</v>
      </c>
      <c r="E5" t="s">
        <v>38</v>
      </c>
      <c r="F5" t="s">
        <v>39</v>
      </c>
      <c r="G5" t="s">
        <v>40</v>
      </c>
      <c r="H5" s="3" t="str">
        <f>HYPERLINK("https://www.avito.ru/moskva/bytovaya_elektronika/3d-_printer_eu_bambu_lab_p2s_combo_7861506000","3Д- принтер EU Bambu Lab P2S Combo")</f>
      </c>
      <c r="I5" t="s">
        <v>49</v>
      </c>
      <c r="J5" t="s">
        <v>45</v>
      </c>
      <c r="K5" t="s">
        <v>50</v>
      </c>
      <c r="L5">
        <v>164</v>
      </c>
      <c r="M5">
        <v>13120</v>
      </c>
      <c r="N5" s="4">
        <v>0.1704</v>
      </c>
      <c r="O5">
        <v>2236</v>
      </c>
      <c r="P5" s="5">
        <v>0.74</v>
      </c>
      <c r="Q5" s="4">
        <v>0.0228</v>
      </c>
      <c r="R5">
        <v>51</v>
      </c>
      <c r="S5">
        <v>45</v>
      </c>
      <c r="T5">
        <v>3</v>
      </c>
      <c r="U5">
        <v>3</v>
      </c>
      <c r="V5">
        <v>0</v>
      </c>
      <c r="W5" s="5">
        <v>32.54</v>
      </c>
      <c r="X5">
        <v>246</v>
      </c>
      <c r="Y5" s="4">
        <v>0</v>
      </c>
      <c r="Z5">
        <v>0</v>
      </c>
      <c r="AA5" s="5">
        <v>0</v>
      </c>
      <c r="AB5">
        <v>0</v>
      </c>
      <c r="AC5" s="5">
        <v>0</v>
      </c>
      <c r="AD5" s="5">
        <v>1659.57</v>
      </c>
      <c r="AE5" s="5">
        <v>0</v>
      </c>
      <c r="AF5" s="5">
        <v>59.57</v>
      </c>
      <c r="AG5" s="5">
        <v>1600</v>
      </c>
      <c r="AH5" s="5">
        <v>0</v>
      </c>
      <c r="AI5" s="5">
        <v>0</v>
      </c>
    </row>
    <row r="6">
      <c r="A6" s="2" t="str">
        <f>HYPERLINK("https://www.avito.ru/moskva/bytovaya_elektronika/3d_printer_bambu_lab_h2s_combo_ams_2_pro_7861541793","7861541793")</f>
      </c>
      <c r="B6" t="s">
        <v>35</v>
      </c>
      <c r="C6" t="s">
        <v>36</v>
      </c>
      <c r="D6" t="s">
        <v>51</v>
      </c>
      <c r="E6" t="s">
        <v>38</v>
      </c>
      <c r="F6" t="s">
        <v>39</v>
      </c>
      <c r="G6" t="s">
        <v>40</v>
      </c>
      <c r="H6" s="3" t="str">
        <f>HYPERLINK("https://www.avito.ru/moskva/bytovaya_elektronika/3d_printer_bambu_lab_h2s_combo_ams_2_pro_7861541793","3D принтер Bambu Lab H2S combo AMS 2 PRO")</f>
      </c>
      <c r="I6" t="s">
        <v>52</v>
      </c>
      <c r="J6" t="s">
        <v>53</v>
      </c>
      <c r="K6" t="s">
        <v>46</v>
      </c>
      <c r="L6">
        <v>156</v>
      </c>
      <c r="M6">
        <v>8487</v>
      </c>
      <c r="N6" s="4">
        <v>0.2067</v>
      </c>
      <c r="O6">
        <v>1755</v>
      </c>
      <c r="P6" s="5">
        <v>0.69</v>
      </c>
      <c r="Q6" s="4">
        <v>0.0353</v>
      </c>
      <c r="R6">
        <v>62</v>
      </c>
      <c r="S6">
        <v>51</v>
      </c>
      <c r="T6">
        <v>7</v>
      </c>
      <c r="U6">
        <v>4</v>
      </c>
      <c r="V6">
        <v>0</v>
      </c>
      <c r="W6" s="5">
        <v>19.58</v>
      </c>
      <c r="X6">
        <v>179</v>
      </c>
      <c r="Y6" s="4">
        <v>0</v>
      </c>
      <c r="Z6">
        <v>0</v>
      </c>
      <c r="AA6" s="5">
        <v>0</v>
      </c>
      <c r="AB6">
        <v>0</v>
      </c>
      <c r="AC6" s="5">
        <v>0</v>
      </c>
      <c r="AD6" s="5">
        <v>1214.53</v>
      </c>
      <c r="AE6" s="5">
        <v>0</v>
      </c>
      <c r="AF6" s="5">
        <v>34.53</v>
      </c>
      <c r="AG6" s="5">
        <v>1180</v>
      </c>
      <c r="AH6" s="5">
        <v>0</v>
      </c>
      <c r="AI6" s="5">
        <v>0</v>
      </c>
    </row>
    <row r="7">
      <c r="A7" s="2" t="str">
        <f>HYPERLINK("https://www.avito.ru/moskva/bytovaya_elektronika/3d_printer_snapmaker_u1_7861839904","7861839904")</f>
      </c>
      <c r="B7" t="s">
        <v>35</v>
      </c>
      <c r="C7" t="s">
        <v>36</v>
      </c>
      <c r="D7" t="s">
        <v>54</v>
      </c>
      <c r="E7" t="s">
        <v>38</v>
      </c>
      <c r="F7" t="s">
        <v>39</v>
      </c>
      <c r="G7" t="s">
        <v>40</v>
      </c>
      <c r="H7" s="3" t="str">
        <f>HYPERLINK("https://www.avito.ru/moskva/bytovaya_elektronika/3d_printer_snapmaker_u1_7861839904","3D принтер Snapmaker U1")</f>
      </c>
      <c r="I7" t="s">
        <v>55</v>
      </c>
      <c r="J7" t="s">
        <v>45</v>
      </c>
      <c r="K7" t="s">
        <v>56</v>
      </c>
      <c r="L7">
        <v>164</v>
      </c>
      <c r="M7">
        <v>8850</v>
      </c>
      <c r="N7" s="4">
        <v>0.163</v>
      </c>
      <c r="O7">
        <v>1443</v>
      </c>
      <c r="P7" s="5">
        <v>1</v>
      </c>
      <c r="Q7" s="4">
        <v>0.0138</v>
      </c>
      <c r="R7">
        <v>20</v>
      </c>
      <c r="S7">
        <v>16</v>
      </c>
      <c r="T7">
        <v>4</v>
      </c>
      <c r="U7">
        <v>0</v>
      </c>
      <c r="V7">
        <v>0</v>
      </c>
      <c r="W7" s="5">
        <v>72.32</v>
      </c>
      <c r="X7">
        <v>144</v>
      </c>
      <c r="Y7" s="4">
        <v>0</v>
      </c>
      <c r="Z7">
        <v>0</v>
      </c>
      <c r="AA7" s="5">
        <v>0</v>
      </c>
      <c r="AB7">
        <v>0</v>
      </c>
      <c r="AC7" s="5">
        <v>0</v>
      </c>
      <c r="AD7" s="5">
        <v>1446.44</v>
      </c>
      <c r="AE7" s="5">
        <v>0</v>
      </c>
      <c r="AF7" s="5">
        <v>56.44</v>
      </c>
      <c r="AG7" s="5">
        <v>1390</v>
      </c>
      <c r="AH7" s="5">
        <v>0</v>
      </c>
      <c r="AI7" s="5">
        <v>0</v>
      </c>
    </row>
    <row r="8">
      <c r="A8" s="2" t="str">
        <f>HYPERLINK("https://www.avito.ru/moskva/bytovaya_elektronika/3d_printer_promyshlennyy_dowell_dm-10-8_7829627106","7829627106")</f>
      </c>
      <c r="B8" t="s">
        <v>35</v>
      </c>
      <c r="C8" t="s">
        <v>36</v>
      </c>
      <c r="D8" t="s">
        <v>54</v>
      </c>
      <c r="E8" t="s">
        <v>38</v>
      </c>
      <c r="F8" t="s">
        <v>39</v>
      </c>
      <c r="G8" t="s">
        <v>40</v>
      </c>
      <c r="H8" s="3" t="str">
        <f>HYPERLINK("https://www.avito.ru/moskva/bytovaya_elektronika/3d_printer_promyshlennyy_dowell_dm-10-8_7829627106","3D принтер промышленный dowell DM-10-8")</f>
      </c>
      <c r="I8" t="s">
        <v>57</v>
      </c>
      <c r="J8" t="s">
        <v>58</v>
      </c>
      <c r="K8" t="s">
        <v>46</v>
      </c>
      <c r="L8">
        <v>180</v>
      </c>
      <c r="M8">
        <v>6373</v>
      </c>
      <c r="N8" s="4">
        <v>0.1947</v>
      </c>
      <c r="O8">
        <v>1241</v>
      </c>
      <c r="P8" s="5">
        <v>1.01</v>
      </c>
      <c r="Q8" s="4">
        <v>0.004</v>
      </c>
      <c r="R8">
        <v>5</v>
      </c>
      <c r="S8">
        <v>3</v>
      </c>
      <c r="T8">
        <v>2</v>
      </c>
      <c r="U8">
        <v>0</v>
      </c>
      <c r="V8">
        <v>0</v>
      </c>
      <c r="W8" s="5">
        <v>252.28</v>
      </c>
      <c r="X8">
        <v>112</v>
      </c>
      <c r="Y8" s="4">
        <v>0</v>
      </c>
      <c r="Z8">
        <v>0</v>
      </c>
      <c r="AA8" s="5">
        <v>0</v>
      </c>
      <c r="AB8">
        <v>0</v>
      </c>
      <c r="AC8" s="5">
        <v>0</v>
      </c>
      <c r="AD8" s="5">
        <v>1261.44</v>
      </c>
      <c r="AE8" s="5">
        <v>0</v>
      </c>
      <c r="AF8" s="5">
        <v>81.44</v>
      </c>
      <c r="AG8" s="5">
        <v>1180</v>
      </c>
      <c r="AH8" s="5">
        <v>0</v>
      </c>
      <c r="AI8" s="5">
        <v>0</v>
      </c>
    </row>
    <row r="9">
      <c r="A9" s="2" t="str">
        <f>HYPERLINK("https://www.avito.ru/moskva/bytovaya_elektronika/3d_printer_promyshlennyy_dowell_dm-8_800800800_7829120103","7829120103")</f>
      </c>
      <c r="B9" t="s">
        <v>35</v>
      </c>
      <c r="C9" t="s">
        <v>36</v>
      </c>
      <c r="D9" t="s">
        <v>54</v>
      </c>
      <c r="E9" t="s">
        <v>38</v>
      </c>
      <c r="F9" t="s">
        <v>39</v>
      </c>
      <c r="G9" t="s">
        <v>40</v>
      </c>
      <c r="H9" s="3" t="str">
        <f>HYPERLINK("https://www.avito.ru/moskva/bytovaya_elektronika/3d_printer_promyshlennyy_dowell_dm-8_800800800_7829120103","3Д принтер промышленный DoWell DM-8 800*800*800")</f>
      </c>
      <c r="I9" t="s">
        <v>59</v>
      </c>
      <c r="J9" t="s">
        <v>60</v>
      </c>
      <c r="K9" t="s">
        <v>43</v>
      </c>
      <c r="L9">
        <v>179</v>
      </c>
      <c r="M9">
        <v>4515</v>
      </c>
      <c r="N9" s="4">
        <v>0.1949</v>
      </c>
      <c r="O9">
        <v>880</v>
      </c>
      <c r="P9" s="5">
        <v>0.09</v>
      </c>
      <c r="Q9" s="4">
        <v>0.0068</v>
      </c>
      <c r="R9">
        <v>6</v>
      </c>
      <c r="S9">
        <v>4</v>
      </c>
      <c r="T9">
        <v>2</v>
      </c>
      <c r="U9">
        <v>0</v>
      </c>
      <c r="V9">
        <v>0</v>
      </c>
      <c r="W9" s="5">
        <v>14.09</v>
      </c>
      <c r="X9">
        <v>98</v>
      </c>
      <c r="Y9" s="4">
        <v>0</v>
      </c>
      <c r="Z9">
        <v>0</v>
      </c>
      <c r="AA9" s="5">
        <v>0</v>
      </c>
      <c r="AB9">
        <v>0</v>
      </c>
      <c r="AC9" s="5">
        <v>0</v>
      </c>
      <c r="AD9" s="5">
        <v>84.58</v>
      </c>
      <c r="AE9" s="5">
        <v>0</v>
      </c>
      <c r="AF9" s="5">
        <v>84.58</v>
      </c>
      <c r="AG9" s="5">
        <v>0</v>
      </c>
      <c r="AH9" s="5">
        <v>0</v>
      </c>
      <c r="AI9" s="5">
        <v>0</v>
      </c>
    </row>
    <row r="10">
      <c r="A10" s="2" t="str">
        <f>HYPERLINK("https://www.avito.ru/moskva/bytovaya_elektronika/3d_printer_eu_bambu_lab_h2d_combo_ams_7861721825","7861721825")</f>
      </c>
      <c r="B10" t="s">
        <v>35</v>
      </c>
      <c r="C10" t="s">
        <v>36</v>
      </c>
      <c r="D10" t="s">
        <v>51</v>
      </c>
      <c r="E10" t="s">
        <v>38</v>
      </c>
      <c r="F10" t="s">
        <v>39</v>
      </c>
      <c r="G10" t="s">
        <v>40</v>
      </c>
      <c r="H10" s="3" t="str">
        <f>HYPERLINK("https://www.avito.ru/moskva/bytovaya_elektronika/3d_printer_eu_bambu_lab_h2d_combo_ams_7861721825","3Д принтер EU Bambu lab H2D Combo AMS")</f>
      </c>
      <c r="I10" t="s">
        <v>61</v>
      </c>
      <c r="J10" t="s">
        <v>62</v>
      </c>
      <c r="K10" t="s">
        <v>63</v>
      </c>
      <c r="L10">
        <v>155</v>
      </c>
      <c r="M10">
        <v>4033</v>
      </c>
      <c r="N10" s="4">
        <v>0.2082</v>
      </c>
      <c r="O10">
        <v>840</v>
      </c>
      <c r="P10" s="5">
        <v>0.37</v>
      </c>
      <c r="Q10" s="4">
        <v>0.0166</v>
      </c>
      <c r="R10">
        <v>14</v>
      </c>
      <c r="S10">
        <v>11</v>
      </c>
      <c r="T10">
        <v>0</v>
      </c>
      <c r="U10">
        <v>3</v>
      </c>
      <c r="V10">
        <v>0</v>
      </c>
      <c r="W10" s="5">
        <v>22.24</v>
      </c>
      <c r="X10">
        <v>85</v>
      </c>
      <c r="Y10" s="4">
        <v>0</v>
      </c>
      <c r="Z10">
        <v>0</v>
      </c>
      <c r="AA10" s="5">
        <v>0</v>
      </c>
      <c r="AB10">
        <v>0</v>
      </c>
      <c r="AC10" s="5">
        <v>0</v>
      </c>
      <c r="AD10" s="5">
        <v>311.4</v>
      </c>
      <c r="AE10" s="5">
        <v>0</v>
      </c>
      <c r="AF10" s="5">
        <v>31.4</v>
      </c>
      <c r="AG10" s="5">
        <v>280</v>
      </c>
      <c r="AH10" s="5">
        <v>0</v>
      </c>
      <c r="AI10" s="5">
        <v>0</v>
      </c>
    </row>
    <row r="11">
      <c r="A11" s="2" t="str">
        <f>HYPERLINK("https://www.avito.ru/moskva/bytovaya_elektronika/3d_printer_bambu_lab_h2d_laser_combo_ams_40vt_cn_7861099048","7861099048")</f>
      </c>
      <c r="B11" t="s">
        <v>35</v>
      </c>
      <c r="C11" t="s">
        <v>36</v>
      </c>
      <c r="D11" t="s">
        <v>51</v>
      </c>
      <c r="E11" t="s">
        <v>38</v>
      </c>
      <c r="F11" t="s">
        <v>39</v>
      </c>
      <c r="G11" t="s">
        <v>40</v>
      </c>
      <c r="H11" s="3" t="str">
        <f>HYPERLINK("https://www.avito.ru/moskva/bytovaya_elektronika/3d_printer_bambu_lab_h2d_laser_combo_ams_40vt_cn_7861099048","3D принтер Bambu Lab H2D Laser Combo AMS 40Вт CN")</f>
      </c>
      <c r="I11" t="s">
        <v>64</v>
      </c>
      <c r="J11" t="s">
        <v>53</v>
      </c>
      <c r="K11" t="s">
        <v>46</v>
      </c>
      <c r="L11">
        <v>156</v>
      </c>
      <c r="M11">
        <v>4682</v>
      </c>
      <c r="N11" s="4">
        <v>0.1621</v>
      </c>
      <c r="O11">
        <v>759</v>
      </c>
      <c r="P11" s="5">
        <v>0.41</v>
      </c>
      <c r="Q11" s="4">
        <v>0.0276</v>
      </c>
      <c r="R11">
        <v>21</v>
      </c>
      <c r="S11">
        <v>19</v>
      </c>
      <c r="T11">
        <v>2</v>
      </c>
      <c r="U11">
        <v>0</v>
      </c>
      <c r="V11">
        <v>0</v>
      </c>
      <c r="W11" s="5">
        <v>14.97</v>
      </c>
      <c r="X11">
        <v>91</v>
      </c>
      <c r="Y11" s="4">
        <v>0</v>
      </c>
      <c r="Z11">
        <v>0</v>
      </c>
      <c r="AA11" s="5">
        <v>0</v>
      </c>
      <c r="AB11">
        <v>0</v>
      </c>
      <c r="AC11" s="5">
        <v>0</v>
      </c>
      <c r="AD11" s="5">
        <v>314.53</v>
      </c>
      <c r="AE11" s="5">
        <v>0</v>
      </c>
      <c r="AF11" s="5">
        <v>34.53</v>
      </c>
      <c r="AG11" s="5">
        <v>280</v>
      </c>
      <c r="AH11" s="5">
        <v>0</v>
      </c>
      <c r="AI11" s="5">
        <v>0</v>
      </c>
    </row>
    <row r="12">
      <c r="A12" s="2" t="str">
        <f>HYPERLINK("https://www.avito.ru/moskva/bytovaya_elektronika/3d_printer_creality_k2_pro_combo_7829591441","7829591441")</f>
      </c>
      <c r="B12" t="s">
        <v>35</v>
      </c>
      <c r="C12" t="s">
        <v>36</v>
      </c>
      <c r="D12" t="s">
        <v>54</v>
      </c>
      <c r="E12" t="s">
        <v>38</v>
      </c>
      <c r="F12" t="s">
        <v>39</v>
      </c>
      <c r="G12" t="s">
        <v>40</v>
      </c>
      <c r="H12" s="3" t="str">
        <f>HYPERLINK("https://www.avito.ru/moskva/bytovaya_elektronika/3d_printer_creality_k2_pro_combo_7829591441","3D принтер creality k2 pro combo")</f>
      </c>
      <c r="I12" t="s">
        <v>65</v>
      </c>
      <c r="J12" t="s">
        <v>66</v>
      </c>
      <c r="K12" t="s">
        <v>67</v>
      </c>
      <c r="L12">
        <v>173</v>
      </c>
      <c r="M12">
        <v>4102</v>
      </c>
      <c r="N12" s="4">
        <v>0.1735</v>
      </c>
      <c r="O12">
        <v>712</v>
      </c>
      <c r="P12" s="5">
        <v>0.41</v>
      </c>
      <c r="Q12" s="4">
        <v>0.0491</v>
      </c>
      <c r="R12">
        <v>35</v>
      </c>
      <c r="S12">
        <v>23</v>
      </c>
      <c r="T12">
        <v>11</v>
      </c>
      <c r="U12">
        <v>1</v>
      </c>
      <c r="V12">
        <v>0</v>
      </c>
      <c r="W12" s="5">
        <v>8.5</v>
      </c>
      <c r="X12">
        <v>74</v>
      </c>
      <c r="Y12" s="4">
        <v>0.0014</v>
      </c>
      <c r="Z12">
        <v>1</v>
      </c>
      <c r="AA12" s="5">
        <v>70406</v>
      </c>
      <c r="AB12">
        <v>0</v>
      </c>
      <c r="AC12" s="5">
        <v>0</v>
      </c>
      <c r="AD12" s="5">
        <v>297.74</v>
      </c>
      <c r="AE12" s="5">
        <v>0</v>
      </c>
      <c r="AF12" s="5">
        <v>87.74</v>
      </c>
      <c r="AG12" s="5">
        <v>210</v>
      </c>
      <c r="AH12" s="5">
        <v>0</v>
      </c>
      <c r="AI12" s="5">
        <v>0</v>
      </c>
    </row>
    <row r="13">
      <c r="A13" s="2" t="str">
        <f>HYPERLINK("https://www.avito.ru/moskva/bytovaya_elektronika/3d_printer_bolshoy_100010001000_mingda_7829546342","7829546342")</f>
      </c>
      <c r="B13" t="s">
        <v>35</v>
      </c>
      <c r="C13" t="s">
        <v>36</v>
      </c>
      <c r="D13" t="s">
        <v>54</v>
      </c>
      <c r="E13" t="s">
        <v>38</v>
      </c>
      <c r="F13" t="s">
        <v>39</v>
      </c>
      <c r="G13" t="s">
        <v>40</v>
      </c>
      <c r="H13" s="3" t="str">
        <f>HYPERLINK("https://www.avito.ru/moskva/bytovaya_elektronika/3d_printer_bolshoy_100010001000_mingda_7829546342","3Д принтер большой 1000*1000*1000 mingda")</f>
      </c>
      <c r="I13" t="s">
        <v>68</v>
      </c>
      <c r="J13" t="s">
        <v>66</v>
      </c>
      <c r="K13" t="s">
        <v>69</v>
      </c>
      <c r="L13">
        <v>173</v>
      </c>
      <c r="M13">
        <v>2058</v>
      </c>
      <c r="N13" s="4">
        <v>0.2876</v>
      </c>
      <c r="O13">
        <v>592</v>
      </c>
      <c r="P13" s="5">
        <v>0.14</v>
      </c>
      <c r="Q13" s="4">
        <v>0.005</v>
      </c>
      <c r="R13">
        <v>3</v>
      </c>
      <c r="S13">
        <v>2</v>
      </c>
      <c r="T13">
        <v>1</v>
      </c>
      <c r="U13">
        <v>0</v>
      </c>
      <c r="V13">
        <v>0</v>
      </c>
      <c r="W13" s="5">
        <v>29.24</v>
      </c>
      <c r="X13">
        <v>43</v>
      </c>
      <c r="Y13" s="4">
        <v>0</v>
      </c>
      <c r="Z13">
        <v>0</v>
      </c>
      <c r="AA13" s="5">
        <v>0</v>
      </c>
      <c r="AB13">
        <v>0</v>
      </c>
      <c r="AC13" s="5">
        <v>0</v>
      </c>
      <c r="AD13" s="5">
        <v>87.74</v>
      </c>
      <c r="AE13" s="5">
        <v>0</v>
      </c>
      <c r="AF13" s="5">
        <v>87.74</v>
      </c>
      <c r="AG13" s="5">
        <v>0</v>
      </c>
      <c r="AH13" s="5">
        <v>0</v>
      </c>
      <c r="AI13" s="5">
        <v>0</v>
      </c>
    </row>
    <row r="14">
      <c r="A14" s="2" t="str">
        <f>HYPERLINK("https://www.avito.ru/moskva/bytovaya_elektronika/3d_printer_cn_bambu_lab_h2d_laser_full_combo_10_vt_7861372585","7861372585")</f>
      </c>
      <c r="B14" t="s">
        <v>35</v>
      </c>
      <c r="C14" t="s">
        <v>36</v>
      </c>
      <c r="D14" t="s">
        <v>70</v>
      </c>
      <c r="E14" t="s">
        <v>38</v>
      </c>
      <c r="F14" t="s">
        <v>39</v>
      </c>
      <c r="G14" t="s">
        <v>40</v>
      </c>
      <c r="H14" s="3" t="str">
        <f>HYPERLINK("https://www.avito.ru/moskva/bytovaya_elektronika/3d_printer_cn_bambu_lab_h2d_laser_full_combo_10_vt_7861372585","3D принтер CN Bambu Lab H2D Laser Full Combo 10 Вт")</f>
      </c>
      <c r="I14" t="s">
        <v>71</v>
      </c>
      <c r="J14" t="s">
        <v>53</v>
      </c>
      <c r="K14" t="s">
        <v>46</v>
      </c>
      <c r="L14">
        <v>156</v>
      </c>
      <c r="M14">
        <v>3045</v>
      </c>
      <c r="N14" s="4">
        <v>0.1865</v>
      </c>
      <c r="O14">
        <v>568</v>
      </c>
      <c r="P14" s="5">
        <v>0.06</v>
      </c>
      <c r="Q14" s="4">
        <v>0.0158</v>
      </c>
      <c r="R14">
        <v>9</v>
      </c>
      <c r="S14">
        <v>9</v>
      </c>
      <c r="T14">
        <v>0</v>
      </c>
      <c r="U14">
        <v>0</v>
      </c>
      <c r="V14">
        <v>0</v>
      </c>
      <c r="W14" s="5">
        <v>3.83</v>
      </c>
      <c r="X14">
        <v>54</v>
      </c>
      <c r="Y14" s="4">
        <v>0</v>
      </c>
      <c r="Z14">
        <v>0</v>
      </c>
      <c r="AA14" s="5">
        <v>0</v>
      </c>
      <c r="AB14">
        <v>0</v>
      </c>
      <c r="AC14" s="5">
        <v>0</v>
      </c>
      <c r="AD14" s="5">
        <v>34.53</v>
      </c>
      <c r="AE14" s="5">
        <v>0</v>
      </c>
      <c r="AF14" s="5">
        <v>34.53</v>
      </c>
      <c r="AG14" s="5">
        <v>0</v>
      </c>
      <c r="AH14" s="5">
        <v>0</v>
      </c>
      <c r="AI14" s="5">
        <v>0</v>
      </c>
    </row>
    <row r="15">
      <c r="A15" s="2" t="str">
        <f>HYPERLINK("https://www.avito.ru/moskva/bytovaya_elektronika/3d_printer_eu_bambu_lab_h2d_laser_full_combo_10w_7829233208","7829233208")</f>
      </c>
      <c r="B15" t="s">
        <v>35</v>
      </c>
      <c r="C15" t="s">
        <v>36</v>
      </c>
      <c r="D15" t="s">
        <v>51</v>
      </c>
      <c r="E15" t="s">
        <v>38</v>
      </c>
      <c r="F15" t="s">
        <v>39</v>
      </c>
      <c r="G15" t="s">
        <v>40</v>
      </c>
      <c r="H15" s="3" t="str">
        <f>HYPERLINK("https://www.avito.ru/moskva/bytovaya_elektronika/3d_printer_eu_bambu_lab_h2d_laser_full_combo_10w_7829233208","3Д принтер EU Bambu Lab H2D Laser Full Combo 10W")</f>
      </c>
      <c r="I15" t="s">
        <v>72</v>
      </c>
      <c r="J15" t="s">
        <v>73</v>
      </c>
      <c r="K15" t="s">
        <v>46</v>
      </c>
      <c r="L15">
        <v>189</v>
      </c>
      <c r="M15">
        <v>2939</v>
      </c>
      <c r="N15" s="4">
        <v>0.1725</v>
      </c>
      <c r="O15">
        <v>507</v>
      </c>
      <c r="P15" s="5">
        <v>0.06</v>
      </c>
      <c r="Q15" s="4">
        <v>0.0197</v>
      </c>
      <c r="R15">
        <v>10</v>
      </c>
      <c r="S15">
        <v>9</v>
      </c>
      <c r="T15">
        <v>1</v>
      </c>
      <c r="U15">
        <v>0</v>
      </c>
      <c r="V15">
        <v>0</v>
      </c>
      <c r="W15" s="5">
        <v>3.45</v>
      </c>
      <c r="X15">
        <v>39</v>
      </c>
      <c r="Y15" s="4">
        <v>0</v>
      </c>
      <c r="Z15">
        <v>0</v>
      </c>
      <c r="AA15" s="5">
        <v>0</v>
      </c>
      <c r="AB15">
        <v>0</v>
      </c>
      <c r="AC15" s="5">
        <v>0</v>
      </c>
      <c r="AD15" s="5">
        <v>34.53</v>
      </c>
      <c r="AE15" s="5">
        <v>0</v>
      </c>
      <c r="AF15" s="5">
        <v>34.53</v>
      </c>
      <c r="AG15" s="5">
        <v>0</v>
      </c>
      <c r="AH15" s="5">
        <v>0</v>
      </c>
      <c r="AI15" s="5">
        <v>0</v>
      </c>
    </row>
    <row r="16">
      <c r="A16" s="2" t="str">
        <f>HYPERLINK("https://www.avito.ru/moskva/bytovaya_elektronika/3d-printer_bolshoy_fdm_dowell_dm1220-16_pro_7861125615","7861125615")</f>
      </c>
      <c r="B16" t="s">
        <v>35</v>
      </c>
      <c r="C16" t="s">
        <v>36</v>
      </c>
      <c r="D16" t="s">
        <v>74</v>
      </c>
      <c r="E16" t="s">
        <v>38</v>
      </c>
      <c r="F16" t="s">
        <v>39</v>
      </c>
      <c r="G16" t="s">
        <v>40</v>
      </c>
      <c r="H16" s="3" t="str">
        <f>HYPERLINK("https://www.avito.ru/moskva/bytovaya_elektronika/3d-printer_bolshoy_fdm_dowell_dm1220-16_pro_7861125615","3D-принтер большой FDM DoWell DM1220-16 Pro")</f>
      </c>
      <c r="I16" t="s">
        <v>75</v>
      </c>
      <c r="J16" t="s">
        <v>48</v>
      </c>
      <c r="K16" t="s">
        <v>46</v>
      </c>
      <c r="L16">
        <v>163</v>
      </c>
      <c r="M16">
        <v>2367</v>
      </c>
      <c r="N16" s="4">
        <v>0.1698</v>
      </c>
      <c r="O16">
        <v>402</v>
      </c>
      <c r="P16" s="5">
        <v>0.14</v>
      </c>
      <c r="Q16" s="4">
        <v>0</v>
      </c>
      <c r="R16">
        <v>0</v>
      </c>
      <c r="S16">
        <v>0</v>
      </c>
      <c r="T16">
        <v>0</v>
      </c>
      <c r="U16">
        <v>0</v>
      </c>
      <c r="V16">
        <v>0</v>
      </c>
      <c r="W16" s="5" t="s">
        <v>76</v>
      </c>
      <c r="X16">
        <v>59</v>
      </c>
      <c r="Y16" s="4">
        <v>0</v>
      </c>
      <c r="Z16">
        <v>0</v>
      </c>
      <c r="AA16" s="5">
        <v>0</v>
      </c>
      <c r="AB16">
        <v>0</v>
      </c>
      <c r="AC16" s="5">
        <v>0</v>
      </c>
      <c r="AD16" s="5">
        <v>56.44</v>
      </c>
      <c r="AE16" s="5">
        <v>0</v>
      </c>
      <c r="AF16" s="5">
        <v>56.44</v>
      </c>
      <c r="AG16" s="5">
        <v>0</v>
      </c>
      <c r="AH16" s="5">
        <v>0</v>
      </c>
      <c r="AI16" s="5">
        <v>0</v>
      </c>
    </row>
    <row r="17">
      <c r="A17" s="2" t="str">
        <f>HYPERLINK("https://www.avito.ru/moskva/bytovaya_elektronika/fdm-printer_dowell_dm1016-8pro_shirokoformatnyy_7829580428","7829580428")</f>
      </c>
      <c r="B17" t="s">
        <v>35</v>
      </c>
      <c r="C17" t="s">
        <v>36</v>
      </c>
      <c r="D17" t="s">
        <v>51</v>
      </c>
      <c r="E17" t="s">
        <v>38</v>
      </c>
      <c r="F17" t="s">
        <v>39</v>
      </c>
      <c r="G17" t="s">
        <v>77</v>
      </c>
      <c r="H17" s="3" t="str">
        <f>HYPERLINK("https://www.avito.ru/moskva/bytovaya_elektronika/fdm-printer_dowell_dm1016-8pro_shirokoformatnyy_7829580428","FDM-принтер DoWell DM1016-8Pro Широкоформатный")</f>
      </c>
      <c r="I17" t="s">
        <v>78</v>
      </c>
      <c r="J17" t="s">
        <v>79</v>
      </c>
      <c r="K17" t="s">
        <v>80</v>
      </c>
      <c r="L17">
        <v>181</v>
      </c>
      <c r="M17">
        <v>1845</v>
      </c>
      <c r="N17" s="4">
        <v>0.2173</v>
      </c>
      <c r="O17">
        <v>401</v>
      </c>
      <c r="P17" s="5">
        <v>0.19</v>
      </c>
      <c r="Q17" s="4">
        <v>0</v>
      </c>
      <c r="R17">
        <v>0</v>
      </c>
      <c r="S17">
        <v>0</v>
      </c>
      <c r="T17">
        <v>0</v>
      </c>
      <c r="U17">
        <v>0</v>
      </c>
      <c r="V17">
        <v>0</v>
      </c>
      <c r="W17" s="5" t="s">
        <v>76</v>
      </c>
      <c r="X17">
        <v>38</v>
      </c>
      <c r="Y17" s="4">
        <v>0</v>
      </c>
      <c r="Z17">
        <v>0</v>
      </c>
      <c r="AA17" s="5">
        <v>0</v>
      </c>
      <c r="AB17">
        <v>0</v>
      </c>
      <c r="AC17" s="5">
        <v>0</v>
      </c>
      <c r="AD17" s="5">
        <v>78.3</v>
      </c>
      <c r="AE17" s="5">
        <v>0</v>
      </c>
      <c r="AF17" s="5">
        <v>78.3</v>
      </c>
      <c r="AG17" s="5">
        <v>0</v>
      </c>
      <c r="AH17" s="5">
        <v>0</v>
      </c>
      <c r="AI17" s="5">
        <v>0</v>
      </c>
    </row>
    <row r="18">
      <c r="A18" s="2" t="str">
        <f>HYPERLINK("https://www.avito.ru/moskva/bytovaya_elektronika/3d-printer_bolshoy_fgf_dowell_dp-a1620-16_7861045162","7861045162")</f>
      </c>
      <c r="B18" t="s">
        <v>35</v>
      </c>
      <c r="C18" t="s">
        <v>36</v>
      </c>
      <c r="D18" t="s">
        <v>37</v>
      </c>
      <c r="E18" t="s">
        <v>38</v>
      </c>
      <c r="F18" t="s">
        <v>39</v>
      </c>
      <c r="G18" t="s">
        <v>77</v>
      </c>
      <c r="H18" s="3" t="str">
        <f>HYPERLINK("https://www.avito.ru/moskva/bytovaya_elektronika/3d-printer_bolshoy_fgf_dowell_dp-a1620-16_7861045162","3D-принтер большой FGF DoWell DP-A1620-16")</f>
      </c>
      <c r="I18" t="s">
        <v>81</v>
      </c>
      <c r="J18" t="s">
        <v>42</v>
      </c>
      <c r="K18" t="s">
        <v>82</v>
      </c>
      <c r="L18">
        <v>166</v>
      </c>
      <c r="M18">
        <v>1115</v>
      </c>
      <c r="N18" s="4">
        <v>0.165</v>
      </c>
      <c r="O18">
        <v>184</v>
      </c>
      <c r="P18" s="5">
        <v>0.35</v>
      </c>
      <c r="Q18" s="4">
        <v>0</v>
      </c>
      <c r="R18">
        <v>0</v>
      </c>
      <c r="S18">
        <v>0</v>
      </c>
      <c r="T18">
        <v>0</v>
      </c>
      <c r="U18">
        <v>0</v>
      </c>
      <c r="V18">
        <v>0</v>
      </c>
      <c r="W18" s="5" t="s">
        <v>76</v>
      </c>
      <c r="X18">
        <v>24</v>
      </c>
      <c r="Y18" s="4">
        <v>0</v>
      </c>
      <c r="Z18">
        <v>0</v>
      </c>
      <c r="AA18" s="5">
        <v>0</v>
      </c>
      <c r="AB18">
        <v>0</v>
      </c>
      <c r="AC18" s="5">
        <v>0</v>
      </c>
      <c r="AD18" s="5">
        <v>65.83</v>
      </c>
      <c r="AE18" s="5">
        <v>0</v>
      </c>
      <c r="AF18" s="5">
        <v>65.83</v>
      </c>
      <c r="AG18" s="5">
        <v>0</v>
      </c>
      <c r="AH18" s="5">
        <v>0</v>
      </c>
      <c r="AI18" s="5">
        <v>0</v>
      </c>
    </row>
    <row r="19">
      <c r="A19" s="2" t="str">
        <f>HYPERLINK("https://www.avito.ru/moskva/bytovaya_elektronika/3d-printer_bolshoy_fdm_dowell_dm8-16_plus_7861897235","7861897235")</f>
      </c>
      <c r="B19" t="s">
        <v>35</v>
      </c>
      <c r="C19" t="s">
        <v>36</v>
      </c>
      <c r="D19" t="s">
        <v>37</v>
      </c>
      <c r="E19" t="s">
        <v>38</v>
      </c>
      <c r="F19" t="s">
        <v>39</v>
      </c>
      <c r="G19" t="s">
        <v>77</v>
      </c>
      <c r="H19" s="3" t="str">
        <f>HYPERLINK("https://www.avito.ru/moskva/bytovaya_elektronika/3d-printer_bolshoy_fdm_dowell_dm8-16_plus_7861897235","3D-принтер большой FDM DoWell DM8-16 Plus")</f>
      </c>
      <c r="I19" t="s">
        <v>83</v>
      </c>
      <c r="J19" t="s">
        <v>42</v>
      </c>
      <c r="K19" t="s">
        <v>82</v>
      </c>
      <c r="L19">
        <v>166</v>
      </c>
      <c r="M19">
        <v>1257</v>
      </c>
      <c r="N19" s="4">
        <v>0.1209</v>
      </c>
      <c r="O19">
        <v>152</v>
      </c>
      <c r="P19" s="5">
        <v>0.43</v>
      </c>
      <c r="Q19" s="4">
        <v>0</v>
      </c>
      <c r="R19">
        <v>0</v>
      </c>
      <c r="S19">
        <v>0</v>
      </c>
      <c r="T19">
        <v>0</v>
      </c>
      <c r="U19">
        <v>0</v>
      </c>
      <c r="V19">
        <v>0</v>
      </c>
      <c r="W19" s="5" t="s">
        <v>76</v>
      </c>
      <c r="X19">
        <v>33</v>
      </c>
      <c r="Y19" s="4">
        <v>0</v>
      </c>
      <c r="Z19">
        <v>0</v>
      </c>
      <c r="AA19" s="5">
        <v>0</v>
      </c>
      <c r="AB19">
        <v>0</v>
      </c>
      <c r="AC19" s="5">
        <v>0</v>
      </c>
      <c r="AD19" s="5">
        <v>65.83</v>
      </c>
      <c r="AE19" s="5">
        <v>0</v>
      </c>
      <c r="AF19" s="5">
        <v>65.83</v>
      </c>
      <c r="AG19" s="5">
        <v>0</v>
      </c>
      <c r="AH19" s="5">
        <v>0</v>
      </c>
      <c r="AI19" s="5">
        <v>0</v>
      </c>
    </row>
    <row r="20">
      <c r="A20" s="2" t="str">
        <f>HYPERLINK("https://www.avito.ru/moskva/bytovaya_elektronika/3d_printer_promyshlennyy_dowell_dm8_plus_zakrytyy_7829742730","7829742730")</f>
      </c>
      <c r="B20" t="s">
        <v>35</v>
      </c>
      <c r="C20" t="s">
        <v>36</v>
      </c>
      <c r="D20" t="s">
        <v>54</v>
      </c>
      <c r="E20" t="s">
        <v>38</v>
      </c>
      <c r="F20" t="s">
        <v>39</v>
      </c>
      <c r="G20" t="s">
        <v>77</v>
      </c>
      <c r="H20" s="3" t="str">
        <f>HYPERLINK("https://www.avito.ru/moskva/bytovaya_elektronika/3d_printer_promyshlennyy_dowell_dm8_plus_zakrytyy_7829742730","3Д принтер промышленный DoWell DM8 plus закрытый")</f>
      </c>
      <c r="I20" t="s">
        <v>84</v>
      </c>
      <c r="J20" t="s">
        <v>60</v>
      </c>
      <c r="K20" t="s">
        <v>85</v>
      </c>
      <c r="L20">
        <v>179</v>
      </c>
      <c r="M20">
        <v>1024</v>
      </c>
      <c r="N20" s="4">
        <v>0.1425</v>
      </c>
      <c r="O20">
        <v>146</v>
      </c>
      <c r="P20" s="5">
        <v>0.57</v>
      </c>
      <c r="Q20" s="4">
        <v>0.0136</v>
      </c>
      <c r="R20">
        <v>2</v>
      </c>
      <c r="S20">
        <v>1</v>
      </c>
      <c r="T20">
        <v>1</v>
      </c>
      <c r="U20">
        <v>0</v>
      </c>
      <c r="V20">
        <v>0</v>
      </c>
      <c r="W20" s="5">
        <v>42.29</v>
      </c>
      <c r="X20">
        <v>20</v>
      </c>
      <c r="Y20" s="4">
        <v>0</v>
      </c>
      <c r="Z20">
        <v>0</v>
      </c>
      <c r="AA20" s="5">
        <v>0</v>
      </c>
      <c r="AB20">
        <v>0</v>
      </c>
      <c r="AC20" s="5">
        <v>0</v>
      </c>
      <c r="AD20" s="5">
        <v>84.58</v>
      </c>
      <c r="AE20" s="5">
        <v>0</v>
      </c>
      <c r="AF20" s="5">
        <v>84.58</v>
      </c>
      <c r="AG20" s="5">
        <v>0</v>
      </c>
      <c r="AH20" s="5">
        <v>0</v>
      </c>
      <c r="AI20" s="5">
        <v>0</v>
      </c>
    </row>
    <row r="21">
      <c r="A21" s="2" t="str">
        <f>HYPERLINK("https://www.avito.ru/moskva/bytovaya_elektronika/3d_printer_bamboo_lab_p2s_7860996226","7860996226")</f>
      </c>
      <c r="B21" t="s">
        <v>35</v>
      </c>
      <c r="C21" t="s">
        <v>36</v>
      </c>
      <c r="D21" t="s">
        <v>37</v>
      </c>
      <c r="E21" t="s">
        <v>38</v>
      </c>
      <c r="F21" t="s">
        <v>39</v>
      </c>
      <c r="G21" t="s">
        <v>77</v>
      </c>
      <c r="H21" s="3" t="str">
        <f>HYPERLINK("https://www.avito.ru/moskva/bytovaya_elektronika/3d_printer_bamboo_lab_p2s_7860996226","3Д принтер Bamboo lab P2S")</f>
      </c>
      <c r="I21" t="s">
        <v>65</v>
      </c>
      <c r="J21" t="s">
        <v>45</v>
      </c>
      <c r="K21" t="s">
        <v>86</v>
      </c>
      <c r="L21">
        <v>164</v>
      </c>
      <c r="M21">
        <v>1182</v>
      </c>
      <c r="N21" s="4">
        <v>0.1099</v>
      </c>
      <c r="O21">
        <v>130</v>
      </c>
      <c r="P21" s="5">
        <v>0.43</v>
      </c>
      <c r="Q21" s="4">
        <v>0</v>
      </c>
      <c r="R21">
        <v>0</v>
      </c>
      <c r="S21">
        <v>0</v>
      </c>
      <c r="T21">
        <v>0</v>
      </c>
      <c r="U21">
        <v>0</v>
      </c>
      <c r="V21">
        <v>0</v>
      </c>
      <c r="W21" s="5" t="s">
        <v>76</v>
      </c>
      <c r="X21">
        <v>10</v>
      </c>
      <c r="Y21" s="4">
        <v>0</v>
      </c>
      <c r="Z21">
        <v>0</v>
      </c>
      <c r="AA21" s="5">
        <v>0</v>
      </c>
      <c r="AB21">
        <v>0</v>
      </c>
      <c r="AC21" s="5">
        <v>0</v>
      </c>
      <c r="AD21" s="5">
        <v>56.44</v>
      </c>
      <c r="AE21" s="5">
        <v>0</v>
      </c>
      <c r="AF21" s="5">
        <v>56.44</v>
      </c>
      <c r="AG21" s="5">
        <v>0</v>
      </c>
      <c r="AH21" s="5">
        <v>0</v>
      </c>
      <c r="AI21" s="5">
        <v>0</v>
      </c>
    </row>
    <row r="22">
      <c r="A22" s="2" t="str">
        <f>HYPERLINK("https://www.avito.ru/moskva/bytovaya_elektronika/3d-printer_bolshoy_fdm_dowell_dm1016-10_pro_7861534642","7861534642")</f>
      </c>
      <c r="B22" t="s">
        <v>35</v>
      </c>
      <c r="C22" t="s">
        <v>36</v>
      </c>
      <c r="D22" t="s">
        <v>74</v>
      </c>
      <c r="E22" t="s">
        <v>38</v>
      </c>
      <c r="F22" t="s">
        <v>39</v>
      </c>
      <c r="G22" t="s">
        <v>40</v>
      </c>
      <c r="H22" s="3" t="str">
        <f>HYPERLINK("https://www.avito.ru/moskva/bytovaya_elektronika/3d-printer_bolshoy_fdm_dowell_dm1016-10_pro_7861534642","3D-принтер большой FDM DoWell DM1016-10 Pro")</f>
      </c>
      <c r="I22" t="s">
        <v>87</v>
      </c>
      <c r="J22" t="s">
        <v>88</v>
      </c>
      <c r="K22" t="s">
        <v>43</v>
      </c>
      <c r="L22">
        <v>159</v>
      </c>
      <c r="M22">
        <v>949</v>
      </c>
      <c r="N22" s="4">
        <v>0.1338</v>
      </c>
      <c r="O22">
        <v>127</v>
      </c>
      <c r="P22" s="5">
        <v>0.34</v>
      </c>
      <c r="Q22" s="4">
        <v>0.0078</v>
      </c>
      <c r="R22">
        <v>1</v>
      </c>
      <c r="S22">
        <v>1</v>
      </c>
      <c r="T22">
        <v>0</v>
      </c>
      <c r="U22">
        <v>0</v>
      </c>
      <c r="V22">
        <v>0</v>
      </c>
      <c r="W22" s="5">
        <v>43.92</v>
      </c>
      <c r="X22">
        <v>23</v>
      </c>
      <c r="Y22" s="4">
        <v>0</v>
      </c>
      <c r="Z22">
        <v>0</v>
      </c>
      <c r="AA22" s="5">
        <v>0</v>
      </c>
      <c r="AB22">
        <v>0</v>
      </c>
      <c r="AC22" s="5">
        <v>0</v>
      </c>
      <c r="AD22" s="5">
        <v>43.92</v>
      </c>
      <c r="AE22" s="5">
        <v>0</v>
      </c>
      <c r="AF22" s="5">
        <v>43.92</v>
      </c>
      <c r="AG22" s="5">
        <v>0</v>
      </c>
      <c r="AH22" s="5">
        <v>0</v>
      </c>
      <c r="AI22" s="5">
        <v>0</v>
      </c>
    </row>
    <row r="23">
      <c r="A23" s="2" t="str">
        <f>HYPERLINK("https://www.avito.ru/moskva/bytovaya_elektronika/3d-printer_bolshoy_fdm_dowell_dm1216-12_pro_7861118484","7861118484")</f>
      </c>
      <c r="B23" t="s">
        <v>35</v>
      </c>
      <c r="C23" t="s">
        <v>36</v>
      </c>
      <c r="D23" t="s">
        <v>37</v>
      </c>
      <c r="E23" t="s">
        <v>38</v>
      </c>
      <c r="F23" t="s">
        <v>39</v>
      </c>
      <c r="G23" t="s">
        <v>77</v>
      </c>
      <c r="H23" s="3" t="str">
        <f>HYPERLINK("https://www.avito.ru/moskva/bytovaya_elektronika/3d-printer_bolshoy_fdm_dowell_dm1216-12_pro_7861118484","3D-принтер большой FDM DoWell DM1216-12 Pro")</f>
      </c>
      <c r="I23" t="s">
        <v>89</v>
      </c>
      <c r="J23" t="s">
        <v>42</v>
      </c>
      <c r="K23" t="s">
        <v>82</v>
      </c>
      <c r="L23">
        <v>166</v>
      </c>
      <c r="M23">
        <v>606</v>
      </c>
      <c r="N23" s="4">
        <v>0.1947</v>
      </c>
      <c r="O23">
        <v>118</v>
      </c>
      <c r="P23" s="5">
        <v>0.55</v>
      </c>
      <c r="Q23" s="4">
        <v>0.0084</v>
      </c>
      <c r="R23">
        <v>1</v>
      </c>
      <c r="S23">
        <v>0</v>
      </c>
      <c r="T23">
        <v>1</v>
      </c>
      <c r="U23">
        <v>0</v>
      </c>
      <c r="V23">
        <v>0</v>
      </c>
      <c r="W23" s="5">
        <v>65.83</v>
      </c>
      <c r="X23">
        <v>14</v>
      </c>
      <c r="Y23" s="4">
        <v>0</v>
      </c>
      <c r="Z23">
        <v>0</v>
      </c>
      <c r="AA23" s="5">
        <v>0</v>
      </c>
      <c r="AB23">
        <v>0</v>
      </c>
      <c r="AC23" s="5">
        <v>0</v>
      </c>
      <c r="AD23" s="5">
        <v>65.83</v>
      </c>
      <c r="AE23" s="5">
        <v>0</v>
      </c>
      <c r="AF23" s="5">
        <v>65.83</v>
      </c>
      <c r="AG23" s="5">
        <v>0</v>
      </c>
      <c r="AH23" s="5">
        <v>0</v>
      </c>
      <c r="AI23" s="5">
        <v>0</v>
      </c>
    </row>
    <row r="24">
      <c r="A24" s="2" t="str">
        <f>HYPERLINK("https://www.avito.ru/moskva/bytovaya_elektronika/3d-printer_bolshoy_fdm_dowell_dm10-8_plus_7861848857","7861848857")</f>
      </c>
      <c r="B24" t="s">
        <v>35</v>
      </c>
      <c r="C24" t="s">
        <v>36</v>
      </c>
      <c r="D24" t="s">
        <v>37</v>
      </c>
      <c r="E24" t="s">
        <v>38</v>
      </c>
      <c r="F24" t="s">
        <v>39</v>
      </c>
      <c r="G24" t="s">
        <v>77</v>
      </c>
      <c r="H24" s="3" t="str">
        <f>HYPERLINK("https://www.avito.ru/moskva/bytovaya_elektronika/3d-printer_bolshoy_fdm_dowell_dm10-8_plus_7861848857","3D-принтер большой FDM DoWell DM10-8 Plus")</f>
      </c>
      <c r="I24" t="s">
        <v>90</v>
      </c>
      <c r="J24" t="s">
        <v>42</v>
      </c>
      <c r="K24" t="s">
        <v>82</v>
      </c>
      <c r="L24">
        <v>166</v>
      </c>
      <c r="M24">
        <v>880</v>
      </c>
      <c r="N24" s="4">
        <v>0.1261</v>
      </c>
      <c r="O24">
        <v>111</v>
      </c>
      <c r="P24" s="5">
        <v>0.59</v>
      </c>
      <c r="Q24" s="4">
        <v>0</v>
      </c>
      <c r="R24">
        <v>0</v>
      </c>
      <c r="S24">
        <v>0</v>
      </c>
      <c r="T24">
        <v>0</v>
      </c>
      <c r="U24">
        <v>0</v>
      </c>
      <c r="V24">
        <v>0</v>
      </c>
      <c r="W24" s="5" t="s">
        <v>76</v>
      </c>
      <c r="X24">
        <v>16</v>
      </c>
      <c r="Y24" s="4">
        <v>0</v>
      </c>
      <c r="Z24">
        <v>0</v>
      </c>
      <c r="AA24" s="5">
        <v>0</v>
      </c>
      <c r="AB24">
        <v>0</v>
      </c>
      <c r="AC24" s="5">
        <v>0</v>
      </c>
      <c r="AD24" s="5">
        <v>65.83</v>
      </c>
      <c r="AE24" s="5">
        <v>0</v>
      </c>
      <c r="AF24" s="5">
        <v>65.83</v>
      </c>
      <c r="AG24" s="5">
        <v>0</v>
      </c>
      <c r="AH24" s="5">
        <v>0</v>
      </c>
      <c r="AI24" s="5">
        <v>0</v>
      </c>
    </row>
    <row r="25">
      <c r="A25" s="2" t="str">
        <f>HYPERLINK("https://www.avito.ru/moskva/bytovaya_elektronika/3d_printer_fgf_160024001600_dowell_dp-a1624-16_7829733047","7829733047")</f>
      </c>
      <c r="B25" t="s">
        <v>35</v>
      </c>
      <c r="C25" t="s">
        <v>36</v>
      </c>
      <c r="D25" t="s">
        <v>54</v>
      </c>
      <c r="E25" t="s">
        <v>38</v>
      </c>
      <c r="F25" t="s">
        <v>39</v>
      </c>
      <c r="G25" t="s">
        <v>77</v>
      </c>
      <c r="H25" s="3" t="str">
        <f>HYPERLINK("https://www.avito.ru/moskva/bytovaya_elektronika/3d_printer_fgf_160024001600_dowell_dp-a1624-16_7829733047","3Д принтер FGF 1600/2400/1600 Dowell DP-A1624-16")</f>
      </c>
      <c r="I25" t="s">
        <v>91</v>
      </c>
      <c r="J25" t="s">
        <v>92</v>
      </c>
      <c r="K25" t="s">
        <v>93</v>
      </c>
      <c r="L25">
        <v>174</v>
      </c>
      <c r="M25">
        <v>610</v>
      </c>
      <c r="N25" s="4">
        <v>0.1704</v>
      </c>
      <c r="O25">
        <v>104</v>
      </c>
      <c r="P25" s="5">
        <v>0.87</v>
      </c>
      <c r="Q25" s="4">
        <v>0.0096</v>
      </c>
      <c r="R25">
        <v>1</v>
      </c>
      <c r="S25">
        <v>1</v>
      </c>
      <c r="T25">
        <v>0</v>
      </c>
      <c r="U25">
        <v>0</v>
      </c>
      <c r="V25">
        <v>0</v>
      </c>
      <c r="W25" s="5">
        <v>90.87</v>
      </c>
      <c r="X25">
        <v>14</v>
      </c>
      <c r="Y25" s="4">
        <v>0</v>
      </c>
      <c r="Z25">
        <v>0</v>
      </c>
      <c r="AA25" s="5">
        <v>0</v>
      </c>
      <c r="AB25">
        <v>0</v>
      </c>
      <c r="AC25" s="5">
        <v>0</v>
      </c>
      <c r="AD25" s="5">
        <v>90.87</v>
      </c>
      <c r="AE25" s="5">
        <v>0</v>
      </c>
      <c r="AF25" s="5">
        <v>90.87</v>
      </c>
      <c r="AG25" s="5">
        <v>0</v>
      </c>
      <c r="AH25" s="5">
        <v>0</v>
      </c>
      <c r="AI25" s="5">
        <v>0</v>
      </c>
    </row>
    <row r="26">
      <c r="A26" s="2" t="str">
        <f>HYPERLINK("https://www.avito.ru/moskva/bytovaya_elektronika/3d-printer_bolshoy_fdm_dowell_dm1220-6_pro_7861160825","7861160825")</f>
      </c>
      <c r="B26" t="s">
        <v>35</v>
      </c>
      <c r="C26" t="s">
        <v>36</v>
      </c>
      <c r="D26" t="s">
        <v>37</v>
      </c>
      <c r="E26" t="s">
        <v>38</v>
      </c>
      <c r="F26" t="s">
        <v>39</v>
      </c>
      <c r="G26" t="s">
        <v>40</v>
      </c>
      <c r="H26" s="3" t="str">
        <f>HYPERLINK("https://www.avito.ru/moskva/bytovaya_elektronika/3d-printer_bolshoy_fdm_dowell_dm1220-6_pro_7861160825","3D-принтер большой FDM DoWell DM1220-6 Pro")</f>
      </c>
      <c r="I26" t="s">
        <v>94</v>
      </c>
      <c r="J26" t="s">
        <v>42</v>
      </c>
      <c r="K26" t="s">
        <v>95</v>
      </c>
      <c r="L26">
        <v>166</v>
      </c>
      <c r="M26">
        <v>680</v>
      </c>
      <c r="N26" s="4">
        <v>0.1397</v>
      </c>
      <c r="O26">
        <v>95</v>
      </c>
      <c r="P26" s="5">
        <v>0.69</v>
      </c>
      <c r="Q26" s="4">
        <v>0</v>
      </c>
      <c r="R26">
        <v>0</v>
      </c>
      <c r="S26">
        <v>0</v>
      </c>
      <c r="T26">
        <v>0</v>
      </c>
      <c r="U26">
        <v>0</v>
      </c>
      <c r="V26">
        <v>0</v>
      </c>
      <c r="W26" s="5" t="s">
        <v>76</v>
      </c>
      <c r="X26">
        <v>16</v>
      </c>
      <c r="Y26" s="4">
        <v>0</v>
      </c>
      <c r="Z26">
        <v>0</v>
      </c>
      <c r="AA26" s="5">
        <v>0</v>
      </c>
      <c r="AB26">
        <v>0</v>
      </c>
      <c r="AC26" s="5">
        <v>0</v>
      </c>
      <c r="AD26" s="5">
        <v>65.83</v>
      </c>
      <c r="AE26" s="5">
        <v>0</v>
      </c>
      <c r="AF26" s="5">
        <v>65.83</v>
      </c>
      <c r="AG26" s="5">
        <v>0</v>
      </c>
      <c r="AH26" s="5">
        <v>0</v>
      </c>
      <c r="AI26" s="5">
        <v>0</v>
      </c>
    </row>
    <row r="27">
      <c r="A27" s="2" t="str">
        <f>HYPERLINK("https://www.avito.ru/moskva/bytovaya_elektronika/shirokoformatnyy_uf-printer_mimaki_100-160_plus_7829905519","7829905519")</f>
      </c>
      <c r="B27" t="s">
        <v>35</v>
      </c>
      <c r="C27" t="s">
        <v>36</v>
      </c>
      <c r="D27" t="s">
        <v>51</v>
      </c>
      <c r="E27" t="s">
        <v>38</v>
      </c>
      <c r="F27" t="s">
        <v>39</v>
      </c>
      <c r="G27" t="s">
        <v>40</v>
      </c>
      <c r="H27" s="3" t="str">
        <f>HYPERLINK("https://www.avito.ru/moskva/bytovaya_elektronika/shirokoformatnyy_uf-printer_mimaki_100-160_plus_7829905519","Широкоформатный уф-принтер Mimaki 100-160 Plus")</f>
      </c>
      <c r="I27" t="s">
        <v>96</v>
      </c>
      <c r="J27" t="s">
        <v>97</v>
      </c>
      <c r="K27" t="s">
        <v>98</v>
      </c>
      <c r="L27">
        <v>183</v>
      </c>
      <c r="M27">
        <v>402</v>
      </c>
      <c r="N27" s="4">
        <v>0.2338</v>
      </c>
      <c r="O27">
        <v>94</v>
      </c>
      <c r="P27" s="5">
        <v>0.92</v>
      </c>
      <c r="Q27" s="4">
        <v>0.0319</v>
      </c>
      <c r="R27">
        <v>3</v>
      </c>
      <c r="S27">
        <v>3</v>
      </c>
      <c r="T27">
        <v>0</v>
      </c>
      <c r="U27">
        <v>0</v>
      </c>
      <c r="V27">
        <v>0</v>
      </c>
      <c r="W27" s="5">
        <v>28.93</v>
      </c>
      <c r="X27">
        <v>9</v>
      </c>
      <c r="Y27" s="4">
        <v>0</v>
      </c>
      <c r="Z27">
        <v>0</v>
      </c>
      <c r="AA27" s="5">
        <v>0</v>
      </c>
      <c r="AB27">
        <v>0</v>
      </c>
      <c r="AC27" s="5">
        <v>0</v>
      </c>
      <c r="AD27" s="5">
        <v>86.8</v>
      </c>
      <c r="AE27" s="5">
        <v>0</v>
      </c>
      <c r="AF27" s="5">
        <v>86.8</v>
      </c>
      <c r="AG27" s="5">
        <v>0</v>
      </c>
      <c r="AH27" s="5">
        <v>0</v>
      </c>
      <c r="AI27" s="5">
        <v>0</v>
      </c>
    </row>
    <row r="28">
      <c r="A28" s="2" t="str">
        <f>HYPERLINK("https://www.avito.ru/moskva/bytovaya_elektronika/fdm-printer_dowell_dm10-8_plus_shirokoformatnyy_7829892406","7829892406")</f>
      </c>
      <c r="B28" t="s">
        <v>35</v>
      </c>
      <c r="C28" t="s">
        <v>36</v>
      </c>
      <c r="D28" t="s">
        <v>51</v>
      </c>
      <c r="E28" t="s">
        <v>38</v>
      </c>
      <c r="F28" t="s">
        <v>39</v>
      </c>
      <c r="G28" t="s">
        <v>77</v>
      </c>
      <c r="H28" s="3" t="str">
        <f>HYPERLINK("https://www.avito.ru/moskva/bytovaya_elektronika/fdm-printer_dowell_dm10-8_plus_shirokoformatnyy_7829892406","FDM-принтер DoWell DM10-8 Plus Широкоформатный")</f>
      </c>
      <c r="I28" t="s">
        <v>99</v>
      </c>
      <c r="J28" t="s">
        <v>79</v>
      </c>
      <c r="K28" t="s">
        <v>80</v>
      </c>
      <c r="L28">
        <v>181</v>
      </c>
      <c r="M28">
        <v>684</v>
      </c>
      <c r="N28" s="4">
        <v>0.1301</v>
      </c>
      <c r="O28">
        <v>89</v>
      </c>
      <c r="P28" s="5">
        <v>0.87</v>
      </c>
      <c r="Q28" s="4">
        <v>0</v>
      </c>
      <c r="R28">
        <v>0</v>
      </c>
      <c r="S28">
        <v>0</v>
      </c>
      <c r="T28">
        <v>0</v>
      </c>
      <c r="U28">
        <v>0</v>
      </c>
      <c r="V28">
        <v>0</v>
      </c>
      <c r="W28" s="5" t="s">
        <v>76</v>
      </c>
      <c r="X28">
        <v>15</v>
      </c>
      <c r="Y28" s="4">
        <v>0</v>
      </c>
      <c r="Z28">
        <v>0</v>
      </c>
      <c r="AA28" s="5">
        <v>0</v>
      </c>
      <c r="AB28">
        <v>0</v>
      </c>
      <c r="AC28" s="5">
        <v>0</v>
      </c>
      <c r="AD28" s="5">
        <v>78.3</v>
      </c>
      <c r="AE28" s="5">
        <v>0</v>
      </c>
      <c r="AF28" s="5">
        <v>78.3</v>
      </c>
      <c r="AG28" s="5">
        <v>0</v>
      </c>
      <c r="AH28" s="5">
        <v>0</v>
      </c>
      <c r="AI28" s="5">
        <v>0</v>
      </c>
    </row>
    <row r="29">
      <c r="A29" s="2" t="str">
        <f>HYPERLINK("https://www.avito.ru/moskva/bytovaya_elektronika/3d_printer_bolshoy_dowell_dm-8_plus_7829534803","7829534803")</f>
      </c>
      <c r="B29" t="s">
        <v>35</v>
      </c>
      <c r="C29" t="s">
        <v>36</v>
      </c>
      <c r="D29" t="s">
        <v>51</v>
      </c>
      <c r="E29" t="s">
        <v>38</v>
      </c>
      <c r="F29" t="s">
        <v>39</v>
      </c>
      <c r="G29" t="s">
        <v>77</v>
      </c>
      <c r="H29" s="3" t="str">
        <f>HYPERLINK("https://www.avito.ru/moskva/bytovaya_elektronika/3d_printer_bolshoy_dowell_dm-8_plus_7829534803","3Д принтер большой DoWell DM-8 Plus")</f>
      </c>
      <c r="I29" t="s">
        <v>59</v>
      </c>
      <c r="J29" t="s">
        <v>79</v>
      </c>
      <c r="K29" t="s">
        <v>80</v>
      </c>
      <c r="L29">
        <v>181</v>
      </c>
      <c r="M29">
        <v>661</v>
      </c>
      <c r="N29" s="4">
        <v>0.1149</v>
      </c>
      <c r="O29">
        <v>76</v>
      </c>
      <c r="P29" s="5">
        <v>1.03</v>
      </c>
      <c r="Q29" s="4">
        <v>0</v>
      </c>
      <c r="R29">
        <v>0</v>
      </c>
      <c r="S29">
        <v>0</v>
      </c>
      <c r="T29">
        <v>0</v>
      </c>
      <c r="U29">
        <v>0</v>
      </c>
      <c r="V29">
        <v>0</v>
      </c>
      <c r="W29" s="5" t="s">
        <v>76</v>
      </c>
      <c r="X29">
        <v>11</v>
      </c>
      <c r="Y29" s="4">
        <v>0</v>
      </c>
      <c r="Z29">
        <v>0</v>
      </c>
      <c r="AA29" s="5">
        <v>0</v>
      </c>
      <c r="AB29">
        <v>0</v>
      </c>
      <c r="AC29" s="5">
        <v>0</v>
      </c>
      <c r="AD29" s="5">
        <v>78.3</v>
      </c>
      <c r="AE29" s="5">
        <v>0</v>
      </c>
      <c r="AF29" s="5">
        <v>78.3</v>
      </c>
      <c r="AG29" s="5">
        <v>0</v>
      </c>
      <c r="AH29" s="5">
        <v>0</v>
      </c>
      <c r="AI29" s="5">
        <v>0</v>
      </c>
    </row>
    <row r="30">
      <c r="A30" s="2" t="str">
        <f>HYPERLINK("https://www.avito.ru/moskva/bytovaya_elektronika/3d-printer_bolshoy_fdm_dowell_dl10_7861040368","7861040368")</f>
      </c>
      <c r="B30" t="s">
        <v>35</v>
      </c>
      <c r="C30" t="s">
        <v>36</v>
      </c>
      <c r="D30" t="s">
        <v>74</v>
      </c>
      <c r="E30" t="s">
        <v>38</v>
      </c>
      <c r="F30" t="s">
        <v>39</v>
      </c>
      <c r="G30" t="s">
        <v>40</v>
      </c>
      <c r="H30" s="3" t="str">
        <f>HYPERLINK("https://www.avito.ru/moskva/bytovaya_elektronika/3d-printer_bolshoy_fdm_dowell_dl10_7861040368","3D-принтер большой FDM DoWell DL10")</f>
      </c>
      <c r="I30" t="s">
        <v>100</v>
      </c>
      <c r="J30" t="s">
        <v>62</v>
      </c>
      <c r="K30" t="s">
        <v>101</v>
      </c>
      <c r="L30">
        <v>155</v>
      </c>
      <c r="M30">
        <v>352</v>
      </c>
      <c r="N30" s="4">
        <v>0.1818</v>
      </c>
      <c r="O30">
        <v>64</v>
      </c>
      <c r="P30" s="5">
        <v>0.49</v>
      </c>
      <c r="Q30" s="4">
        <v>0</v>
      </c>
      <c r="R30">
        <v>0</v>
      </c>
      <c r="S30">
        <v>0</v>
      </c>
      <c r="T30">
        <v>0</v>
      </c>
      <c r="U30">
        <v>0</v>
      </c>
      <c r="V30">
        <v>0</v>
      </c>
      <c r="W30" s="5" t="s">
        <v>76</v>
      </c>
      <c r="X30">
        <v>3</v>
      </c>
      <c r="Y30" s="4">
        <v>0</v>
      </c>
      <c r="Z30">
        <v>0</v>
      </c>
      <c r="AA30" s="5">
        <v>0</v>
      </c>
      <c r="AB30">
        <v>0</v>
      </c>
      <c r="AC30" s="5">
        <v>0</v>
      </c>
      <c r="AD30" s="5">
        <v>31.4</v>
      </c>
      <c r="AE30" s="5">
        <v>0</v>
      </c>
      <c r="AF30" s="5">
        <v>31.4</v>
      </c>
      <c r="AG30" s="5">
        <v>0</v>
      </c>
      <c r="AH30" s="5">
        <v>0</v>
      </c>
      <c r="AI30" s="5">
        <v>0</v>
      </c>
    </row>
    <row r="31">
      <c r="A31" s="2" t="str">
        <f>HYPERLINK("https://www.avito.ru/moskva/bytovaya_elektronika/3d-printer_bolshoy_fdm_dowell_dl1220-12_7861287970","7861287970")</f>
      </c>
      <c r="B31" t="s">
        <v>35</v>
      </c>
      <c r="C31" t="s">
        <v>36</v>
      </c>
      <c r="D31" t="s">
        <v>37</v>
      </c>
      <c r="E31" t="s">
        <v>38</v>
      </c>
      <c r="F31" t="s">
        <v>39</v>
      </c>
      <c r="G31" t="s">
        <v>77</v>
      </c>
      <c r="H31" s="3" t="str">
        <f>HYPERLINK("https://www.avito.ru/moskva/bytovaya_elektronika/3d-printer_bolshoy_fdm_dowell_dl1220-12_7861287970","3D-принтер большой FDM DoWell DL1220-12")</f>
      </c>
      <c r="I31" t="s">
        <v>102</v>
      </c>
      <c r="J31" t="s">
        <v>42</v>
      </c>
      <c r="K31" t="s">
        <v>82</v>
      </c>
      <c r="L31">
        <v>166</v>
      </c>
      <c r="M31">
        <v>430</v>
      </c>
      <c r="N31" s="4">
        <v>0.1372</v>
      </c>
      <c r="O31">
        <v>59</v>
      </c>
      <c r="P31" s="5">
        <v>1.11</v>
      </c>
      <c r="Q31" s="4">
        <v>0</v>
      </c>
      <c r="R31">
        <v>0</v>
      </c>
      <c r="S31">
        <v>0</v>
      </c>
      <c r="T31">
        <v>0</v>
      </c>
      <c r="U31">
        <v>0</v>
      </c>
      <c r="V31">
        <v>0</v>
      </c>
      <c r="W31" s="5" t="s">
        <v>76</v>
      </c>
      <c r="X31">
        <v>10</v>
      </c>
      <c r="Y31" s="4">
        <v>0</v>
      </c>
      <c r="Z31">
        <v>0</v>
      </c>
      <c r="AA31" s="5">
        <v>0</v>
      </c>
      <c r="AB31">
        <v>0</v>
      </c>
      <c r="AC31" s="5">
        <v>0</v>
      </c>
      <c r="AD31" s="5">
        <v>65.83</v>
      </c>
      <c r="AE31" s="5">
        <v>0</v>
      </c>
      <c r="AF31" s="5">
        <v>65.83</v>
      </c>
      <c r="AG31" s="5">
        <v>0</v>
      </c>
      <c r="AH31" s="5">
        <v>0</v>
      </c>
      <c r="AI31" s="5">
        <v>0</v>
      </c>
    </row>
    <row r="32">
      <c r="A32" s="2" t="str">
        <f>HYPERLINK("https://www.avito.ru/moskva/bytovaya_elektronika/3d-printer_bolshoy_fdm_dowell_dm1020-10_plus_7861822920","7861822920")</f>
      </c>
      <c r="B32" t="s">
        <v>35</v>
      </c>
      <c r="C32" t="s">
        <v>36</v>
      </c>
      <c r="D32" t="s">
        <v>37</v>
      </c>
      <c r="E32" t="s">
        <v>38</v>
      </c>
      <c r="F32" t="s">
        <v>39</v>
      </c>
      <c r="G32" t="s">
        <v>77</v>
      </c>
      <c r="H32" s="3" t="str">
        <f>HYPERLINK("https://www.avito.ru/moskva/bytovaya_elektronika/3d-printer_bolshoy_fdm_dowell_dm1020-10_plus_7861822920","3D-принтер большой FDM DoWell DM1020-10 Plus")</f>
      </c>
      <c r="I32" t="s">
        <v>103</v>
      </c>
      <c r="J32" t="s">
        <v>42</v>
      </c>
      <c r="K32" t="s">
        <v>82</v>
      </c>
      <c r="L32">
        <v>166</v>
      </c>
      <c r="M32">
        <v>580</v>
      </c>
      <c r="N32" s="4">
        <v>0.0982</v>
      </c>
      <c r="O32">
        <v>57</v>
      </c>
      <c r="P32" s="5">
        <v>1.15</v>
      </c>
      <c r="Q32" s="4">
        <v>0.0175</v>
      </c>
      <c r="R32">
        <v>1</v>
      </c>
      <c r="S32">
        <v>1</v>
      </c>
      <c r="T32">
        <v>0</v>
      </c>
      <c r="U32">
        <v>0</v>
      </c>
      <c r="V32">
        <v>0</v>
      </c>
      <c r="W32" s="5">
        <v>65.83</v>
      </c>
      <c r="X32">
        <v>15</v>
      </c>
      <c r="Y32" s="4">
        <v>0</v>
      </c>
      <c r="Z32">
        <v>0</v>
      </c>
      <c r="AA32" s="5">
        <v>0</v>
      </c>
      <c r="AB32">
        <v>0</v>
      </c>
      <c r="AC32" s="5">
        <v>0</v>
      </c>
      <c r="AD32" s="5">
        <v>65.83</v>
      </c>
      <c r="AE32" s="5">
        <v>0</v>
      </c>
      <c r="AF32" s="5">
        <v>65.83</v>
      </c>
      <c r="AG32" s="5">
        <v>0</v>
      </c>
      <c r="AH32" s="5">
        <v>0</v>
      </c>
      <c r="AI32" s="5">
        <v>0</v>
      </c>
    </row>
    <row r="33">
      <c r="A33" s="2" t="str">
        <f>HYPERLINK("https://www.avito.ru/moskva/bytovaya_elektronika/3d_printer_bolshoy_fdm_dowell_dm6-16plus_7861180753","7861180753")</f>
      </c>
      <c r="B33" t="s">
        <v>35</v>
      </c>
      <c r="C33" t="s">
        <v>36</v>
      </c>
      <c r="D33" t="s">
        <v>37</v>
      </c>
      <c r="E33" t="s">
        <v>38</v>
      </c>
      <c r="F33" t="s">
        <v>39</v>
      </c>
      <c r="G33" t="s">
        <v>77</v>
      </c>
      <c r="H33" s="3" t="str">
        <f>HYPERLINK("https://www.avito.ru/moskva/bytovaya_elektronika/3d_printer_bolshoy_fdm_dowell_dm6-16plus_7861180753","3D принтер большой FDM DoWell DM6-16Plus")</f>
      </c>
      <c r="I33" t="s">
        <v>104</v>
      </c>
      <c r="J33" t="s">
        <v>48</v>
      </c>
      <c r="K33" t="s">
        <v>105</v>
      </c>
      <c r="L33">
        <v>163</v>
      </c>
      <c r="M33">
        <v>623</v>
      </c>
      <c r="N33" s="4">
        <v>0.0898</v>
      </c>
      <c r="O33">
        <v>56</v>
      </c>
      <c r="P33" s="5">
        <v>1</v>
      </c>
      <c r="Q33" s="4">
        <v>0</v>
      </c>
      <c r="R33">
        <v>0</v>
      </c>
      <c r="S33">
        <v>0</v>
      </c>
      <c r="T33">
        <v>0</v>
      </c>
      <c r="U33">
        <v>0</v>
      </c>
      <c r="V33">
        <v>0</v>
      </c>
      <c r="W33" s="5" t="s">
        <v>76</v>
      </c>
      <c r="X33">
        <v>6</v>
      </c>
      <c r="Y33" s="4">
        <v>0</v>
      </c>
      <c r="Z33">
        <v>0</v>
      </c>
      <c r="AA33" s="5">
        <v>0</v>
      </c>
      <c r="AB33">
        <v>0</v>
      </c>
      <c r="AC33" s="5">
        <v>0</v>
      </c>
      <c r="AD33" s="5">
        <v>56.44</v>
      </c>
      <c r="AE33" s="5">
        <v>0</v>
      </c>
      <c r="AF33" s="5">
        <v>56.44</v>
      </c>
      <c r="AG33" s="5">
        <v>0</v>
      </c>
      <c r="AH33" s="5">
        <v>0</v>
      </c>
      <c r="AI33" s="5">
        <v>0</v>
      </c>
    </row>
    <row r="34">
      <c r="A34" s="2" t="str">
        <f>HYPERLINK("https://www.avito.ru/moskva/bytovaya_elektronika/3d-printer_bolshoy_fdm_dowell_dm10-6_plus_7861765779","7861765779")</f>
      </c>
      <c r="B34" t="s">
        <v>35</v>
      </c>
      <c r="C34" t="s">
        <v>36</v>
      </c>
      <c r="D34" t="s">
        <v>37</v>
      </c>
      <c r="E34" t="s">
        <v>38</v>
      </c>
      <c r="F34" t="s">
        <v>39</v>
      </c>
      <c r="G34" t="s">
        <v>77</v>
      </c>
      <c r="H34" s="3" t="str">
        <f>HYPERLINK("https://www.avito.ru/moskva/bytovaya_elektronika/3d-printer_bolshoy_fdm_dowell_dm10-6_plus_7861765779","3D-принтер большой FDM DoWell DM10-6 Plus")</f>
      </c>
      <c r="I34" t="s">
        <v>57</v>
      </c>
      <c r="J34" t="s">
        <v>42</v>
      </c>
      <c r="K34" t="s">
        <v>82</v>
      </c>
      <c r="L34">
        <v>166</v>
      </c>
      <c r="M34">
        <v>384</v>
      </c>
      <c r="N34" s="4">
        <v>0.1406</v>
      </c>
      <c r="O34">
        <v>54</v>
      </c>
      <c r="P34" s="5">
        <v>2.51</v>
      </c>
      <c r="Q34" s="4">
        <v>0</v>
      </c>
      <c r="R34">
        <v>0</v>
      </c>
      <c r="S34">
        <v>0</v>
      </c>
      <c r="T34">
        <v>0</v>
      </c>
      <c r="U34">
        <v>0</v>
      </c>
      <c r="V34">
        <v>0</v>
      </c>
      <c r="W34" s="5" t="s">
        <v>76</v>
      </c>
      <c r="X34">
        <v>3</v>
      </c>
      <c r="Y34" s="4">
        <v>0</v>
      </c>
      <c r="Z34">
        <v>0</v>
      </c>
      <c r="AA34" s="5">
        <v>0</v>
      </c>
      <c r="AB34">
        <v>0</v>
      </c>
      <c r="AC34" s="5">
        <v>0</v>
      </c>
      <c r="AD34" s="5">
        <v>135.83</v>
      </c>
      <c r="AE34" s="5">
        <v>0</v>
      </c>
      <c r="AF34" s="5">
        <v>65.83</v>
      </c>
      <c r="AG34" s="5">
        <v>70</v>
      </c>
      <c r="AH34" s="5">
        <v>0</v>
      </c>
      <c r="AI34" s="5">
        <v>0</v>
      </c>
    </row>
    <row r="35">
      <c r="A35" s="2" t="str">
        <f>HYPERLINK("https://www.avito.ru/moskva/bytovaya_elektronika/3d_printer_bolshoy_fdm_dowell_h400_7861768129","7861768129")</f>
      </c>
      <c r="B35" t="s">
        <v>35</v>
      </c>
      <c r="C35" t="s">
        <v>36</v>
      </c>
      <c r="D35" t="s">
        <v>37</v>
      </c>
      <c r="E35" t="s">
        <v>38</v>
      </c>
      <c r="F35" t="s">
        <v>39</v>
      </c>
      <c r="G35" t="s">
        <v>40</v>
      </c>
      <c r="H35" s="3" t="str">
        <f>HYPERLINK("https://www.avito.ru/moskva/bytovaya_elektronika/3d_printer_bolshoy_fdm_dowell_h400_7861768129","3D принтер большой FDM DoWell H400")</f>
      </c>
      <c r="I35" t="s">
        <v>106</v>
      </c>
      <c r="J35" t="s">
        <v>53</v>
      </c>
      <c r="K35" t="s">
        <v>107</v>
      </c>
      <c r="L35">
        <v>156</v>
      </c>
      <c r="M35">
        <v>721</v>
      </c>
      <c r="N35" s="4">
        <v>0.0735</v>
      </c>
      <c r="O35">
        <v>53</v>
      </c>
      <c r="P35" s="5">
        <v>0.65</v>
      </c>
      <c r="Q35" s="4">
        <v>0</v>
      </c>
      <c r="R35">
        <v>0</v>
      </c>
      <c r="S35">
        <v>0</v>
      </c>
      <c r="T35">
        <v>0</v>
      </c>
      <c r="U35">
        <v>0</v>
      </c>
      <c r="V35">
        <v>0</v>
      </c>
      <c r="W35" s="5" t="s">
        <v>76</v>
      </c>
      <c r="X35">
        <v>1</v>
      </c>
      <c r="Y35" s="4">
        <v>0</v>
      </c>
      <c r="Z35">
        <v>0</v>
      </c>
      <c r="AA35" s="5">
        <v>0</v>
      </c>
      <c r="AB35">
        <v>0</v>
      </c>
      <c r="AC35" s="5">
        <v>0</v>
      </c>
      <c r="AD35" s="5">
        <v>34.53</v>
      </c>
      <c r="AE35" s="5">
        <v>0</v>
      </c>
      <c r="AF35" s="5">
        <v>34.53</v>
      </c>
      <c r="AG35" s="5">
        <v>0</v>
      </c>
      <c r="AH35" s="5">
        <v>0</v>
      </c>
      <c r="AI35" s="5">
        <v>0</v>
      </c>
    </row>
    <row r="36">
      <c r="A36" s="2" t="str">
        <f>HYPERLINK("https://www.avito.ru/moskva/bytovaya_elektronika/3d-printer_bolshoy_fdm_dowell_dl12-10_7861427843","7861427843")</f>
      </c>
      <c r="B36" t="s">
        <v>35</v>
      </c>
      <c r="C36" t="s">
        <v>36</v>
      </c>
      <c r="D36" t="s">
        <v>37</v>
      </c>
      <c r="E36" t="s">
        <v>38</v>
      </c>
      <c r="F36" t="s">
        <v>39</v>
      </c>
      <c r="G36" t="s">
        <v>77</v>
      </c>
      <c r="H36" s="3" t="str">
        <f>HYPERLINK("https://www.avito.ru/moskva/bytovaya_elektronika/3d-printer_bolshoy_fdm_dowell_dl12-10_7861427843","3D-принтер большой FDM DoWell DL12-10")</f>
      </c>
      <c r="I36" t="s">
        <v>108</v>
      </c>
      <c r="J36" t="s">
        <v>42</v>
      </c>
      <c r="K36" t="s">
        <v>82</v>
      </c>
      <c r="L36">
        <v>166</v>
      </c>
      <c r="M36">
        <v>276</v>
      </c>
      <c r="N36" s="4">
        <v>0.1739</v>
      </c>
      <c r="O36">
        <v>48</v>
      </c>
      <c r="P36" s="5">
        <v>2.82</v>
      </c>
      <c r="Q36" s="4">
        <v>0</v>
      </c>
      <c r="R36">
        <v>0</v>
      </c>
      <c r="S36">
        <v>0</v>
      </c>
      <c r="T36">
        <v>0</v>
      </c>
      <c r="U36">
        <v>0</v>
      </c>
      <c r="V36">
        <v>0</v>
      </c>
      <c r="W36" s="5" t="s">
        <v>76</v>
      </c>
      <c r="X36">
        <v>1</v>
      </c>
      <c r="Y36" s="4">
        <v>0</v>
      </c>
      <c r="Z36">
        <v>0</v>
      </c>
      <c r="AA36" s="5">
        <v>0</v>
      </c>
      <c r="AB36">
        <v>0</v>
      </c>
      <c r="AC36" s="5">
        <v>0</v>
      </c>
      <c r="AD36" s="5">
        <v>135.83</v>
      </c>
      <c r="AE36" s="5">
        <v>0</v>
      </c>
      <c r="AF36" s="5">
        <v>65.83</v>
      </c>
      <c r="AG36" s="5">
        <v>70</v>
      </c>
      <c r="AH36" s="5">
        <v>0</v>
      </c>
      <c r="AI36" s="5">
        <v>0</v>
      </c>
    </row>
    <row r="37">
      <c r="A37" s="2" t="str">
        <f>HYPERLINK("https://www.avito.ru/moskva/bytovaya_elektronika/3d-printer_bolshoy_800800800_fdm_dowell_dm8plus_7861673634","7861673634")</f>
      </c>
      <c r="B37" t="s">
        <v>35</v>
      </c>
      <c r="C37" t="s">
        <v>36</v>
      </c>
      <c r="D37" t="s">
        <v>37</v>
      </c>
      <c r="E37" t="s">
        <v>38</v>
      </c>
      <c r="F37" t="s">
        <v>39</v>
      </c>
      <c r="G37" t="s">
        <v>77</v>
      </c>
      <c r="H37" s="3" t="str">
        <f>HYPERLINK("https://www.avito.ru/moskva/bytovaya_elektronika/3d-printer_bolshoy_800800800_fdm_dowell_dm8plus_7861673634","3D-принтер большой 800800800 FDM DoWell DM8Plus")</f>
      </c>
      <c r="I37" t="s">
        <v>109</v>
      </c>
      <c r="J37" t="s">
        <v>45</v>
      </c>
      <c r="K37" t="s">
        <v>86</v>
      </c>
      <c r="L37">
        <v>164</v>
      </c>
      <c r="M37">
        <v>787</v>
      </c>
      <c r="N37" s="4">
        <v>0.0609</v>
      </c>
      <c r="O37">
        <v>48</v>
      </c>
      <c r="P37" s="5">
        <v>1.24</v>
      </c>
      <c r="Q37" s="4">
        <v>0</v>
      </c>
      <c r="R37">
        <v>0</v>
      </c>
      <c r="S37">
        <v>0</v>
      </c>
      <c r="T37">
        <v>0</v>
      </c>
      <c r="U37">
        <v>0</v>
      </c>
      <c r="V37">
        <v>0</v>
      </c>
      <c r="W37" s="5" t="s">
        <v>76</v>
      </c>
      <c r="X37">
        <v>7</v>
      </c>
      <c r="Y37" s="4">
        <v>0</v>
      </c>
      <c r="Z37">
        <v>0</v>
      </c>
      <c r="AA37" s="5">
        <v>0</v>
      </c>
      <c r="AB37">
        <v>0</v>
      </c>
      <c r="AC37" s="5">
        <v>0</v>
      </c>
      <c r="AD37" s="5">
        <v>59.57</v>
      </c>
      <c r="AE37" s="5">
        <v>0</v>
      </c>
      <c r="AF37" s="5">
        <v>59.57</v>
      </c>
      <c r="AG37" s="5">
        <v>0</v>
      </c>
      <c r="AH37" s="5">
        <v>0</v>
      </c>
      <c r="AI37" s="5">
        <v>0</v>
      </c>
    </row>
    <row r="38">
      <c r="A38" s="2" t="str">
        <f>HYPERLINK("https://www.avito.ru/moskva/bytovaya_elektronika/3d-printer_bolshoy_fdm_dowell_dm1014-6_pro_7861122451","7861122451")</f>
      </c>
      <c r="B38" t="s">
        <v>35</v>
      </c>
      <c r="C38" t="s">
        <v>36</v>
      </c>
      <c r="D38" t="s">
        <v>54</v>
      </c>
      <c r="E38" t="s">
        <v>38</v>
      </c>
      <c r="F38" t="s">
        <v>39</v>
      </c>
      <c r="G38" t="s">
        <v>77</v>
      </c>
      <c r="H38" s="3" t="str">
        <f>HYPERLINK("https://www.avito.ru/moskva/bytovaya_elektronika/3d-printer_bolshoy_fdm_dowell_dm1014-6_pro_7861122451","3D-принтер большой FDM DoWell DM1014-6 Pro")</f>
      </c>
      <c r="I38" t="s">
        <v>110</v>
      </c>
      <c r="J38" t="s">
        <v>45</v>
      </c>
      <c r="K38" t="s">
        <v>86</v>
      </c>
      <c r="L38">
        <v>164</v>
      </c>
      <c r="M38">
        <v>582</v>
      </c>
      <c r="N38" s="4">
        <v>0.0807</v>
      </c>
      <c r="O38">
        <v>47</v>
      </c>
      <c r="P38" s="5">
        <v>1.26</v>
      </c>
      <c r="Q38" s="4">
        <v>0</v>
      </c>
      <c r="R38">
        <v>0</v>
      </c>
      <c r="S38">
        <v>0</v>
      </c>
      <c r="T38">
        <v>0</v>
      </c>
      <c r="U38">
        <v>0</v>
      </c>
      <c r="V38">
        <v>0</v>
      </c>
      <c r="W38" s="5" t="s">
        <v>76</v>
      </c>
      <c r="X38">
        <v>5</v>
      </c>
      <c r="Y38" s="4">
        <v>0</v>
      </c>
      <c r="Z38">
        <v>0</v>
      </c>
      <c r="AA38" s="5">
        <v>0</v>
      </c>
      <c r="AB38">
        <v>0</v>
      </c>
      <c r="AC38" s="5">
        <v>0</v>
      </c>
      <c r="AD38" s="5">
        <v>59.57</v>
      </c>
      <c r="AE38" s="5">
        <v>0</v>
      </c>
      <c r="AF38" s="5">
        <v>59.57</v>
      </c>
      <c r="AG38" s="5">
        <v>0</v>
      </c>
      <c r="AH38" s="5">
        <v>0</v>
      </c>
      <c r="AI38" s="5">
        <v>0</v>
      </c>
    </row>
    <row r="39">
      <c r="A39" s="2" t="str">
        <f>HYPERLINK("https://www.avito.ru/moskva/bytovaya_elektronika/3d-printer_bolshoy_fgf_dowell_dp-a1220-16_7861204356","7861204356")</f>
      </c>
      <c r="B39" t="s">
        <v>35</v>
      </c>
      <c r="C39" t="s">
        <v>36</v>
      </c>
      <c r="D39" t="s">
        <v>37</v>
      </c>
      <c r="E39" t="s">
        <v>38</v>
      </c>
      <c r="F39" t="s">
        <v>39</v>
      </c>
      <c r="G39" t="s">
        <v>77</v>
      </c>
      <c r="H39" s="3" t="str">
        <f>HYPERLINK("https://www.avito.ru/moskva/bytovaya_elektronika/3d-printer_bolshoy_fgf_dowell_dp-a1220-16_7861204356","3D-принтер большой FGF DoWell DP-A1220-16")</f>
      </c>
      <c r="I39" t="s">
        <v>111</v>
      </c>
      <c r="J39" t="s">
        <v>42</v>
      </c>
      <c r="K39" t="s">
        <v>82</v>
      </c>
      <c r="L39">
        <v>166</v>
      </c>
      <c r="M39">
        <v>247</v>
      </c>
      <c r="N39" s="4">
        <v>0.1862</v>
      </c>
      <c r="O39">
        <v>46</v>
      </c>
      <c r="P39" s="5">
        <v>1.43</v>
      </c>
      <c r="Q39" s="4">
        <v>0</v>
      </c>
      <c r="R39">
        <v>0</v>
      </c>
      <c r="S39">
        <v>0</v>
      </c>
      <c r="T39">
        <v>0</v>
      </c>
      <c r="U39">
        <v>0</v>
      </c>
      <c r="V39">
        <v>0</v>
      </c>
      <c r="W39" s="5" t="s">
        <v>76</v>
      </c>
      <c r="X39">
        <v>3</v>
      </c>
      <c r="Y39" s="4">
        <v>0</v>
      </c>
      <c r="Z39">
        <v>0</v>
      </c>
      <c r="AA39" s="5">
        <v>0</v>
      </c>
      <c r="AB39">
        <v>0</v>
      </c>
      <c r="AC39" s="5">
        <v>0</v>
      </c>
      <c r="AD39" s="5">
        <v>65.83</v>
      </c>
      <c r="AE39" s="5">
        <v>0</v>
      </c>
      <c r="AF39" s="5">
        <v>65.83</v>
      </c>
      <c r="AG39" s="5">
        <v>0</v>
      </c>
      <c r="AH39" s="5">
        <v>0</v>
      </c>
      <c r="AI39" s="5">
        <v>0</v>
      </c>
    </row>
    <row r="40">
      <c r="A40" s="2" t="str">
        <f>HYPERLINK("https://www.avito.ru/moskva/bytovaya_elektronika/3d-printer_bolshoy_fdm_dowell_dl1220-20_7861716184","7861716184")</f>
      </c>
      <c r="B40" t="s">
        <v>35</v>
      </c>
      <c r="C40" t="s">
        <v>36</v>
      </c>
      <c r="D40" t="s">
        <v>37</v>
      </c>
      <c r="E40" t="s">
        <v>38</v>
      </c>
      <c r="F40" t="s">
        <v>39</v>
      </c>
      <c r="G40" t="s">
        <v>77</v>
      </c>
      <c r="H40" s="3" t="str">
        <f>HYPERLINK("https://www.avito.ru/moskva/bytovaya_elektronika/3d-printer_bolshoy_fdm_dowell_dl1220-20_7861716184","3D-принтер большой FDM DoWell DL1220-20")</f>
      </c>
      <c r="I40" t="s">
        <v>112</v>
      </c>
      <c r="J40" t="s">
        <v>42</v>
      </c>
      <c r="K40" t="s">
        <v>82</v>
      </c>
      <c r="L40">
        <v>166</v>
      </c>
      <c r="M40">
        <v>470</v>
      </c>
      <c r="N40" s="4">
        <v>0.0872</v>
      </c>
      <c r="O40">
        <v>41</v>
      </c>
      <c r="P40" s="5">
        <v>1.6</v>
      </c>
      <c r="Q40" s="4">
        <v>0</v>
      </c>
      <c r="R40">
        <v>0</v>
      </c>
      <c r="S40">
        <v>0</v>
      </c>
      <c r="T40">
        <v>0</v>
      </c>
      <c r="U40">
        <v>0</v>
      </c>
      <c r="V40">
        <v>0</v>
      </c>
      <c r="W40" s="5" t="s">
        <v>76</v>
      </c>
      <c r="X40">
        <v>11</v>
      </c>
      <c r="Y40" s="4">
        <v>0</v>
      </c>
      <c r="Z40">
        <v>0</v>
      </c>
      <c r="AA40" s="5">
        <v>0</v>
      </c>
      <c r="AB40">
        <v>0</v>
      </c>
      <c r="AC40" s="5">
        <v>0</v>
      </c>
      <c r="AD40" s="5">
        <v>65.83</v>
      </c>
      <c r="AE40" s="5">
        <v>0</v>
      </c>
      <c r="AF40" s="5">
        <v>65.83</v>
      </c>
      <c r="AG40" s="5">
        <v>0</v>
      </c>
      <c r="AH40" s="5">
        <v>0</v>
      </c>
      <c r="AI40" s="5">
        <v>0</v>
      </c>
    </row>
    <row r="41">
      <c r="A41" s="2" t="str">
        <f>HYPERLINK("https://www.avito.ru/moskva/bytovaya_elektronika/3d-printer_bolshoy_fgf_dowell_dp-a1616-12_7861729991","7861729991")</f>
      </c>
      <c r="B41" t="s">
        <v>35</v>
      </c>
      <c r="C41" t="s">
        <v>36</v>
      </c>
      <c r="D41" t="s">
        <v>37</v>
      </c>
      <c r="E41" t="s">
        <v>38</v>
      </c>
      <c r="F41" t="s">
        <v>39</v>
      </c>
      <c r="G41" t="s">
        <v>77</v>
      </c>
      <c r="H41" s="3" t="str">
        <f>HYPERLINK("https://www.avito.ru/moskva/bytovaya_elektronika/3d-printer_bolshoy_fgf_dowell_dp-a1616-12_7861729991","3D-принтер большой FGF DoWell DP-A1616-12")</f>
      </c>
      <c r="I41" t="s">
        <v>113</v>
      </c>
      <c r="J41" t="s">
        <v>42</v>
      </c>
      <c r="K41" t="s">
        <v>82</v>
      </c>
      <c r="L41">
        <v>166</v>
      </c>
      <c r="M41">
        <v>327</v>
      </c>
      <c r="N41" s="4">
        <v>0.1162</v>
      </c>
      <c r="O41">
        <v>38</v>
      </c>
      <c r="P41" s="5">
        <v>1.73</v>
      </c>
      <c r="Q41" s="4">
        <v>0</v>
      </c>
      <c r="R41">
        <v>0</v>
      </c>
      <c r="S41">
        <v>0</v>
      </c>
      <c r="T41">
        <v>0</v>
      </c>
      <c r="U41">
        <v>0</v>
      </c>
      <c r="V41">
        <v>0</v>
      </c>
      <c r="W41" s="5" t="s">
        <v>76</v>
      </c>
      <c r="X41">
        <v>5</v>
      </c>
      <c r="Y41" s="4">
        <v>0</v>
      </c>
      <c r="Z41">
        <v>0</v>
      </c>
      <c r="AA41" s="5">
        <v>0</v>
      </c>
      <c r="AB41">
        <v>0</v>
      </c>
      <c r="AC41" s="5">
        <v>0</v>
      </c>
      <c r="AD41" s="5">
        <v>65.83</v>
      </c>
      <c r="AE41" s="5">
        <v>0</v>
      </c>
      <c r="AF41" s="5">
        <v>65.83</v>
      </c>
      <c r="AG41" s="5">
        <v>0</v>
      </c>
      <c r="AH41" s="5">
        <v>0</v>
      </c>
      <c r="AI41" s="5">
        <v>0</v>
      </c>
    </row>
    <row r="42">
      <c r="A42" s="2" t="str">
        <f>HYPERLINK("https://www.avito.ru/moskva/bytovaya_elektronika/3d-printer_bolshoy_fdm_dowell_dm1016-10_plus_7861835932","7861835932")</f>
      </c>
      <c r="B42" t="s">
        <v>35</v>
      </c>
      <c r="C42" t="s">
        <v>36</v>
      </c>
      <c r="D42" t="s">
        <v>37</v>
      </c>
      <c r="E42" t="s">
        <v>38</v>
      </c>
      <c r="F42" t="s">
        <v>39</v>
      </c>
      <c r="G42" t="s">
        <v>77</v>
      </c>
      <c r="H42" s="3" t="str">
        <f>HYPERLINK("https://www.avito.ru/moskva/bytovaya_elektronika/3d-printer_bolshoy_fdm_dowell_dm1016-10_plus_7861835932","3D-принтер большой FDM DoWell DM1016-10 Plus")</f>
      </c>
      <c r="I42" t="s">
        <v>114</v>
      </c>
      <c r="J42" t="s">
        <v>42</v>
      </c>
      <c r="K42" t="s">
        <v>82</v>
      </c>
      <c r="L42">
        <v>166</v>
      </c>
      <c r="M42">
        <v>201</v>
      </c>
      <c r="N42" s="4">
        <v>0.1791</v>
      </c>
      <c r="O42">
        <v>36</v>
      </c>
      <c r="P42" s="5">
        <v>1.82</v>
      </c>
      <c r="Q42" s="4">
        <v>0</v>
      </c>
      <c r="R42">
        <v>0</v>
      </c>
      <c r="S42">
        <v>0</v>
      </c>
      <c r="T42">
        <v>0</v>
      </c>
      <c r="U42">
        <v>0</v>
      </c>
      <c r="V42">
        <v>0</v>
      </c>
      <c r="W42" s="5" t="s">
        <v>76</v>
      </c>
      <c r="X42">
        <v>3</v>
      </c>
      <c r="Y42" s="4">
        <v>0</v>
      </c>
      <c r="Z42">
        <v>0</v>
      </c>
      <c r="AA42" s="5">
        <v>0</v>
      </c>
      <c r="AB42">
        <v>0</v>
      </c>
      <c r="AC42" s="5">
        <v>0</v>
      </c>
      <c r="AD42" s="5">
        <v>65.83</v>
      </c>
      <c r="AE42" s="5">
        <v>0</v>
      </c>
      <c r="AF42" s="5">
        <v>65.83</v>
      </c>
      <c r="AG42" s="5">
        <v>0</v>
      </c>
      <c r="AH42" s="5">
        <v>0</v>
      </c>
      <c r="AI42" s="5">
        <v>0</v>
      </c>
    </row>
    <row r="43">
      <c r="A43" s="2" t="str">
        <f>HYPERLINK("https://www.avito.ru/moskva/bytovaya_elektronika/planshetnyy_uf-printer_osn-2513_3rg5_7829012721","7829012721")</f>
      </c>
      <c r="B43" t="s">
        <v>35</v>
      </c>
      <c r="C43" t="s">
        <v>36</v>
      </c>
      <c r="D43" t="s">
        <v>51</v>
      </c>
      <c r="E43" t="s">
        <v>38</v>
      </c>
      <c r="F43" t="s">
        <v>39</v>
      </c>
      <c r="G43" t="s">
        <v>40</v>
      </c>
      <c r="H43" s="3" t="str">
        <f>HYPERLINK("https://www.avito.ru/moskva/bytovaya_elektronika/planshetnyy_uf-printer_osn-2513_3rg5_7829012721","Планшетный уф-принтер OSN-2513 (3*RG5)")</f>
      </c>
      <c r="I43" t="s">
        <v>115</v>
      </c>
      <c r="J43" t="s">
        <v>116</v>
      </c>
      <c r="K43" t="s">
        <v>117</v>
      </c>
      <c r="L43">
        <v>182</v>
      </c>
      <c r="M43">
        <v>121</v>
      </c>
      <c r="N43" s="4">
        <v>0.2479</v>
      </c>
      <c r="O43">
        <v>30</v>
      </c>
      <c r="P43" s="5">
        <v>2.8</v>
      </c>
      <c r="Q43" s="4">
        <v>0</v>
      </c>
      <c r="R43">
        <v>0</v>
      </c>
      <c r="S43">
        <v>0</v>
      </c>
      <c r="T43">
        <v>0</v>
      </c>
      <c r="U43">
        <v>0</v>
      </c>
      <c r="V43">
        <v>0</v>
      </c>
      <c r="W43" s="5" t="s">
        <v>76</v>
      </c>
      <c r="X43">
        <v>1</v>
      </c>
      <c r="Y43" s="4">
        <v>0</v>
      </c>
      <c r="Z43">
        <v>0</v>
      </c>
      <c r="AA43" s="5">
        <v>0</v>
      </c>
      <c r="AB43">
        <v>0</v>
      </c>
      <c r="AC43" s="5">
        <v>0</v>
      </c>
      <c r="AD43" s="5">
        <v>84</v>
      </c>
      <c r="AE43" s="5">
        <v>0</v>
      </c>
      <c r="AF43" s="5">
        <v>84</v>
      </c>
      <c r="AG43" s="5">
        <v>0</v>
      </c>
      <c r="AH43" s="5">
        <v>0</v>
      </c>
      <c r="AI43" s="5">
        <v>0</v>
      </c>
    </row>
    <row r="44">
      <c r="A44" s="2" t="str">
        <f>HYPERLINK("https://www.avito.ru/moskva/bytovaya_elektronika/3d_printer_bolshoy_fdm_dowell_dm1216-12plus_7861117593","7861117593")</f>
      </c>
      <c r="B44" t="s">
        <v>35</v>
      </c>
      <c r="C44" t="s">
        <v>36</v>
      </c>
      <c r="D44" t="s">
        <v>37</v>
      </c>
      <c r="E44" t="s">
        <v>38</v>
      </c>
      <c r="F44" t="s">
        <v>39</v>
      </c>
      <c r="G44" t="s">
        <v>77</v>
      </c>
      <c r="H44" s="3" t="str">
        <f>HYPERLINK("https://www.avito.ru/moskva/bytovaya_elektronika/3d_printer_bolshoy_fdm_dowell_dm1216-12plus_7861117593","3D принтер большой FDM DoWell DM1216-12Plus")</f>
      </c>
      <c r="I44" t="s">
        <v>118</v>
      </c>
      <c r="J44" t="s">
        <v>42</v>
      </c>
      <c r="K44" t="s">
        <v>82</v>
      </c>
      <c r="L44">
        <v>166</v>
      </c>
      <c r="M44">
        <v>334</v>
      </c>
      <c r="N44" s="4">
        <v>0.0898</v>
      </c>
      <c r="O44">
        <v>30</v>
      </c>
      <c r="P44" s="5">
        <v>2.19</v>
      </c>
      <c r="Q44" s="4">
        <v>0</v>
      </c>
      <c r="R44">
        <v>0</v>
      </c>
      <c r="S44">
        <v>0</v>
      </c>
      <c r="T44">
        <v>0</v>
      </c>
      <c r="U44">
        <v>0</v>
      </c>
      <c r="V44">
        <v>0</v>
      </c>
      <c r="W44" s="5" t="s">
        <v>76</v>
      </c>
      <c r="X44">
        <v>4</v>
      </c>
      <c r="Y44" s="4">
        <v>0</v>
      </c>
      <c r="Z44">
        <v>0</v>
      </c>
      <c r="AA44" s="5">
        <v>0</v>
      </c>
      <c r="AB44">
        <v>0</v>
      </c>
      <c r="AC44" s="5">
        <v>0</v>
      </c>
      <c r="AD44" s="5">
        <v>65.83</v>
      </c>
      <c r="AE44" s="5">
        <v>0</v>
      </c>
      <c r="AF44" s="5">
        <v>65.83</v>
      </c>
      <c r="AG44" s="5">
        <v>0</v>
      </c>
      <c r="AH44" s="5">
        <v>0</v>
      </c>
      <c r="AI44" s="5">
        <v>0</v>
      </c>
    </row>
    <row r="45">
      <c r="A45" s="2" t="str">
        <f>HYPERLINK("https://www.avito.ru/moskva/bytovaya_elektronika/3d-printer_bolshoy_fdm_dowell_dl1016-10_7861123587","7861123587")</f>
      </c>
      <c r="B45" t="s">
        <v>35</v>
      </c>
      <c r="C45" t="s">
        <v>36</v>
      </c>
      <c r="D45" t="s">
        <v>37</v>
      </c>
      <c r="E45" t="s">
        <v>38</v>
      </c>
      <c r="F45" t="s">
        <v>39</v>
      </c>
      <c r="G45" t="s">
        <v>77</v>
      </c>
      <c r="H45" s="3" t="str">
        <f>HYPERLINK("https://www.avito.ru/moskva/bytovaya_elektronika/3d-printer_bolshoy_fdm_dowell_dl1016-10_7861123587","3D-принтер большой FDM DoWell DL1016-10")</f>
      </c>
      <c r="I45" t="s">
        <v>119</v>
      </c>
      <c r="J45" t="s">
        <v>42</v>
      </c>
      <c r="K45" t="s">
        <v>82</v>
      </c>
      <c r="L45">
        <v>166</v>
      </c>
      <c r="M45">
        <v>177</v>
      </c>
      <c r="N45" s="4">
        <v>0.1694</v>
      </c>
      <c r="O45">
        <v>30</v>
      </c>
      <c r="P45" s="5">
        <v>2.19</v>
      </c>
      <c r="Q45" s="4">
        <v>0</v>
      </c>
      <c r="R45">
        <v>0</v>
      </c>
      <c r="S45">
        <v>0</v>
      </c>
      <c r="T45">
        <v>0</v>
      </c>
      <c r="U45">
        <v>0</v>
      </c>
      <c r="V45">
        <v>0</v>
      </c>
      <c r="W45" s="5" t="s">
        <v>76</v>
      </c>
      <c r="X45">
        <v>5</v>
      </c>
      <c r="Y45" s="4">
        <v>0</v>
      </c>
      <c r="Z45">
        <v>0</v>
      </c>
      <c r="AA45" s="5">
        <v>0</v>
      </c>
      <c r="AB45">
        <v>0</v>
      </c>
      <c r="AC45" s="5">
        <v>0</v>
      </c>
      <c r="AD45" s="5">
        <v>65.83</v>
      </c>
      <c r="AE45" s="5">
        <v>0</v>
      </c>
      <c r="AF45" s="5">
        <v>65.83</v>
      </c>
      <c r="AG45" s="5">
        <v>0</v>
      </c>
      <c r="AH45" s="5">
        <v>0</v>
      </c>
      <c r="AI45" s="5">
        <v>0</v>
      </c>
    </row>
    <row r="46">
      <c r="A46" s="2" t="str">
        <f>HYPERLINK("https://www.avito.ru/moskva/bytovaya_elektronika/3d-printer_bolshoy_fdm_dowell_dm6_plus_7861309579","7861309579")</f>
      </c>
      <c r="B46" t="s">
        <v>35</v>
      </c>
      <c r="C46" t="s">
        <v>36</v>
      </c>
      <c r="D46" t="s">
        <v>37</v>
      </c>
      <c r="E46" t="s">
        <v>38</v>
      </c>
      <c r="F46" t="s">
        <v>39</v>
      </c>
      <c r="G46" t="s">
        <v>77</v>
      </c>
      <c r="H46" s="3" t="str">
        <f>HYPERLINK("https://www.avito.ru/moskva/bytovaya_elektronika/3d-printer_bolshoy_fdm_dowell_dm6_plus_7861309579","3D-принтер большой FDM DoWell DM6 Plus")</f>
      </c>
      <c r="I46" t="s">
        <v>120</v>
      </c>
      <c r="J46" t="s">
        <v>42</v>
      </c>
      <c r="K46" t="s">
        <v>82</v>
      </c>
      <c r="L46">
        <v>166</v>
      </c>
      <c r="M46">
        <v>262</v>
      </c>
      <c r="N46" s="4">
        <v>0.1106</v>
      </c>
      <c r="O46">
        <v>29</v>
      </c>
      <c r="P46" s="5">
        <v>2.27</v>
      </c>
      <c r="Q46" s="4">
        <v>0</v>
      </c>
      <c r="R46">
        <v>0</v>
      </c>
      <c r="S46">
        <v>0</v>
      </c>
      <c r="T46">
        <v>0</v>
      </c>
      <c r="U46">
        <v>0</v>
      </c>
      <c r="V46">
        <v>0</v>
      </c>
      <c r="W46" s="5" t="s">
        <v>76</v>
      </c>
      <c r="X46">
        <v>2</v>
      </c>
      <c r="Y46" s="4">
        <v>0</v>
      </c>
      <c r="Z46">
        <v>0</v>
      </c>
      <c r="AA46" s="5">
        <v>0</v>
      </c>
      <c r="AB46">
        <v>0</v>
      </c>
      <c r="AC46" s="5">
        <v>0</v>
      </c>
      <c r="AD46" s="5">
        <v>65.83</v>
      </c>
      <c r="AE46" s="5">
        <v>0</v>
      </c>
      <c r="AF46" s="5">
        <v>65.83</v>
      </c>
      <c r="AG46" s="5">
        <v>0</v>
      </c>
      <c r="AH46" s="5">
        <v>0</v>
      </c>
      <c r="AI46" s="5">
        <v>0</v>
      </c>
    </row>
    <row r="47">
      <c r="A47" s="2" t="str">
        <f>HYPERLINK("https://www.avito.ru/moskva/bytovaya_elektronika/3d-printer_bolshoy_fdm_dowell_dl1216-12_7861260568","7861260568")</f>
      </c>
      <c r="B47" t="s">
        <v>35</v>
      </c>
      <c r="C47" t="s">
        <v>36</v>
      </c>
      <c r="D47" t="s">
        <v>37</v>
      </c>
      <c r="E47" t="s">
        <v>38</v>
      </c>
      <c r="F47" t="s">
        <v>39</v>
      </c>
      <c r="G47" t="s">
        <v>77</v>
      </c>
      <c r="H47" s="3" t="str">
        <f>HYPERLINK("https://www.avito.ru/moskva/bytovaya_elektronika/3d-printer_bolshoy_fdm_dowell_dl1216-12_7861260568","3D-принтер большой FDM DoWell DL1216-12")</f>
      </c>
      <c r="I47" t="s">
        <v>121</v>
      </c>
      <c r="J47" t="s">
        <v>42</v>
      </c>
      <c r="K47" t="s">
        <v>82</v>
      </c>
      <c r="L47">
        <v>166</v>
      </c>
      <c r="M47">
        <v>168</v>
      </c>
      <c r="N47" s="4">
        <v>0.1607</v>
      </c>
      <c r="O47">
        <v>27</v>
      </c>
      <c r="P47" s="5">
        <v>2.43</v>
      </c>
      <c r="Q47" s="4">
        <v>0</v>
      </c>
      <c r="R47">
        <v>0</v>
      </c>
      <c r="S47">
        <v>0</v>
      </c>
      <c r="T47">
        <v>0</v>
      </c>
      <c r="U47">
        <v>0</v>
      </c>
      <c r="V47">
        <v>0</v>
      </c>
      <c r="W47" s="5" t="s">
        <v>76</v>
      </c>
      <c r="X47">
        <v>3</v>
      </c>
      <c r="Y47" s="4">
        <v>0</v>
      </c>
      <c r="Z47">
        <v>0</v>
      </c>
      <c r="AA47" s="5">
        <v>0</v>
      </c>
      <c r="AB47">
        <v>0</v>
      </c>
      <c r="AC47" s="5">
        <v>0</v>
      </c>
      <c r="AD47" s="5">
        <v>65.83</v>
      </c>
      <c r="AE47" s="5">
        <v>0</v>
      </c>
      <c r="AF47" s="5">
        <v>65.83</v>
      </c>
      <c r="AG47" s="5">
        <v>0</v>
      </c>
      <c r="AH47" s="5">
        <v>0</v>
      </c>
      <c r="AI47" s="5">
        <v>0</v>
      </c>
    </row>
    <row r="48">
      <c r="A48" s="2" t="str">
        <f>HYPERLINK("https://www.avito.ru/moskva/bytovaya_elektronika/3d_printer_bolshoy_fdm_dowell_dm1016-10plus_7861107427","7861107427")</f>
      </c>
      <c r="B48" t="s">
        <v>35</v>
      </c>
      <c r="C48" t="s">
        <v>36</v>
      </c>
      <c r="D48" t="s">
        <v>37</v>
      </c>
      <c r="E48" t="s">
        <v>38</v>
      </c>
      <c r="F48" t="s">
        <v>39</v>
      </c>
      <c r="G48" t="s">
        <v>77</v>
      </c>
      <c r="H48" s="3" t="str">
        <f>HYPERLINK("https://www.avito.ru/moskva/bytovaya_elektronika/3d_printer_bolshoy_fdm_dowell_dm1016-10plus_7861107427","3D принтер большой FDM DoWell DM1016-10Plus")</f>
      </c>
      <c r="I48" t="s">
        <v>122</v>
      </c>
      <c r="J48" t="s">
        <v>42</v>
      </c>
      <c r="K48" t="s">
        <v>82</v>
      </c>
      <c r="L48">
        <v>166</v>
      </c>
      <c r="M48">
        <v>247</v>
      </c>
      <c r="N48" s="4">
        <v>0.1012</v>
      </c>
      <c r="O48">
        <v>25</v>
      </c>
      <c r="P48" s="5">
        <v>2.63</v>
      </c>
      <c r="Q48" s="4">
        <v>0</v>
      </c>
      <c r="R48">
        <v>0</v>
      </c>
      <c r="S48">
        <v>0</v>
      </c>
      <c r="T48">
        <v>0</v>
      </c>
      <c r="U48">
        <v>0</v>
      </c>
      <c r="V48">
        <v>0</v>
      </c>
      <c r="W48" s="5" t="s">
        <v>76</v>
      </c>
      <c r="X48">
        <v>5</v>
      </c>
      <c r="Y48" s="4">
        <v>0</v>
      </c>
      <c r="Z48">
        <v>0</v>
      </c>
      <c r="AA48" s="5">
        <v>0</v>
      </c>
      <c r="AB48">
        <v>0</v>
      </c>
      <c r="AC48" s="5">
        <v>0</v>
      </c>
      <c r="AD48" s="5">
        <v>65.83</v>
      </c>
      <c r="AE48" s="5">
        <v>0</v>
      </c>
      <c r="AF48" s="5">
        <v>65.83</v>
      </c>
      <c r="AG48" s="5">
        <v>0</v>
      </c>
      <c r="AH48" s="5">
        <v>0</v>
      </c>
      <c r="AI48" s="5">
        <v>0</v>
      </c>
    </row>
    <row r="49">
      <c r="A49" s="2" t="str">
        <f>HYPERLINK("https://www.avito.ru/moskva/bytovaya_elektronika/3d-printer_bolshoy_fdm_dowell_dm1016-8_pro_7861503743","7861503743")</f>
      </c>
      <c r="B49" t="s">
        <v>35</v>
      </c>
      <c r="C49" t="s">
        <v>36</v>
      </c>
      <c r="D49" t="s">
        <v>37</v>
      </c>
      <c r="E49" t="s">
        <v>38</v>
      </c>
      <c r="F49" t="s">
        <v>39</v>
      </c>
      <c r="G49" t="s">
        <v>77</v>
      </c>
      <c r="H49" s="3" t="str">
        <f>HYPERLINK("https://www.avito.ru/moskva/bytovaya_elektronika/3d-printer_bolshoy_fdm_dowell_dm1016-8_pro_7861503743","3D-принтер большой FDM DoWell DM1016-8 Pro")</f>
      </c>
      <c r="I49" t="s">
        <v>123</v>
      </c>
      <c r="J49" t="s">
        <v>42</v>
      </c>
      <c r="K49" t="s">
        <v>82</v>
      </c>
      <c r="L49">
        <v>166</v>
      </c>
      <c r="M49">
        <v>135</v>
      </c>
      <c r="N49" s="4">
        <v>0.1703</v>
      </c>
      <c r="O49">
        <v>23</v>
      </c>
      <c r="P49" s="5">
        <v>2.86</v>
      </c>
      <c r="Q49" s="4">
        <v>0</v>
      </c>
      <c r="R49">
        <v>0</v>
      </c>
      <c r="S49">
        <v>0</v>
      </c>
      <c r="T49">
        <v>0</v>
      </c>
      <c r="U49">
        <v>0</v>
      </c>
      <c r="V49">
        <v>0</v>
      </c>
      <c r="W49" s="5" t="s">
        <v>76</v>
      </c>
      <c r="X49">
        <v>3</v>
      </c>
      <c r="Y49" s="4">
        <v>0</v>
      </c>
      <c r="Z49">
        <v>0</v>
      </c>
      <c r="AA49" s="5">
        <v>0</v>
      </c>
      <c r="AB49">
        <v>0</v>
      </c>
      <c r="AC49" s="5">
        <v>0</v>
      </c>
      <c r="AD49" s="5">
        <v>65.83</v>
      </c>
      <c r="AE49" s="5">
        <v>0</v>
      </c>
      <c r="AF49" s="5">
        <v>65.83</v>
      </c>
      <c r="AG49" s="5">
        <v>0</v>
      </c>
      <c r="AH49" s="5">
        <v>0</v>
      </c>
      <c r="AI49" s="5">
        <v>0</v>
      </c>
    </row>
    <row r="50">
      <c r="A50" s="2" t="str">
        <f>HYPERLINK("https://www.avito.ru/moskva/bytovaya_elektronika/3d_printer_bolshoy_600600600_mingda_7829574659","7829574659")</f>
      </c>
      <c r="B50" t="s">
        <v>35</v>
      </c>
      <c r="C50" t="s">
        <v>36</v>
      </c>
      <c r="D50" t="s">
        <v>54</v>
      </c>
      <c r="E50" t="s">
        <v>38</v>
      </c>
      <c r="F50" t="s">
        <v>39</v>
      </c>
      <c r="G50" t="s">
        <v>77</v>
      </c>
      <c r="H50" s="3" t="str">
        <f>HYPERLINK("https://www.avito.ru/moskva/bytovaya_elektronika/3d_printer_bolshoy_600600600_mingda_7829574659","3Д принтер большой 600/600/600 mingda")</f>
      </c>
      <c r="I50" t="s">
        <v>124</v>
      </c>
      <c r="J50" t="s">
        <v>66</v>
      </c>
      <c r="K50" t="s">
        <v>125</v>
      </c>
      <c r="L50">
        <v>173</v>
      </c>
      <c r="M50">
        <v>276</v>
      </c>
      <c r="N50" s="4">
        <v>0.0797</v>
      </c>
      <c r="O50">
        <v>22</v>
      </c>
      <c r="P50" s="5">
        <v>3.98</v>
      </c>
      <c r="Q50" s="4">
        <v>0</v>
      </c>
      <c r="R50">
        <v>0</v>
      </c>
      <c r="S50">
        <v>0</v>
      </c>
      <c r="T50">
        <v>0</v>
      </c>
      <c r="U50">
        <v>0</v>
      </c>
      <c r="V50">
        <v>0</v>
      </c>
      <c r="W50" s="5" t="s">
        <v>76</v>
      </c>
      <c r="X50">
        <v>3</v>
      </c>
      <c r="Y50" s="4">
        <v>0</v>
      </c>
      <c r="Z50">
        <v>0</v>
      </c>
      <c r="AA50" s="5">
        <v>0</v>
      </c>
      <c r="AB50">
        <v>0</v>
      </c>
      <c r="AC50" s="5">
        <v>0</v>
      </c>
      <c r="AD50" s="5">
        <v>87.74</v>
      </c>
      <c r="AE50" s="5">
        <v>0</v>
      </c>
      <c r="AF50" s="5">
        <v>87.74</v>
      </c>
      <c r="AG50" s="5">
        <v>0</v>
      </c>
      <c r="AH50" s="5">
        <v>0</v>
      </c>
      <c r="AI50" s="5">
        <v>0</v>
      </c>
    </row>
    <row r="51">
      <c r="A51" s="2" t="str">
        <f>HYPERLINK("https://www.avito.ru/podolsk/bytovaya_elektronika/rezhuschiy_plotter_vulcan_fc-500vcfc-800vc_7829873582","7829873582")</f>
      </c>
      <c r="B51" t="s">
        <v>126</v>
      </c>
      <c r="C51" t="s">
        <v>127</v>
      </c>
      <c r="D51" t="s">
        <v>128</v>
      </c>
      <c r="E51" t="s">
        <v>38</v>
      </c>
      <c r="F51" t="s">
        <v>39</v>
      </c>
      <c r="G51" t="s">
        <v>77</v>
      </c>
      <c r="H51" s="3" t="str">
        <f>HYPERLINK("https://www.avito.ru/podolsk/bytovaya_elektronika/rezhuschiy_plotter_vulcan_fc-500vcfc-800vc_7829873582","Режущий плоттер vulcan FC-500VC/FC-800VC")</f>
      </c>
      <c r="I51" t="s">
        <v>129</v>
      </c>
      <c r="J51" t="s">
        <v>79</v>
      </c>
      <c r="K51" t="s">
        <v>80</v>
      </c>
      <c r="L51">
        <v>181</v>
      </c>
      <c r="M51">
        <v>181</v>
      </c>
      <c r="N51" s="4">
        <v>0.1215</v>
      </c>
      <c r="O51">
        <v>22</v>
      </c>
      <c r="P51" s="5">
        <v>2.34</v>
      </c>
      <c r="Q51" s="4">
        <v>0</v>
      </c>
      <c r="R51">
        <v>0</v>
      </c>
      <c r="S51">
        <v>0</v>
      </c>
      <c r="T51">
        <v>0</v>
      </c>
      <c r="U51">
        <v>0</v>
      </c>
      <c r="V51">
        <v>0</v>
      </c>
      <c r="W51" s="5" t="s">
        <v>76</v>
      </c>
      <c r="X51">
        <v>0</v>
      </c>
      <c r="Y51" s="4">
        <v>0</v>
      </c>
      <c r="Z51">
        <v>0</v>
      </c>
      <c r="AA51" s="5">
        <v>0</v>
      </c>
      <c r="AB51">
        <v>0</v>
      </c>
      <c r="AC51" s="5">
        <v>0</v>
      </c>
      <c r="AD51" s="5">
        <v>51.65</v>
      </c>
      <c r="AE51" s="5">
        <v>0</v>
      </c>
      <c r="AF51" s="5">
        <v>51.65</v>
      </c>
      <c r="AG51" s="5">
        <v>0</v>
      </c>
      <c r="AH51" s="5">
        <v>0</v>
      </c>
      <c r="AI51" s="5">
        <v>0</v>
      </c>
    </row>
    <row r="52">
      <c r="A52" s="2" t="str">
        <f>HYPERLINK("https://www.avito.ru/moskva/bytovaya_elektronika/3d_printer_anycubic_kobra_s1_7765043142","7765043142")</f>
      </c>
      <c r="B52" t="s">
        <v>35</v>
      </c>
      <c r="C52" t="s">
        <v>36</v>
      </c>
      <c r="D52" t="s">
        <v>51</v>
      </c>
      <c r="E52" t="s">
        <v>38</v>
      </c>
      <c r="F52" t="s">
        <v>39</v>
      </c>
      <c r="G52" t="s">
        <v>77</v>
      </c>
      <c r="H52" s="3" t="str">
        <f>HYPERLINK("https://www.avito.ru/moskva/bytovaya_elektronika/3d_printer_anycubic_kobra_s1_7765043142","3Д принтер Anycubic Kobra S1")</f>
      </c>
      <c r="I52" t="s">
        <v>130</v>
      </c>
      <c r="J52" t="s">
        <v>131</v>
      </c>
      <c r="K52" t="s">
        <v>132</v>
      </c>
      <c r="L52">
        <v>217</v>
      </c>
      <c r="M52">
        <v>222</v>
      </c>
      <c r="N52" s="4">
        <v>0.0945</v>
      </c>
      <c r="O52">
        <v>21</v>
      </c>
      <c r="P52" s="5">
        <v>0</v>
      </c>
      <c r="Q52" s="4">
        <v>0</v>
      </c>
      <c r="R52">
        <v>0</v>
      </c>
      <c r="S52">
        <v>0</v>
      </c>
      <c r="T52">
        <v>0</v>
      </c>
      <c r="U52">
        <v>0</v>
      </c>
      <c r="V52">
        <v>0</v>
      </c>
      <c r="W52" s="5" t="s">
        <v>76</v>
      </c>
      <c r="X52">
        <v>1</v>
      </c>
      <c r="Y52" s="4">
        <v>0</v>
      </c>
      <c r="Z52">
        <v>0</v>
      </c>
      <c r="AA52" s="5">
        <v>0</v>
      </c>
      <c r="AB52">
        <v>0</v>
      </c>
      <c r="AC52" s="5">
        <v>0</v>
      </c>
      <c r="AD52" s="5">
        <v>0</v>
      </c>
      <c r="AE52" s="5">
        <v>0</v>
      </c>
      <c r="AF52" s="5">
        <v>0</v>
      </c>
      <c r="AG52" s="5">
        <v>0</v>
      </c>
      <c r="AH52" s="5">
        <v>0</v>
      </c>
      <c r="AI52" s="5">
        <v>0</v>
      </c>
    </row>
    <row r="53">
      <c r="A53" s="2" t="str">
        <f>HYPERLINK("https://www.avito.ru/moskva/bytovaya_elektronika/ekosolventnyy_printer_osn-1702_1epson_i3200_7829846702","7829846702")</f>
      </c>
      <c r="B53" t="s">
        <v>35</v>
      </c>
      <c r="C53" t="s">
        <v>36</v>
      </c>
      <c r="D53" t="s">
        <v>51</v>
      </c>
      <c r="E53" t="s">
        <v>38</v>
      </c>
      <c r="F53" t="s">
        <v>39</v>
      </c>
      <c r="G53" t="s">
        <v>77</v>
      </c>
      <c r="H53" s="3" t="str">
        <f>HYPERLINK("https://www.avito.ru/moskva/bytovaya_elektronika/ekosolventnyy_printer_osn-1702_1epson_i3200_7829846702","Экосольвентный принтер OSN-1702 (1*Epson i3200)")</f>
      </c>
      <c r="I53" t="s">
        <v>133</v>
      </c>
      <c r="J53" t="s">
        <v>116</v>
      </c>
      <c r="K53" t="s">
        <v>134</v>
      </c>
      <c r="L53">
        <v>182</v>
      </c>
      <c r="M53">
        <v>161</v>
      </c>
      <c r="N53" s="4">
        <v>0.1304</v>
      </c>
      <c r="O53">
        <v>21</v>
      </c>
      <c r="P53" s="5">
        <v>3.57</v>
      </c>
      <c r="Q53" s="4">
        <v>0.0476</v>
      </c>
      <c r="R53">
        <v>1</v>
      </c>
      <c r="S53">
        <v>1</v>
      </c>
      <c r="T53">
        <v>0</v>
      </c>
      <c r="U53">
        <v>0</v>
      </c>
      <c r="V53">
        <v>0</v>
      </c>
      <c r="W53" s="5">
        <v>75.16</v>
      </c>
      <c r="X53">
        <v>1</v>
      </c>
      <c r="Y53" s="4">
        <v>0</v>
      </c>
      <c r="Z53">
        <v>0</v>
      </c>
      <c r="AA53" s="5">
        <v>0</v>
      </c>
      <c r="AB53">
        <v>0</v>
      </c>
      <c r="AC53" s="5">
        <v>0</v>
      </c>
      <c r="AD53" s="5">
        <v>75.16</v>
      </c>
      <c r="AE53" s="5">
        <v>0</v>
      </c>
      <c r="AF53" s="5">
        <v>75.16</v>
      </c>
      <c r="AG53" s="5">
        <v>0</v>
      </c>
      <c r="AH53" s="5">
        <v>0</v>
      </c>
      <c r="AI53" s="5">
        <v>0</v>
      </c>
    </row>
    <row r="54">
      <c r="A54" s="2" t="str">
        <f>HYPERLINK("https://www.avito.ru/moskva/bytovaya_elektronika/3d-printer_bolshoy_fdm_dowell_dm1216-16_pro_7861087686","7861087686")</f>
      </c>
      <c r="B54" t="s">
        <v>35</v>
      </c>
      <c r="C54" t="s">
        <v>36</v>
      </c>
      <c r="D54" t="s">
        <v>37</v>
      </c>
      <c r="E54" t="s">
        <v>38</v>
      </c>
      <c r="F54" t="s">
        <v>39</v>
      </c>
      <c r="G54" t="s">
        <v>77</v>
      </c>
      <c r="H54" s="3" t="str">
        <f>HYPERLINK("https://www.avito.ru/moskva/bytovaya_elektronika/3d-printer_bolshoy_fdm_dowell_dm1216-16_pro_7861087686","3D-принтер большой FDM DoWell DM1216-16 Pro")</f>
      </c>
      <c r="I54" t="s">
        <v>135</v>
      </c>
      <c r="J54" t="s">
        <v>42</v>
      </c>
      <c r="K54" t="s">
        <v>82</v>
      </c>
      <c r="L54">
        <v>166</v>
      </c>
      <c r="M54">
        <v>131</v>
      </c>
      <c r="N54" s="4">
        <v>0.1526</v>
      </c>
      <c r="O54">
        <v>20</v>
      </c>
      <c r="P54" s="5">
        <v>3.29</v>
      </c>
      <c r="Q54" s="4">
        <v>0</v>
      </c>
      <c r="R54">
        <v>0</v>
      </c>
      <c r="S54">
        <v>0</v>
      </c>
      <c r="T54">
        <v>0</v>
      </c>
      <c r="U54">
        <v>0</v>
      </c>
      <c r="V54">
        <v>0</v>
      </c>
      <c r="W54" s="5" t="s">
        <v>76</v>
      </c>
      <c r="X54">
        <v>1</v>
      </c>
      <c r="Y54" s="4">
        <v>0</v>
      </c>
      <c r="Z54">
        <v>0</v>
      </c>
      <c r="AA54" s="5">
        <v>0</v>
      </c>
      <c r="AB54">
        <v>0</v>
      </c>
      <c r="AC54" s="5">
        <v>0</v>
      </c>
      <c r="AD54" s="5">
        <v>65.83</v>
      </c>
      <c r="AE54" s="5">
        <v>0</v>
      </c>
      <c r="AF54" s="5">
        <v>65.83</v>
      </c>
      <c r="AG54" s="5">
        <v>0</v>
      </c>
      <c r="AH54" s="5">
        <v>0</v>
      </c>
      <c r="AI54" s="5">
        <v>0</v>
      </c>
    </row>
    <row r="55">
      <c r="A55" s="2" t="str">
        <f>HYPERLINK("https://www.avito.ru/moskva/bytovaya_elektronika/3d-printer_bolshoy_fdm_dowell_dl1220-16_7861063534","7861063534")</f>
      </c>
      <c r="B55" t="s">
        <v>35</v>
      </c>
      <c r="C55" t="s">
        <v>36</v>
      </c>
      <c r="D55" t="s">
        <v>37</v>
      </c>
      <c r="E55" t="s">
        <v>38</v>
      </c>
      <c r="F55" t="s">
        <v>39</v>
      </c>
      <c r="G55" t="s">
        <v>77</v>
      </c>
      <c r="H55" s="3" t="str">
        <f>HYPERLINK("https://www.avito.ru/moskva/bytovaya_elektronika/3d-printer_bolshoy_fdm_dowell_dl1220-16_7861063534","3D-принтер большой FDM DoWell DL1220-16")</f>
      </c>
      <c r="I55" t="s">
        <v>136</v>
      </c>
      <c r="J55" t="s">
        <v>42</v>
      </c>
      <c r="K55" t="s">
        <v>82</v>
      </c>
      <c r="L55">
        <v>166</v>
      </c>
      <c r="M55">
        <v>205</v>
      </c>
      <c r="N55" s="4">
        <v>0.0926</v>
      </c>
      <c r="O55">
        <v>19</v>
      </c>
      <c r="P55" s="5">
        <v>3.46</v>
      </c>
      <c r="Q55" s="4">
        <v>0</v>
      </c>
      <c r="R55">
        <v>0</v>
      </c>
      <c r="S55">
        <v>0</v>
      </c>
      <c r="T55">
        <v>0</v>
      </c>
      <c r="U55">
        <v>0</v>
      </c>
      <c r="V55">
        <v>0</v>
      </c>
      <c r="W55" s="5" t="s">
        <v>76</v>
      </c>
      <c r="X55">
        <v>7</v>
      </c>
      <c r="Y55" s="4">
        <v>0</v>
      </c>
      <c r="Z55">
        <v>0</v>
      </c>
      <c r="AA55" s="5">
        <v>0</v>
      </c>
      <c r="AB55">
        <v>0</v>
      </c>
      <c r="AC55" s="5">
        <v>0</v>
      </c>
      <c r="AD55" s="5">
        <v>65.83</v>
      </c>
      <c r="AE55" s="5">
        <v>0</v>
      </c>
      <c r="AF55" s="5">
        <v>65.83</v>
      </c>
      <c r="AG55" s="5">
        <v>0</v>
      </c>
      <c r="AH55" s="5">
        <v>0</v>
      </c>
      <c r="AI55" s="5">
        <v>0</v>
      </c>
    </row>
    <row r="56">
      <c r="A56" s="2" t="str">
        <f>HYPERLINK("https://www.avito.ru/moskva/bytovaya_elektronika/3d_printer_bolshoy_fdm_dowell_dm1020-10_pro_7861710767","7861710767")</f>
      </c>
      <c r="B56" t="s">
        <v>35</v>
      </c>
      <c r="C56" t="s">
        <v>36</v>
      </c>
      <c r="D56" t="s">
        <v>37</v>
      </c>
      <c r="E56" t="s">
        <v>38</v>
      </c>
      <c r="F56" t="s">
        <v>39</v>
      </c>
      <c r="G56" t="s">
        <v>77</v>
      </c>
      <c r="H56" s="3" t="str">
        <f>HYPERLINK("https://www.avito.ru/moskva/bytovaya_elektronika/3d_printer_bolshoy_fdm_dowell_dm1020-10_pro_7861710767","3D принтер большой FDM DoWell DM1020-10 Pro")</f>
      </c>
      <c r="I56" t="s">
        <v>137</v>
      </c>
      <c r="J56" t="s">
        <v>42</v>
      </c>
      <c r="K56" t="s">
        <v>82</v>
      </c>
      <c r="L56">
        <v>166</v>
      </c>
      <c r="M56">
        <v>173</v>
      </c>
      <c r="N56" s="4">
        <v>0.1098</v>
      </c>
      <c r="O56">
        <v>19</v>
      </c>
      <c r="P56" s="5">
        <v>3.46</v>
      </c>
      <c r="Q56" s="4">
        <v>0</v>
      </c>
      <c r="R56">
        <v>0</v>
      </c>
      <c r="S56">
        <v>0</v>
      </c>
      <c r="T56">
        <v>0</v>
      </c>
      <c r="U56">
        <v>0</v>
      </c>
      <c r="V56">
        <v>0</v>
      </c>
      <c r="W56" s="5" t="s">
        <v>76</v>
      </c>
      <c r="X56">
        <v>5</v>
      </c>
      <c r="Y56" s="4">
        <v>0</v>
      </c>
      <c r="Z56">
        <v>0</v>
      </c>
      <c r="AA56" s="5">
        <v>0</v>
      </c>
      <c r="AB56">
        <v>0</v>
      </c>
      <c r="AC56" s="5">
        <v>0</v>
      </c>
      <c r="AD56" s="5">
        <v>65.83</v>
      </c>
      <c r="AE56" s="5">
        <v>0</v>
      </c>
      <c r="AF56" s="5">
        <v>65.83</v>
      </c>
      <c r="AG56" s="5">
        <v>0</v>
      </c>
      <c r="AH56" s="5">
        <v>0</v>
      </c>
      <c r="AI56" s="5">
        <v>0</v>
      </c>
    </row>
    <row r="57">
      <c r="A57" s="2" t="str">
        <f>HYPERLINK("https://www.avito.ru/moskva/bytovaya_elektronika/3d-printer_bolshoy_fdm_dowell_dm6plus_7861865906","7861865906")</f>
      </c>
      <c r="B57" t="s">
        <v>35</v>
      </c>
      <c r="C57" t="s">
        <v>36</v>
      </c>
      <c r="D57" t="s">
        <v>37</v>
      </c>
      <c r="E57" t="s">
        <v>38</v>
      </c>
      <c r="F57" t="s">
        <v>39</v>
      </c>
      <c r="G57" t="s">
        <v>77</v>
      </c>
      <c r="H57" s="3" t="str">
        <f>HYPERLINK("https://www.avito.ru/moskva/bytovaya_elektronika/3d-printer_bolshoy_fdm_dowell_dm6plus_7861865906","3D-принтер большой (FDM) DoWell DM6plus")</f>
      </c>
      <c r="I57" t="s">
        <v>138</v>
      </c>
      <c r="J57" t="s">
        <v>42</v>
      </c>
      <c r="K57" t="s">
        <v>82</v>
      </c>
      <c r="L57">
        <v>166</v>
      </c>
      <c r="M57">
        <v>192</v>
      </c>
      <c r="N57" s="4">
        <v>0.0989</v>
      </c>
      <c r="O57">
        <v>19</v>
      </c>
      <c r="P57" s="5">
        <v>3.46</v>
      </c>
      <c r="Q57" s="4">
        <v>0</v>
      </c>
      <c r="R57">
        <v>0</v>
      </c>
      <c r="S57">
        <v>0</v>
      </c>
      <c r="T57">
        <v>0</v>
      </c>
      <c r="U57">
        <v>0</v>
      </c>
      <c r="V57">
        <v>0</v>
      </c>
      <c r="W57" s="5" t="s">
        <v>76</v>
      </c>
      <c r="X57">
        <v>3</v>
      </c>
      <c r="Y57" s="4">
        <v>0</v>
      </c>
      <c r="Z57">
        <v>0</v>
      </c>
      <c r="AA57" s="5">
        <v>0</v>
      </c>
      <c r="AB57">
        <v>0</v>
      </c>
      <c r="AC57" s="5">
        <v>0</v>
      </c>
      <c r="AD57" s="5">
        <v>65.83</v>
      </c>
      <c r="AE57" s="5">
        <v>0</v>
      </c>
      <c r="AF57" s="5">
        <v>65.83</v>
      </c>
      <c r="AG57" s="5">
        <v>0</v>
      </c>
      <c r="AH57" s="5">
        <v>0</v>
      </c>
      <c r="AI57" s="5">
        <v>0</v>
      </c>
    </row>
    <row r="58">
      <c r="A58" s="2" t="str">
        <f>HYPERLINK("https://www.avito.ru/moskva/bytovaya_elektronika/3d-printer_bolshoy_fdm_dowell_dm1216-16_plus_7861323341","7861323341")</f>
      </c>
      <c r="B58" t="s">
        <v>35</v>
      </c>
      <c r="C58" t="s">
        <v>36</v>
      </c>
      <c r="D58" t="s">
        <v>37</v>
      </c>
      <c r="E58" t="s">
        <v>38</v>
      </c>
      <c r="F58" t="s">
        <v>39</v>
      </c>
      <c r="G58" t="s">
        <v>77</v>
      </c>
      <c r="H58" s="3" t="str">
        <f>HYPERLINK("https://www.avito.ru/moskva/bytovaya_elektronika/3d-printer_bolshoy_fdm_dowell_dm1216-16_plus_7861323341","3D-принтер большой FDM DoWell DM1216-16 Plus")</f>
      </c>
      <c r="I58" t="s">
        <v>139</v>
      </c>
      <c r="J58" t="s">
        <v>42</v>
      </c>
      <c r="K58" t="s">
        <v>82</v>
      </c>
      <c r="L58">
        <v>166</v>
      </c>
      <c r="M58">
        <v>121</v>
      </c>
      <c r="N58" s="4">
        <v>0.1404</v>
      </c>
      <c r="O58">
        <v>17</v>
      </c>
      <c r="P58" s="5">
        <v>3.87</v>
      </c>
      <c r="Q58" s="4">
        <v>0</v>
      </c>
      <c r="R58">
        <v>0</v>
      </c>
      <c r="S58">
        <v>0</v>
      </c>
      <c r="T58">
        <v>0</v>
      </c>
      <c r="U58">
        <v>0</v>
      </c>
      <c r="V58">
        <v>0</v>
      </c>
      <c r="W58" s="5" t="s">
        <v>76</v>
      </c>
      <c r="X58">
        <v>2</v>
      </c>
      <c r="Y58" s="4">
        <v>0</v>
      </c>
      <c r="Z58">
        <v>0</v>
      </c>
      <c r="AA58" s="5">
        <v>0</v>
      </c>
      <c r="AB58">
        <v>0</v>
      </c>
      <c r="AC58" s="5">
        <v>0</v>
      </c>
      <c r="AD58" s="5">
        <v>65.83</v>
      </c>
      <c r="AE58" s="5">
        <v>0</v>
      </c>
      <c r="AF58" s="5">
        <v>65.83</v>
      </c>
      <c r="AG58" s="5">
        <v>0</v>
      </c>
      <c r="AH58" s="5">
        <v>0</v>
      </c>
      <c r="AI58" s="5">
        <v>0</v>
      </c>
    </row>
    <row r="59">
      <c r="A59" s="2" t="str">
        <f>HYPERLINK("https://www.avito.ru/moskva/bytovaya_elektronika/3d-printer_bolshoy_fdm_dowell_dm8-6_pro_7861332320","7861332320")</f>
      </c>
      <c r="B59" t="s">
        <v>35</v>
      </c>
      <c r="C59" t="s">
        <v>36</v>
      </c>
      <c r="D59" t="s">
        <v>37</v>
      </c>
      <c r="E59" t="s">
        <v>38</v>
      </c>
      <c r="F59" t="s">
        <v>39</v>
      </c>
      <c r="G59" t="s">
        <v>77</v>
      </c>
      <c r="H59" s="3" t="str">
        <f>HYPERLINK("https://www.avito.ru/moskva/bytovaya_elektronika/3d-printer_bolshoy_fdm_dowell_dm8-6_pro_7861332320","3D-принтер большой FDM DoWell DM8-6 Pro")</f>
      </c>
      <c r="I59" t="s">
        <v>140</v>
      </c>
      <c r="J59" t="s">
        <v>42</v>
      </c>
      <c r="K59" t="s">
        <v>82</v>
      </c>
      <c r="L59">
        <v>166</v>
      </c>
      <c r="M59">
        <v>117</v>
      </c>
      <c r="N59" s="4">
        <v>0.1196</v>
      </c>
      <c r="O59">
        <v>14</v>
      </c>
      <c r="P59" s="5">
        <v>4.7</v>
      </c>
      <c r="Q59" s="4">
        <v>0</v>
      </c>
      <c r="R59">
        <v>0</v>
      </c>
      <c r="S59">
        <v>0</v>
      </c>
      <c r="T59">
        <v>0</v>
      </c>
      <c r="U59">
        <v>0</v>
      </c>
      <c r="V59">
        <v>0</v>
      </c>
      <c r="W59" s="5" t="s">
        <v>76</v>
      </c>
      <c r="X59">
        <v>1</v>
      </c>
      <c r="Y59" s="4">
        <v>0</v>
      </c>
      <c r="Z59">
        <v>0</v>
      </c>
      <c r="AA59" s="5">
        <v>0</v>
      </c>
      <c r="AB59">
        <v>0</v>
      </c>
      <c r="AC59" s="5">
        <v>0</v>
      </c>
      <c r="AD59" s="5">
        <v>65.83</v>
      </c>
      <c r="AE59" s="5">
        <v>0</v>
      </c>
      <c r="AF59" s="5">
        <v>65.83</v>
      </c>
      <c r="AG59" s="5">
        <v>0</v>
      </c>
      <c r="AH59" s="5">
        <v>0</v>
      </c>
      <c r="AI59" s="5">
        <v>0</v>
      </c>
    </row>
    <row r="60">
      <c r="A60" s="2" t="str">
        <f>HYPERLINK("https://www.avito.ru/moskva/bytovaya_elektronika/3d-printer_bolshoy_fdm_dowell_dm1220-8_plus_7861508260","7861508260")</f>
      </c>
      <c r="B60" t="s">
        <v>35</v>
      </c>
      <c r="C60" t="s">
        <v>36</v>
      </c>
      <c r="D60" t="s">
        <v>37</v>
      </c>
      <c r="E60" t="s">
        <v>38</v>
      </c>
      <c r="F60" t="s">
        <v>39</v>
      </c>
      <c r="G60" t="s">
        <v>77</v>
      </c>
      <c r="H60" s="3" t="str">
        <f>HYPERLINK("https://www.avito.ru/moskva/bytovaya_elektronika/3d-printer_bolshoy_fdm_dowell_dm1220-8_plus_7861508260","3D-принтер большой FDM DoWell DM1220-8 Plus")</f>
      </c>
      <c r="I60" t="s">
        <v>141</v>
      </c>
      <c r="J60" t="s">
        <v>42</v>
      </c>
      <c r="K60" t="s">
        <v>82</v>
      </c>
      <c r="L60">
        <v>166</v>
      </c>
      <c r="M60">
        <v>205</v>
      </c>
      <c r="N60" s="4">
        <v>0.0585</v>
      </c>
      <c r="O60">
        <v>12</v>
      </c>
      <c r="P60" s="5">
        <v>5.48</v>
      </c>
      <c r="Q60" s="4">
        <v>0</v>
      </c>
      <c r="R60">
        <v>0</v>
      </c>
      <c r="S60">
        <v>0</v>
      </c>
      <c r="T60">
        <v>0</v>
      </c>
      <c r="U60">
        <v>0</v>
      </c>
      <c r="V60">
        <v>0</v>
      </c>
      <c r="W60" s="5" t="s">
        <v>76</v>
      </c>
      <c r="X60">
        <v>4</v>
      </c>
      <c r="Y60" s="4">
        <v>0</v>
      </c>
      <c r="Z60">
        <v>0</v>
      </c>
      <c r="AA60" s="5">
        <v>0</v>
      </c>
      <c r="AB60">
        <v>0</v>
      </c>
      <c r="AC60" s="5">
        <v>0</v>
      </c>
      <c r="AD60" s="5">
        <v>65.83</v>
      </c>
      <c r="AE60" s="5">
        <v>0</v>
      </c>
      <c r="AF60" s="5">
        <v>65.83</v>
      </c>
      <c r="AG60" s="5">
        <v>0</v>
      </c>
      <c r="AH60" s="5">
        <v>0</v>
      </c>
      <c r="AI60" s="5">
        <v>0</v>
      </c>
    </row>
    <row r="61">
      <c r="A61" s="2" t="str">
        <f>HYPERLINK("https://www.avito.ru/moskva/bytovaya_elektronika/3d-printer_bolshoy_fdm_dowell_dm8_plus_7861017125","7861017125")</f>
      </c>
      <c r="B61" t="s">
        <v>35</v>
      </c>
      <c r="C61" t="s">
        <v>36</v>
      </c>
      <c r="D61" t="s">
        <v>37</v>
      </c>
      <c r="E61" t="s">
        <v>38</v>
      </c>
      <c r="F61" t="s">
        <v>39</v>
      </c>
      <c r="G61" t="s">
        <v>77</v>
      </c>
      <c r="H61" s="3" t="str">
        <f>HYPERLINK("https://www.avito.ru/moskva/bytovaya_elektronika/3d-printer_bolshoy_fdm_dowell_dm8_plus_7861017125","3D-принтер большой FDM DoWell DM8 Plus")</f>
      </c>
      <c r="I61" t="s">
        <v>142</v>
      </c>
      <c r="J61" t="s">
        <v>42</v>
      </c>
      <c r="K61" t="s">
        <v>82</v>
      </c>
      <c r="L61">
        <v>166</v>
      </c>
      <c r="M61">
        <v>99</v>
      </c>
      <c r="N61" s="4">
        <v>0.101</v>
      </c>
      <c r="O61">
        <v>10</v>
      </c>
      <c r="P61" s="5">
        <v>6.58</v>
      </c>
      <c r="Q61" s="4">
        <v>0</v>
      </c>
      <c r="R61">
        <v>0</v>
      </c>
      <c r="S61">
        <v>0</v>
      </c>
      <c r="T61">
        <v>0</v>
      </c>
      <c r="U61">
        <v>0</v>
      </c>
      <c r="V61">
        <v>0</v>
      </c>
      <c r="W61" s="5" t="s">
        <v>76</v>
      </c>
      <c r="X61">
        <v>2</v>
      </c>
      <c r="Y61" s="4">
        <v>0</v>
      </c>
      <c r="Z61">
        <v>0</v>
      </c>
      <c r="AA61" s="5">
        <v>0</v>
      </c>
      <c r="AB61">
        <v>0</v>
      </c>
      <c r="AC61" s="5">
        <v>0</v>
      </c>
      <c r="AD61" s="5">
        <v>65.83</v>
      </c>
      <c r="AE61" s="5">
        <v>0</v>
      </c>
      <c r="AF61" s="5">
        <v>65.83</v>
      </c>
      <c r="AG61" s="5">
        <v>0</v>
      </c>
      <c r="AH61" s="5">
        <v>0</v>
      </c>
      <c r="AI61" s="5">
        <v>0</v>
      </c>
    </row>
    <row r="62">
      <c r="A62" s="2" t="str">
        <f>HYPERLINK("https://www.avito.ru/moskva/bytovaya_elektronika/3d-printer_bolshoy_fdm_dowell_dm10-8_plus_7861564087","7861564087")</f>
      </c>
      <c r="B62" t="s">
        <v>35</v>
      </c>
      <c r="C62" t="s">
        <v>36</v>
      </c>
      <c r="D62" t="s">
        <v>37</v>
      </c>
      <c r="E62" t="s">
        <v>38</v>
      </c>
      <c r="F62" t="s">
        <v>39</v>
      </c>
      <c r="G62" t="s">
        <v>77</v>
      </c>
      <c r="H62" s="3" t="str">
        <f>HYPERLINK("https://www.avito.ru/moskva/bytovaya_elektronika/3d-printer_bolshoy_fdm_dowell_dm10-8_plus_7861564087","3D-принтер большой FDM DoWell DM10-8 Plus")</f>
      </c>
      <c r="I62" t="s">
        <v>143</v>
      </c>
      <c r="J62" t="s">
        <v>42</v>
      </c>
      <c r="K62" t="s">
        <v>82</v>
      </c>
      <c r="L62">
        <v>166</v>
      </c>
      <c r="M62">
        <v>116</v>
      </c>
      <c r="N62" s="4">
        <v>0.0862</v>
      </c>
      <c r="O62">
        <v>10</v>
      </c>
      <c r="P62" s="5">
        <v>6.58</v>
      </c>
      <c r="Q62" s="4">
        <v>0</v>
      </c>
      <c r="R62">
        <v>0</v>
      </c>
      <c r="S62">
        <v>0</v>
      </c>
      <c r="T62">
        <v>0</v>
      </c>
      <c r="U62">
        <v>0</v>
      </c>
      <c r="V62">
        <v>0</v>
      </c>
      <c r="W62" s="5" t="s">
        <v>76</v>
      </c>
      <c r="X62">
        <v>1</v>
      </c>
      <c r="Y62" s="4">
        <v>0</v>
      </c>
      <c r="Z62">
        <v>0</v>
      </c>
      <c r="AA62" s="5">
        <v>0</v>
      </c>
      <c r="AB62">
        <v>0</v>
      </c>
      <c r="AC62" s="5">
        <v>0</v>
      </c>
      <c r="AD62" s="5">
        <v>65.83</v>
      </c>
      <c r="AE62" s="5">
        <v>0</v>
      </c>
      <c r="AF62" s="5">
        <v>65.83</v>
      </c>
      <c r="AG62" s="5">
        <v>0</v>
      </c>
      <c r="AH62" s="5">
        <v>0</v>
      </c>
      <c r="AI62" s="5">
        <v>0</v>
      </c>
    </row>
    <row r="63">
      <c r="A63" s="2" t="str">
        <f>HYPERLINK("https://www.avito.ru/moskva/bytovaya_elektronika/3d-printer_bolshoy_fdm_dowell_dl12-6_7861595572","7861595572")</f>
      </c>
      <c r="B63" t="s">
        <v>35</v>
      </c>
      <c r="C63" t="s">
        <v>36</v>
      </c>
      <c r="D63" t="s">
        <v>37</v>
      </c>
      <c r="E63" t="s">
        <v>38</v>
      </c>
      <c r="F63" t="s">
        <v>39</v>
      </c>
      <c r="G63" t="s">
        <v>77</v>
      </c>
      <c r="H63" s="3" t="str">
        <f>HYPERLINK("https://www.avito.ru/moskva/bytovaya_elektronika/3d-printer_bolshoy_fdm_dowell_dl12-6_7861595572","3D-принтер большой FDM DoWell DL12-6")</f>
      </c>
      <c r="I63" t="s">
        <v>144</v>
      </c>
      <c r="J63" t="s">
        <v>42</v>
      </c>
      <c r="K63" t="s">
        <v>82</v>
      </c>
      <c r="L63">
        <v>166</v>
      </c>
      <c r="M63">
        <v>101</v>
      </c>
      <c r="N63" s="4">
        <v>0.0891</v>
      </c>
      <c r="O63">
        <v>9</v>
      </c>
      <c r="P63" s="5">
        <v>7.31</v>
      </c>
      <c r="Q63" s="4">
        <v>0</v>
      </c>
      <c r="R63">
        <v>0</v>
      </c>
      <c r="S63">
        <v>0</v>
      </c>
      <c r="T63">
        <v>0</v>
      </c>
      <c r="U63">
        <v>0</v>
      </c>
      <c r="V63">
        <v>0</v>
      </c>
      <c r="W63" s="5" t="s">
        <v>76</v>
      </c>
      <c r="X63">
        <v>0</v>
      </c>
      <c r="Y63" s="4">
        <v>0</v>
      </c>
      <c r="Z63">
        <v>0</v>
      </c>
      <c r="AA63" s="5">
        <v>0</v>
      </c>
      <c r="AB63">
        <v>0</v>
      </c>
      <c r="AC63" s="5">
        <v>0</v>
      </c>
      <c r="AD63" s="5">
        <v>65.83</v>
      </c>
      <c r="AE63" s="5">
        <v>0</v>
      </c>
      <c r="AF63" s="5">
        <v>65.83</v>
      </c>
      <c r="AG63" s="5">
        <v>0</v>
      </c>
      <c r="AH63" s="5">
        <v>0</v>
      </c>
      <c r="AI63" s="5">
        <v>0</v>
      </c>
    </row>
    <row r="64">
      <c r="A64" s="2" t="str">
        <f>HYPERLINK("https://www.avito.ru/moskva/bytovaya_elektronika/3d-printer_bolshoy_fdm_dowell_dm6-12_plus_7860942539","7860942539")</f>
      </c>
      <c r="B64" t="s">
        <v>35</v>
      </c>
      <c r="C64" t="s">
        <v>36</v>
      </c>
      <c r="D64" t="s">
        <v>37</v>
      </c>
      <c r="E64" t="s">
        <v>38</v>
      </c>
      <c r="F64" t="s">
        <v>39</v>
      </c>
      <c r="G64" t="s">
        <v>77</v>
      </c>
      <c r="H64" s="3" t="str">
        <f>HYPERLINK("https://www.avito.ru/moskva/bytovaya_elektronika/3d-printer_bolshoy_fdm_dowell_dm6-12_plus_7860942539","3D-принтер большой FDM DoWell DM6-12 Plus")</f>
      </c>
      <c r="I64" t="s">
        <v>145</v>
      </c>
      <c r="J64" t="s">
        <v>42</v>
      </c>
      <c r="K64" t="s">
        <v>82</v>
      </c>
      <c r="L64">
        <v>166</v>
      </c>
      <c r="M64">
        <v>121</v>
      </c>
      <c r="N64" s="4">
        <v>0.0661</v>
      </c>
      <c r="O64">
        <v>8</v>
      </c>
      <c r="P64" s="5">
        <v>8.22</v>
      </c>
      <c r="Q64" s="4">
        <v>0</v>
      </c>
      <c r="R64">
        <v>0</v>
      </c>
      <c r="S64">
        <v>0</v>
      </c>
      <c r="T64">
        <v>0</v>
      </c>
      <c r="U64">
        <v>0</v>
      </c>
      <c r="V64">
        <v>0</v>
      </c>
      <c r="W64" s="5" t="s">
        <v>76</v>
      </c>
      <c r="X64">
        <v>2</v>
      </c>
      <c r="Y64" s="4">
        <v>0</v>
      </c>
      <c r="Z64">
        <v>0</v>
      </c>
      <c r="AA64" s="5">
        <v>0</v>
      </c>
      <c r="AB64">
        <v>0</v>
      </c>
      <c r="AC64" s="5">
        <v>0</v>
      </c>
      <c r="AD64" s="5">
        <v>65.83</v>
      </c>
      <c r="AE64" s="5">
        <v>0</v>
      </c>
      <c r="AF64" s="5">
        <v>65.83</v>
      </c>
      <c r="AG64" s="5">
        <v>0</v>
      </c>
      <c r="AH64" s="5">
        <v>0</v>
      </c>
      <c r="AI64" s="5">
        <v>0</v>
      </c>
    </row>
    <row r="65">
      <c r="A65" s="2" t="str">
        <f>HYPERLINK("https://www.avito.ru/moskva/bytovaya_elektronika/3d-printer_bolshoy_fdm_dowell_dm1016-12_plus_7861134158","7861134158")</f>
      </c>
      <c r="B65" t="s">
        <v>35</v>
      </c>
      <c r="C65" t="s">
        <v>36</v>
      </c>
      <c r="D65" t="s">
        <v>37</v>
      </c>
      <c r="E65" t="s">
        <v>38</v>
      </c>
      <c r="F65" t="s">
        <v>39</v>
      </c>
      <c r="G65" t="s">
        <v>77</v>
      </c>
      <c r="H65" s="3" t="str">
        <f>HYPERLINK("https://www.avito.ru/moskva/bytovaya_elektronika/3d-printer_bolshoy_fdm_dowell_dm1016-12_plus_7861134158","3D-принтер большой FDM DoWell DM1016-12 Plus")</f>
      </c>
      <c r="I65" t="s">
        <v>146</v>
      </c>
      <c r="J65" t="s">
        <v>42</v>
      </c>
      <c r="K65" t="s">
        <v>82</v>
      </c>
      <c r="L65">
        <v>166</v>
      </c>
      <c r="M65">
        <v>113</v>
      </c>
      <c r="N65" s="4">
        <v>0.0707</v>
      </c>
      <c r="O65">
        <v>8</v>
      </c>
      <c r="P65" s="5">
        <v>8.22</v>
      </c>
      <c r="Q65" s="4">
        <v>0</v>
      </c>
      <c r="R65">
        <v>0</v>
      </c>
      <c r="S65">
        <v>0</v>
      </c>
      <c r="T65">
        <v>0</v>
      </c>
      <c r="U65">
        <v>0</v>
      </c>
      <c r="V65">
        <v>0</v>
      </c>
      <c r="W65" s="5" t="s">
        <v>76</v>
      </c>
      <c r="X65">
        <v>1</v>
      </c>
      <c r="Y65" s="4">
        <v>0</v>
      </c>
      <c r="Z65">
        <v>0</v>
      </c>
      <c r="AA65" s="5">
        <v>0</v>
      </c>
      <c r="AB65">
        <v>0</v>
      </c>
      <c r="AC65" s="5">
        <v>0</v>
      </c>
      <c r="AD65" s="5">
        <v>65.83</v>
      </c>
      <c r="AE65" s="5">
        <v>0</v>
      </c>
      <c r="AF65" s="5">
        <v>65.83</v>
      </c>
      <c r="AG65" s="5">
        <v>0</v>
      </c>
      <c r="AH65" s="5">
        <v>0</v>
      </c>
      <c r="AI65" s="5">
        <v>0</v>
      </c>
    </row>
    <row r="66">
      <c r="A66" s="2" t="str">
        <f>HYPERLINK("https://www.avito.ru/moskva/bytovaya_elektronika/3d-printer_bolshoy_fdm_dowell_dl10-16_7861632867","7861632867")</f>
      </c>
      <c r="B66" t="s">
        <v>35</v>
      </c>
      <c r="C66" t="s">
        <v>36</v>
      </c>
      <c r="D66" t="s">
        <v>37</v>
      </c>
      <c r="E66" t="s">
        <v>38</v>
      </c>
      <c r="F66" t="s">
        <v>39</v>
      </c>
      <c r="G66" t="s">
        <v>77</v>
      </c>
      <c r="H66" s="3" t="str">
        <f>HYPERLINK("https://www.avito.ru/moskva/bytovaya_elektronika/3d-printer_bolshoy_fdm_dowell_dl10-16_7861632867","3D-принтер большой FDM DoWell DL10-16")</f>
      </c>
      <c r="I66" t="s">
        <v>147</v>
      </c>
      <c r="J66" t="s">
        <v>42</v>
      </c>
      <c r="K66" t="s">
        <v>82</v>
      </c>
      <c r="L66">
        <v>166</v>
      </c>
      <c r="M66">
        <v>126</v>
      </c>
      <c r="N66" s="4">
        <v>0.0634</v>
      </c>
      <c r="O66">
        <v>8</v>
      </c>
      <c r="P66" s="5">
        <v>8.22</v>
      </c>
      <c r="Q66" s="4">
        <v>0</v>
      </c>
      <c r="R66">
        <v>0</v>
      </c>
      <c r="S66">
        <v>0</v>
      </c>
      <c r="T66">
        <v>0</v>
      </c>
      <c r="U66">
        <v>0</v>
      </c>
      <c r="V66">
        <v>0</v>
      </c>
      <c r="W66" s="5" t="s">
        <v>76</v>
      </c>
      <c r="X66">
        <v>2</v>
      </c>
      <c r="Y66" s="4">
        <v>0</v>
      </c>
      <c r="Z66">
        <v>0</v>
      </c>
      <c r="AA66" s="5">
        <v>0</v>
      </c>
      <c r="AB66">
        <v>0</v>
      </c>
      <c r="AC66" s="5">
        <v>0</v>
      </c>
      <c r="AD66" s="5">
        <v>65.83</v>
      </c>
      <c r="AE66" s="5">
        <v>0</v>
      </c>
      <c r="AF66" s="5">
        <v>65.83</v>
      </c>
      <c r="AG66" s="5">
        <v>0</v>
      </c>
      <c r="AH66" s="5">
        <v>0</v>
      </c>
      <c r="AI66" s="5">
        <v>0</v>
      </c>
    </row>
    <row r="67">
      <c r="A67" s="2" t="str">
        <f>HYPERLINK("https://www.avito.ru/moskva/bytovaya_elektronika/3d-printer_bolshoy_fdm_dowell_dm8-16_plus_7861330879","7861330879")</f>
      </c>
      <c r="B67" t="s">
        <v>35</v>
      </c>
      <c r="C67" t="s">
        <v>36</v>
      </c>
      <c r="D67" t="s">
        <v>37</v>
      </c>
      <c r="E67" t="s">
        <v>38</v>
      </c>
      <c r="F67" t="s">
        <v>39</v>
      </c>
      <c r="G67" t="s">
        <v>77</v>
      </c>
      <c r="H67" s="3" t="str">
        <f>HYPERLINK("https://www.avito.ru/moskva/bytovaya_elektronika/3d-printer_bolshoy_fdm_dowell_dm8-16_plus_7861330879","3D-принтер большой FDM DoWell DM8-16 Plus")</f>
      </c>
      <c r="I67" t="s">
        <v>148</v>
      </c>
      <c r="J67" t="s">
        <v>42</v>
      </c>
      <c r="K67" t="s">
        <v>82</v>
      </c>
      <c r="L67">
        <v>166</v>
      </c>
      <c r="M67">
        <v>72</v>
      </c>
      <c r="N67" s="4">
        <v>0.0416</v>
      </c>
      <c r="O67">
        <v>3</v>
      </c>
      <c r="P67" s="5">
        <v>21.94</v>
      </c>
      <c r="Q67" s="4">
        <v>0</v>
      </c>
      <c r="R67">
        <v>0</v>
      </c>
      <c r="S67">
        <v>0</v>
      </c>
      <c r="T67">
        <v>0</v>
      </c>
      <c r="U67">
        <v>0</v>
      </c>
      <c r="V67">
        <v>0</v>
      </c>
      <c r="W67" s="5" t="s">
        <v>76</v>
      </c>
      <c r="X67">
        <v>0</v>
      </c>
      <c r="Y67" s="4">
        <v>0</v>
      </c>
      <c r="Z67">
        <v>0</v>
      </c>
      <c r="AA67" s="5">
        <v>0</v>
      </c>
      <c r="AB67">
        <v>0</v>
      </c>
      <c r="AC67" s="5">
        <v>0</v>
      </c>
      <c r="AD67" s="5">
        <v>65.83</v>
      </c>
      <c r="AE67" s="5">
        <v>0</v>
      </c>
      <c r="AF67" s="5">
        <v>65.83</v>
      </c>
      <c r="AG67" s="5">
        <v>0</v>
      </c>
      <c r="AH67" s="5">
        <v>0</v>
      </c>
      <c r="AI67" s="5">
        <v>0</v>
      </c>
    </row>
    <row r="68">
      <c r="A68" s="2" t="str">
        <f>HYPERLINK("https://www.avito.ru/moskva/bytovaya_elektronika/3d-printer_bolshoy_fdm_dowell_dm12_plus_7861402867","7861402867")</f>
      </c>
      <c r="B68" t="s">
        <v>35</v>
      </c>
      <c r="C68" t="s">
        <v>36</v>
      </c>
      <c r="D68" t="s">
        <v>37</v>
      </c>
      <c r="E68" t="s">
        <v>38</v>
      </c>
      <c r="F68" t="s">
        <v>39</v>
      </c>
      <c r="G68" t="s">
        <v>77</v>
      </c>
      <c r="H68" s="3" t="str">
        <f>HYPERLINK("https://www.avito.ru/moskva/bytovaya_elektronika/3d-printer_bolshoy_fdm_dowell_dm12_plus_7861402867","3D-принтер большой FDM DoWell DM12 Plus")</f>
      </c>
      <c r="I68" t="s">
        <v>149</v>
      </c>
      <c r="J68" t="s">
        <v>42</v>
      </c>
      <c r="K68" t="s">
        <v>82</v>
      </c>
      <c r="L68">
        <v>166</v>
      </c>
      <c r="M68">
        <v>96</v>
      </c>
      <c r="N68" s="4">
        <v>0.0312</v>
      </c>
      <c r="O68">
        <v>3</v>
      </c>
      <c r="P68" s="5">
        <v>21.94</v>
      </c>
      <c r="Q68" s="4">
        <v>0</v>
      </c>
      <c r="R68">
        <v>0</v>
      </c>
      <c r="S68">
        <v>0</v>
      </c>
      <c r="T68">
        <v>0</v>
      </c>
      <c r="U68">
        <v>0</v>
      </c>
      <c r="V68">
        <v>0</v>
      </c>
      <c r="W68" s="5" t="s">
        <v>76</v>
      </c>
      <c r="X68">
        <v>0</v>
      </c>
      <c r="Y68" s="4">
        <v>0</v>
      </c>
      <c r="Z68">
        <v>0</v>
      </c>
      <c r="AA68" s="5">
        <v>0</v>
      </c>
      <c r="AB68">
        <v>0</v>
      </c>
      <c r="AC68" s="5">
        <v>0</v>
      </c>
      <c r="AD68" s="5">
        <v>65.83</v>
      </c>
      <c r="AE68" s="5">
        <v>0</v>
      </c>
      <c r="AF68" s="5">
        <v>65.83</v>
      </c>
      <c r="AG68" s="5">
        <v>0</v>
      </c>
      <c r="AH68" s="5">
        <v>0</v>
      </c>
      <c r="AI68" s="5">
        <v>0</v>
      </c>
    </row>
    <row r="69">
      <c r="A69" s="2" t="str">
        <f>HYPERLINK("https://www.avito.ru/moskva/bytovaya_elektronika/3d-printer_bolshoy_fdm_dowell_dm1218-12_pro_7861881032","7861881032")</f>
      </c>
      <c r="B69" t="s">
        <v>35</v>
      </c>
      <c r="C69" t="s">
        <v>36</v>
      </c>
      <c r="D69" t="s">
        <v>37</v>
      </c>
      <c r="E69" t="s">
        <v>38</v>
      </c>
      <c r="F69" t="s">
        <v>39</v>
      </c>
      <c r="G69" t="s">
        <v>77</v>
      </c>
      <c r="H69" s="3" t="str">
        <f>HYPERLINK("https://www.avito.ru/moskva/bytovaya_elektronika/3d-printer_bolshoy_fdm_dowell_dm1218-12_pro_7861881032","3D-принтер большой FDM DoWell DM1218-12 Pro")</f>
      </c>
      <c r="I69" t="s">
        <v>150</v>
      </c>
      <c r="J69" t="s">
        <v>42</v>
      </c>
      <c r="K69" t="s">
        <v>82</v>
      </c>
      <c r="L69">
        <v>166</v>
      </c>
      <c r="M69">
        <v>99</v>
      </c>
      <c r="N69" s="4">
        <v>0.0202</v>
      </c>
      <c r="O69">
        <v>2</v>
      </c>
      <c r="P69" s="5">
        <v>32.91</v>
      </c>
      <c r="Q69" s="4">
        <v>0</v>
      </c>
      <c r="R69">
        <v>0</v>
      </c>
      <c r="S69">
        <v>0</v>
      </c>
      <c r="T69">
        <v>0</v>
      </c>
      <c r="U69">
        <v>0</v>
      </c>
      <c r="V69">
        <v>0</v>
      </c>
      <c r="W69" s="5" t="s">
        <v>76</v>
      </c>
      <c r="X69">
        <v>1</v>
      </c>
      <c r="Y69" s="4">
        <v>0</v>
      </c>
      <c r="Z69">
        <v>0</v>
      </c>
      <c r="AA69" s="5">
        <v>0</v>
      </c>
      <c r="AB69">
        <v>0</v>
      </c>
      <c r="AC69" s="5">
        <v>0</v>
      </c>
      <c r="AD69" s="5">
        <v>65.83</v>
      </c>
      <c r="AE69" s="5">
        <v>0</v>
      </c>
      <c r="AF69" s="5">
        <v>65.83</v>
      </c>
      <c r="AG69" s="5">
        <v>0</v>
      </c>
      <c r="AH69" s="5">
        <v>0</v>
      </c>
      <c r="AI69" s="5">
        <v>0</v>
      </c>
    </row>
  </sheetData>
  <autoFilter ref="$A$1:$AI$70"/>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
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'Sheet1'!$A$1:$AI$392</definedName>
  </definedNames>
  <calcPr calcId="122211"/>
</workbook>
</file>

<file path=xl/sharedStrings.xml><?xml version="1.0" encoding="utf-8"?>
<sst xmlns="http://schemas.openxmlformats.org/spreadsheetml/2006/main" count="261" uniqueCount="261">
  <si>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</si>
  <si>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</si>
  <si>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</si>
  <si>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</si>
  <si>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</si>
  <si>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</si>
  <si>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</si>
  <si>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</si>
  <si>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</si>
  <si>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</si>
  <si>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</si>
  <si>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</si>
  <si>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</si>
  <si>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</si>
  <si>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</si>
  <si>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</si>
  <si>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</si>
  <si>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</si>
  <si>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</si>
  <si>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</si>
  <si>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</si>
  <si>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</si>
  <si>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</si>
  <si>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</si>
  <si>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</si>
  <si>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</si>
  <si>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</si>
  <si>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</si>
  <si>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</si>
  <si>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</si>
  <si>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</si>
  <si>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</si>
  <si>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</si>
  <si>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</si>
  <si>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</si>
  <si>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</si>
  <si>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</si>
  <si>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Тверская ул., 5А</t>
  </si>
  <si>
    <t>Электроника</t>
  </si>
  <si>
    <t>Оргтехника и расходники</t>
  </si>
  <si>
    <t>3D-принтеры</t>
  </si>
  <si>
    <t>159 000 ₽</t>
  </si>
  <si>
    <t>2026-05-07</t>
  </si>
  <si>
    <t>2026-06-06</t>
  </si>
  <si>
    <t>Москва, ул. Дмитрия Ульянова</t>
  </si>
  <si>
    <t>615 500 ₽</t>
  </si>
  <si>
    <t>2026-01-14</t>
  </si>
  <si>
    <t>2026-07-03</t>
  </si>
  <si>
    <t>149 000 ₽</t>
  </si>
  <si>
    <t>2026-05-05</t>
  </si>
  <si>
    <t>2026-06-04</t>
  </si>
  <si>
    <t>431 000 ₽</t>
  </si>
  <si>
    <t>2026-01-11</t>
  </si>
  <si>
    <t>2026-05-16</t>
  </si>
  <si>
    <t>Москва, Профсоюзная ул., 5/9</t>
  </si>
  <si>
    <t>459 000 ₽</t>
  </si>
  <si>
    <t>2025-12-28</t>
  </si>
  <si>
    <t>289 000 ₽</t>
  </si>
  <si>
    <t>Москва, Пятницкое ш. (дублёр)</t>
  </si>
  <si>
    <t>143 900 ₽</t>
  </si>
  <si>
    <t>2026-01-21</t>
  </si>
  <si>
    <t>Пермский край</t>
  </si>
  <si>
    <t>Пермь</t>
  </si>
  <si>
    <t>Пермь, Екатерининская ул., 109А</t>
  </si>
  <si>
    <t>279 000 ₽</t>
  </si>
  <si>
    <t/>
  </si>
  <si>
    <t>Челябинская область</t>
  </si>
  <si>
    <t>Челябинск</t>
  </si>
  <si>
    <t>Челябинск, ул. Пушкина, 66</t>
  </si>
  <si>
    <t>274 000 ₽</t>
  </si>
  <si>
    <t>Омская область</t>
  </si>
  <si>
    <t>Омск</t>
  </si>
  <si>
    <t>Омск, пр-т Карла Маркса, 4</t>
  </si>
  <si>
    <t>359 000 ₽</t>
  </si>
  <si>
    <t>2025-12-29</t>
  </si>
  <si>
    <t>2026-01-13</t>
  </si>
  <si>
    <t>Москва, Калужско-Рижская линия</t>
  </si>
  <si>
    <t>1 282 899 ₽</t>
  </si>
  <si>
    <t>Краснодарский край</t>
  </si>
  <si>
    <t>Краснодар</t>
  </si>
  <si>
    <t>Краснодар, мкр-н Центральный, ул. Леваневского, 147</t>
  </si>
  <si>
    <t>Санкт-Петербург</t>
  </si>
  <si>
    <t>Санкт-Петербург, Невский пр-т, 28</t>
  </si>
  <si>
    <t>249 000 ₽</t>
  </si>
  <si>
    <t>2026-02-11</t>
  </si>
  <si>
    <t>2026-05-15</t>
  </si>
  <si>
    <t>199 900 ₽</t>
  </si>
  <si>
    <t>2026-02-08</t>
  </si>
  <si>
    <t>Ростовская область</t>
  </si>
  <si>
    <t>Ростов-на-Дону</t>
  </si>
  <si>
    <t>Ростов-на-Дону, Пушкинская ул., 45/71</t>
  </si>
  <si>
    <t>199 000 ₽</t>
  </si>
  <si>
    <t>Хабаровский край</t>
  </si>
  <si>
    <t>Хабаровск</t>
  </si>
  <si>
    <t>Хабаровск, ул. Дзержинского, 65</t>
  </si>
  <si>
    <t>269 000 ₽</t>
  </si>
  <si>
    <t>Москва, Большой Каменный мост</t>
  </si>
  <si>
    <t>2026-04-08</t>
  </si>
  <si>
    <t>2026-05-08</t>
  </si>
  <si>
    <t>Кемеровская область</t>
  </si>
  <si>
    <t>Кемерово</t>
  </si>
  <si>
    <t>Кемерово, пр-т Ленина, 78</t>
  </si>
  <si>
    <t>2026-07-08</t>
  </si>
  <si>
    <t>Калининградская область</t>
  </si>
  <si>
    <t>Калининград</t>
  </si>
  <si>
    <t>Калининград, ул. Багратиона, 49</t>
  </si>
  <si>
    <t>Дагестан</t>
  </si>
  <si>
    <t>Махачкала</t>
  </si>
  <si>
    <t>Махачкала, ул. Абубакарова, 12</t>
  </si>
  <si>
    <t>Воронежская область</t>
  </si>
  <si>
    <t>Воронеж</t>
  </si>
  <si>
    <t>Воронеж, Средне-Московская ул., 69</t>
  </si>
  <si>
    <t>Татарстан</t>
  </si>
  <si>
    <t>Набережные Челны</t>
  </si>
  <si>
    <t>Набережные Челны, пр-т Раиса Беляева, 12</t>
  </si>
  <si>
    <t>2026-05-06</t>
  </si>
  <si>
    <t>2026-06-05</t>
  </si>
  <si>
    <t>754 998 ₽</t>
  </si>
  <si>
    <t>2026-01-18</t>
  </si>
  <si>
    <t>Астраханская область</t>
  </si>
  <si>
    <t>Астрахань</t>
  </si>
  <si>
    <t>Астрахань, ул. Мусы Джалиля, 37</t>
  </si>
  <si>
    <t>Рязанская область</t>
  </si>
  <si>
    <t>Рязань</t>
  </si>
  <si>
    <t>Рязань, ул. Семёна Середы, 29</t>
  </si>
  <si>
    <t>Нижегородская область</t>
  </si>
  <si>
    <t>Нижний Новгород</t>
  </si>
  <si>
    <t>Нижний Новгород, Большая Покровская ул., 2А</t>
  </si>
  <si>
    <t>94 900 ₽</t>
  </si>
  <si>
    <t>189 000 ₽</t>
  </si>
  <si>
    <t>Краснодар, Красная ул., 122</t>
  </si>
  <si>
    <t>Казань</t>
  </si>
  <si>
    <t>Казань, ул. Баумана, 1</t>
  </si>
  <si>
    <t>Иркутская область</t>
  </si>
  <si>
    <t>Иркутск</t>
  </si>
  <si>
    <t>Иркутск, ул. Урицкого, 3</t>
  </si>
  <si>
    <t>Свердловская область</t>
  </si>
  <si>
    <t>Екатеринбург</t>
  </si>
  <si>
    <t>Екатеринбург, ул. Вайнера, 1</t>
  </si>
  <si>
    <t>Красноярский край</t>
  </si>
  <si>
    <t>Красноярск</t>
  </si>
  <si>
    <t>Красноярск, пр-т Мира, 10</t>
  </si>
  <si>
    <t>Новосибирская область</t>
  </si>
  <si>
    <t>Новосибирск</t>
  </si>
  <si>
    <t>Новосибирск, Красный пр-т, 1</t>
  </si>
  <si>
    <t>Тюменская область</t>
  </si>
  <si>
    <t>Тюмень</t>
  </si>
  <si>
    <t>Тюмень, ул. Николая Машарова, 2</t>
  </si>
  <si>
    <t>259 000 ₽</t>
  </si>
  <si>
    <t>Удмуртия</t>
  </si>
  <si>
    <t>Ижевск</t>
  </si>
  <si>
    <t>Ижевск, ул. Ленина, 9</t>
  </si>
  <si>
    <t>Тульская область</t>
  </si>
  <si>
    <t>Тула</t>
  </si>
  <si>
    <t>Тула, пр-т Ленина, 43</t>
  </si>
  <si>
    <t>Чувашия</t>
  </si>
  <si>
    <t>Чебоксары</t>
  </si>
  <si>
    <t>Чебоксары, ул. Карла Маркса, 47</t>
  </si>
  <si>
    <t>Алтайский край</t>
  </si>
  <si>
    <t>Барнаул</t>
  </si>
  <si>
    <t>Барнаул, пл. Победы, 6</t>
  </si>
  <si>
    <t>983 999 ₽</t>
  </si>
  <si>
    <t>2026-06-03</t>
  </si>
  <si>
    <t>194 900 ₽</t>
  </si>
  <si>
    <t>Кировская область</t>
  </si>
  <si>
    <t>Киров</t>
  </si>
  <si>
    <t>Киров, Московская ул., 98</t>
  </si>
  <si>
    <t>2026-01-22</t>
  </si>
  <si>
    <t>2026-05-04</t>
  </si>
  <si>
    <t>Томская область</t>
  </si>
  <si>
    <t>Томск</t>
  </si>
  <si>
    <t>Томск, Красноармейская ул., 44</t>
  </si>
  <si>
    <t>299 000 ₽</t>
  </si>
  <si>
    <t>Самарская область</t>
  </si>
  <si>
    <t>Самара</t>
  </si>
  <si>
    <t>Самара, Ленинградская ул., 30</t>
  </si>
  <si>
    <t>Ярославская область</t>
  </si>
  <si>
    <t>Ярославль</t>
  </si>
  <si>
    <t>Ярославль, ул. Свердлова, 74А</t>
  </si>
  <si>
    <t>Башкортостан</t>
  </si>
  <si>
    <t>Уфа</t>
  </si>
  <si>
    <t>Уфа, ул. Ленина, 50</t>
  </si>
  <si>
    <t>95 000 ₽</t>
  </si>
  <si>
    <t>2026-05-20</t>
  </si>
  <si>
    <t>Москва, пр. Воскресенские Ворота</t>
  </si>
  <si>
    <t>2026-04-17</t>
  </si>
  <si>
    <t>2026-05-17</t>
  </si>
  <si>
    <t>Липецкая область</t>
  </si>
  <si>
    <t>Липецк</t>
  </si>
  <si>
    <t>Липецк, Советская ул., 66</t>
  </si>
  <si>
    <t>Приморский край</t>
  </si>
  <si>
    <t>Владивосток</t>
  </si>
  <si>
    <t>Владивосток, ул. Прапорщика Комарова, 31А</t>
  </si>
  <si>
    <t>Оренбургская область</t>
  </si>
  <si>
    <t>Оренбург</t>
  </si>
  <si>
    <t>Оренбург, ул. Постникова, 27</t>
  </si>
  <si>
    <t>Волгоградская область</t>
  </si>
  <si>
    <t>Волгоград</t>
  </si>
  <si>
    <t>Волгоград, Комсомольская ул., 16</t>
  </si>
  <si>
    <t>Белгородская область</t>
  </si>
  <si>
    <t>Белгород</t>
  </si>
  <si>
    <t>Белгород, Гражданский пр-т, 47</t>
  </si>
  <si>
    <t>Москва, Юго-Западный административный округ, Академический район, 12-й квартал</t>
  </si>
  <si>
    <t>229 000 ₽</t>
  </si>
  <si>
    <t>Пензенская область</t>
  </si>
  <si>
    <t>Пенза</t>
  </si>
  <si>
    <t>Пенза, ул. Плеханова, 19</t>
  </si>
  <si>
    <t>Объявление удалено</t>
  </si>
  <si>
    <t>Саратовская область</t>
  </si>
  <si>
    <t>Саратов</t>
  </si>
  <si>
    <t>Саратов, Большая Казачья ул., 39</t>
  </si>
  <si>
    <t>Новокузнецк</t>
  </si>
  <si>
    <t>Новокузнецк, ул. Сеченова, 24</t>
  </si>
  <si>
    <t>Тверская область</t>
  </si>
  <si>
    <t>Тверь</t>
  </si>
  <si>
    <t>Тверь, Советская ул., 25</t>
  </si>
  <si>
    <t>Тольятти</t>
  </si>
  <si>
    <t>Тольятти, ул. Свердлова, 24А</t>
  </si>
  <si>
    <t>Томск, пр-т Ленина, 78</t>
  </si>
  <si>
    <t>Ульяновская область</t>
  </si>
  <si>
    <t>Ульяновск</t>
  </si>
  <si>
    <t>Ульяновск, Хлебозаводская ул., 3</t>
  </si>
  <si>
    <t>Сочи</t>
  </si>
  <si>
    <t>Сочи, мкр-н Центральный, Навагинская ул., 9</t>
  </si>
  <si>
    <t>Ульяновск, ул. Гончарова, 18</t>
  </si>
  <si>
    <t>Цена не указана</t>
  </si>
  <si>
    <t>Пермь, Комсомольский пр-т, 24</t>
  </si>
  <si>
    <t>Курская область</t>
  </si>
  <si>
    <t>Курск</t>
  </si>
  <si>
    <t>Курск, ул. Ленина, 11</t>
  </si>
  <si>
    <t>Саратов, пр-т имени Петра Столыпина, 27</t>
  </si>
  <si>
    <t>Тула, пр-т Ленина, 85</t>
  </si>
  <si>
    <t>Иркутск, ул. Карла Маркса, 15</t>
  </si>
  <si>
    <t>Липецк, ул. Зегеля, 1</t>
  </si>
  <si>
    <t>Москва, Садовая-Сухаревская ул., 11</t>
  </si>
  <si>
    <t>Калининград, Ленинский пр-т, 30</t>
  </si>
  <si>
    <t>Хабаровск, ул. Муравьёва-Амурского, 23</t>
  </si>
  <si>
    <t>2025-12-19</t>
  </si>
  <si>
    <t>Ивановская область</t>
  </si>
  <si>
    <t>Иваново</t>
  </si>
  <si>
    <t>Иваново, пр-т Ленина, 20</t>
  </si>
  <si>
    <t>109 000 ₽</t>
  </si>
  <si>
    <t>Кемерово, Советский пр-т, 35</t>
  </si>
  <si>
    <t>Воронеж, пр-т Революции, 20</t>
  </si>
  <si>
    <t>Владивосток, Светланская ул., 37</t>
  </si>
  <si>
    <t>Архангельская область</t>
  </si>
  <si>
    <t>Архангельск</t>
  </si>
  <si>
    <t>Архангельск, Троицкий пр-т, 52</t>
  </si>
  <si>
    <t>Рязань, Соборная ул., 12</t>
  </si>
  <si>
    <t>Москва, пр-т Академика Сахарова</t>
  </si>
  <si>
    <t>Ярославль, ул. Свободы, 14</t>
  </si>
  <si>
    <t>Москва, ул. Новый Арбат</t>
  </si>
  <si>
    <t>Челябинск, ул. Кирова, 104</t>
  </si>
  <si>
    <t>Тюмень, ул. Республики, 58</t>
  </si>
  <si>
    <t>Москва, Тверская ул., 1</t>
  </si>
  <si>
    <t>Ижевск, Пушкинская ул., 266</t>
  </si>
  <si>
    <t>Барнаул, пр-т Ленина, 44</t>
  </si>
  <si>
    <t>Омск, ул. Ленина, 18</t>
  </si>
  <si>
    <t>Волгоград, пр-т имени В.И. Ленина, 10</t>
  </si>
  <si>
    <t>Красноярск, пр-т Мира, 94</t>
  </si>
  <si>
    <t>Москва, Смоленский б-р</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</si>
</sst>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J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14"/>
    <col customWidth="true" max="19" min="19" width="20"/>
    <col customWidth="true" max="20" min="20" width="24"/>
    <col customWidth="true" max="21" min="21" width="41"/>
    <col customWidth="true" max="22" min="22" width="35"/>
    <col customWidth="true" max="23" min="23" width="27"/>
    <col customWidth="true" max="24" min="24" width="26"/>
    <col customWidth="true" max="25" min="25" width="49"/>
    <col customWidth="true" max="26" min="26" width="22"/>
    <col customWidth="true" max="27" min="27" width="34"/>
    <col customWidth="true" max="28" min="28" width="24"/>
    <col customWidth="true" max="29" min="29" width="36"/>
    <col customWidth="true" max="30" min="30" width="27"/>
    <col customWidth="true" max="31" min="31" width="35"/>
    <col customWidth="true" max="32" min="32" width="46"/>
    <col customWidth="true" max="33" min="33" width="28"/>
    <col customWidth="true" max="34" min="34" width="23"/>
    <col customWidth="true" max="35" min="35"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tr">
        <f>HYPERLINK("https://www.avito.ru/moskva/bytovaya_elektronika/3d_printer_h2d_combo_ams_2_pro_cn_8053455118","8053455118")</f>
      </c>
      <c r="B2" t="s">
        <v>35</v>
      </c>
      <c r="C2" t="s">
        <v>36</v>
      </c>
      <c r="D2" t="s">
        <v>37</v>
      </c>
      <c r="E2" t="s">
        <v>38</v>
      </c>
      <c r="F2" t="s">
        <v>39</v>
      </c>
      <c r="G2" t="s">
        <v>40</v>
      </c>
      <c r="H2" s="3" t="str">
        <f>HYPERLINK("https://www.avito.ru/moskva/bytovaya_elektronika/3d_printer_h2d_combo_ams_2_pro_cn_8053455118","3Д принтер H2D Combo AMS 2 Pro CN")</f>
      </c>
      <c r="I2" t="s">
        <v>41</v>
      </c>
      <c r="J2" t="s">
        <v>42</v>
      </c>
      <c r="K2" t="s">
        <v>43</v>
      </c>
      <c r="L2">
        <v>50</v>
      </c>
      <c r="M2">
        <v>3952</v>
      </c>
      <c r="N2" s="4">
        <v>0.2467</v>
      </c>
      <c r="O2">
        <v>975</v>
      </c>
      <c r="P2" s="5">
        <v>0.08</v>
      </c>
      <c r="Q2" s="4">
        <v>0.0082</v>
      </c>
      <c r="R2">
        <v>8</v>
      </c>
      <c r="S2">
        <v>8</v>
      </c>
      <c r="T2">
        <v>0</v>
      </c>
      <c r="U2">
        <v>0</v>
      </c>
      <c r="V2">
        <v>0</v>
      </c>
      <c r="W2" s="5">
        <v>10.62</v>
      </c>
      <c r="X2">
        <v>81</v>
      </c>
      <c r="Y2" s="4">
        <v>0</v>
      </c>
      <c r="Z2">
        <v>0</v>
      </c>
      <c r="AA2" s="5">
        <v>0</v>
      </c>
      <c r="AB2">
        <v>0</v>
      </c>
      <c r="AC2" s="5">
        <v>0</v>
      </c>
      <c r="AD2" s="5">
        <v>85</v>
      </c>
      <c r="AE2" s="5">
        <v>0</v>
      </c>
      <c r="AF2" s="5">
        <v>85</v>
      </c>
      <c r="AG2" s="5">
        <v>0</v>
      </c>
      <c r="AH2" s="5">
        <v>0</v>
      </c>
      <c r="AI2" s="5">
        <v>0</v>
      </c>
    </row>
    <row r="3">
      <c r="A3" s="2" t="str">
        <f>HYPERLINK("https://www.avito.ru/moskva/bytovaya_elektronika/3d_printer_bolshoy_dowell_dowell_dm10-18plus_7861145324","7861145324")</f>
      </c>
      <c r="B3" t="s">
        <v>35</v>
      </c>
      <c r="C3" t="s">
        <v>36</v>
      </c>
      <c r="D3" t="s">
        <v>44</v>
      </c>
      <c r="E3" t="s">
        <v>38</v>
      </c>
      <c r="F3" t="s">
        <v>39</v>
      </c>
      <c r="G3" t="s">
        <v>40</v>
      </c>
      <c r="H3" s="3" t="str">
        <f>HYPERLINK("https://www.avito.ru/moskva/bytovaya_elektronika/3d_printer_bolshoy_dowell_dowell_dm10-18plus_7861145324","3Д принтер большой DoWell DoWell DM10-18Plus")</f>
      </c>
      <c r="I3" t="s">
        <v>45</v>
      </c>
      <c r="J3" t="s">
        <v>46</v>
      </c>
      <c r="K3" t="s">
        <v>47</v>
      </c>
      <c r="L3">
        <v>163</v>
      </c>
      <c r="M3">
        <v>2318</v>
      </c>
      <c r="N3" s="4">
        <v>0.2739</v>
      </c>
      <c r="O3">
        <v>635</v>
      </c>
      <c r="P3" s="5">
        <v>0.89</v>
      </c>
      <c r="Q3" s="4">
        <v>0.0062</v>
      </c>
      <c r="R3">
        <v>4</v>
      </c>
      <c r="S3">
        <v>4</v>
      </c>
      <c r="T3">
        <v>0</v>
      </c>
      <c r="U3">
        <v>0</v>
      </c>
      <c r="V3">
        <v>0</v>
      </c>
      <c r="W3" s="5">
        <v>142.1</v>
      </c>
      <c r="X3">
        <v>83</v>
      </c>
      <c r="Y3" s="4">
        <v>0</v>
      </c>
      <c r="Z3">
        <v>0</v>
      </c>
      <c r="AA3" s="5">
        <v>0</v>
      </c>
      <c r="AB3">
        <v>0</v>
      </c>
      <c r="AC3" s="5">
        <v>0</v>
      </c>
      <c r="AD3" s="5">
        <v>568.4</v>
      </c>
      <c r="AE3" s="5">
        <v>0</v>
      </c>
      <c r="AF3" s="5">
        <v>78.4</v>
      </c>
      <c r="AG3" s="5">
        <v>490</v>
      </c>
      <c r="AH3" s="5">
        <v>0</v>
      </c>
      <c r="AI3" s="5">
        <v>0</v>
      </c>
    </row>
    <row r="4">
      <c r="A4" s="2" t="str">
        <f>HYPERLINK("https://www.avito.ru/moskva/bytovaya_elektronika/bambu_lab_h2s_combo_ams_2_pro_1000mms_8053435188","8053435188")</f>
      </c>
      <c r="B4" t="s">
        <v>35</v>
      </c>
      <c r="C4" t="s">
        <v>36</v>
      </c>
      <c r="D4" t="s">
        <v>37</v>
      </c>
      <c r="E4" t="s">
        <v>38</v>
      </c>
      <c r="F4" t="s">
        <v>39</v>
      </c>
      <c r="G4" t="s">
        <v>40</v>
      </c>
      <c r="H4" s="3" t="str">
        <f>HYPERLINK("https://www.avito.ru/moskva/bytovaya_elektronika/bambu_lab_h2s_combo_ams_2_pro_1000mms_8053435188","Bambu Lab H2S Combo AMS 2 PRO 1000mm/s")</f>
      </c>
      <c r="I4" t="s">
        <v>48</v>
      </c>
      <c r="J4" t="s">
        <v>49</v>
      </c>
      <c r="K4" t="s">
        <v>50</v>
      </c>
      <c r="L4">
        <v>52</v>
      </c>
      <c r="M4">
        <v>2834</v>
      </c>
      <c r="N4" s="4">
        <v>0.1937</v>
      </c>
      <c r="O4">
        <v>549</v>
      </c>
      <c r="P4" s="5">
        <v>0.15</v>
      </c>
      <c r="Q4" s="4">
        <v>0.0109</v>
      </c>
      <c r="R4">
        <v>6</v>
      </c>
      <c r="S4">
        <v>6</v>
      </c>
      <c r="T4">
        <v>0</v>
      </c>
      <c r="U4">
        <v>0</v>
      </c>
      <c r="V4">
        <v>0</v>
      </c>
      <c r="W4" s="5">
        <v>14.16</v>
      </c>
      <c r="X4">
        <v>72</v>
      </c>
      <c r="Y4" s="4">
        <v>0</v>
      </c>
      <c r="Z4">
        <v>0</v>
      </c>
      <c r="AA4" s="5">
        <v>0</v>
      </c>
      <c r="AB4">
        <v>0</v>
      </c>
      <c r="AC4" s="5">
        <v>0</v>
      </c>
      <c r="AD4" s="5">
        <v>85</v>
      </c>
      <c r="AE4" s="5">
        <v>0</v>
      </c>
      <c r="AF4" s="5">
        <v>85</v>
      </c>
      <c r="AG4" s="5">
        <v>0</v>
      </c>
      <c r="AH4" s="5">
        <v>0</v>
      </c>
      <c r="AI4" s="5">
        <v>0</v>
      </c>
    </row>
    <row r="5">
      <c r="A5" s="2" t="str">
        <f>HYPERLINK("https://www.avito.ru/moskva/bytovaya_elektronika/3d-printer_bolshoy_fdm_dowell_dm6-8plus_7861315997","7861315997")</f>
      </c>
      <c r="B5" t="s">
        <v>35</v>
      </c>
      <c r="C5" t="s">
        <v>36</v>
      </c>
      <c r="D5" t="s">
        <v>44</v>
      </c>
      <c r="E5" t="s">
        <v>38</v>
      </c>
      <c r="F5" t="s">
        <v>39</v>
      </c>
      <c r="G5" t="s">
        <v>40</v>
      </c>
      <c r="H5" s="3" t="str">
        <f>HYPERLINK("https://www.avito.ru/moskva/bytovaya_elektronika/3d-printer_bolshoy_fdm_dowell_dm6-8plus_7861315997","3D-принтер большой (FDM) DoWell DM6-8Plus")</f>
      </c>
      <c r="I5" t="s">
        <v>51</v>
      </c>
      <c r="J5" t="s">
        <v>52</v>
      </c>
      <c r="K5" t="s">
        <v>53</v>
      </c>
      <c r="L5">
        <v>166</v>
      </c>
      <c r="M5">
        <v>1772</v>
      </c>
      <c r="N5" s="4">
        <v>0.2759</v>
      </c>
      <c r="O5">
        <v>489</v>
      </c>
      <c r="P5" s="5">
        <v>1.09</v>
      </c>
      <c r="Q5" s="4">
        <v>0.0122</v>
      </c>
      <c r="R5">
        <v>6</v>
      </c>
      <c r="S5">
        <v>6</v>
      </c>
      <c r="T5">
        <v>0</v>
      </c>
      <c r="U5">
        <v>0</v>
      </c>
      <c r="V5">
        <v>0</v>
      </c>
      <c r="W5" s="5">
        <v>89.49</v>
      </c>
      <c r="X5">
        <v>40</v>
      </c>
      <c r="Y5" s="4">
        <v>0</v>
      </c>
      <c r="Z5">
        <v>0</v>
      </c>
      <c r="AA5" s="5">
        <v>0</v>
      </c>
      <c r="AB5">
        <v>0</v>
      </c>
      <c r="AC5" s="5">
        <v>0</v>
      </c>
      <c r="AD5" s="5">
        <v>536.95</v>
      </c>
      <c r="AE5" s="5">
        <v>0</v>
      </c>
      <c r="AF5" s="5">
        <v>46.95</v>
      </c>
      <c r="AG5" s="5">
        <v>490</v>
      </c>
      <c r="AH5" s="5">
        <v>0</v>
      </c>
      <c r="AI5" s="5">
        <v>0</v>
      </c>
    </row>
    <row r="6">
      <c r="A6" s="2" t="str">
        <f>HYPERLINK("https://www.avito.ru/moskva/bytovaya_elektronika/3d_printer_promyshlennyy_dowell_dm-10-8_7829627106","7829627106")</f>
      </c>
      <c r="B6" t="s">
        <v>35</v>
      </c>
      <c r="C6" t="s">
        <v>36</v>
      </c>
      <c r="D6" t="s">
        <v>54</v>
      </c>
      <c r="E6" t="s">
        <v>38</v>
      </c>
      <c r="F6" t="s">
        <v>39</v>
      </c>
      <c r="G6" t="s">
        <v>40</v>
      </c>
      <c r="H6" s="3" t="str">
        <f>HYPERLINK("https://www.avito.ru/moskva/bytovaya_elektronika/3d_printer_promyshlennyy_dowell_dm-10-8_7829627106","3D принтер промышленный dowell DM-10-8")</f>
      </c>
      <c r="I6" t="s">
        <v>55</v>
      </c>
      <c r="J6" t="s">
        <v>56</v>
      </c>
      <c r="K6" t="s">
        <v>47</v>
      </c>
      <c r="L6">
        <v>180</v>
      </c>
      <c r="M6">
        <v>2173</v>
      </c>
      <c r="N6" s="4">
        <v>0.2153</v>
      </c>
      <c r="O6">
        <v>468</v>
      </c>
      <c r="P6" s="5">
        <v>0.16</v>
      </c>
      <c r="Q6" s="4">
        <v>0.017</v>
      </c>
      <c r="R6">
        <v>8</v>
      </c>
      <c r="S6">
        <v>5</v>
      </c>
      <c r="T6">
        <v>1</v>
      </c>
      <c r="U6">
        <v>2</v>
      </c>
      <c r="V6">
        <v>0</v>
      </c>
      <c r="W6" s="5">
        <v>9.8</v>
      </c>
      <c r="X6">
        <v>63</v>
      </c>
      <c r="Y6" s="4">
        <v>0</v>
      </c>
      <c r="Z6">
        <v>0</v>
      </c>
      <c r="AA6" s="5">
        <v>0</v>
      </c>
      <c r="AB6">
        <v>0</v>
      </c>
      <c r="AC6" s="5">
        <v>0</v>
      </c>
      <c r="AD6" s="5">
        <v>78.4</v>
      </c>
      <c r="AE6" s="5">
        <v>0</v>
      </c>
      <c r="AF6" s="5">
        <v>78.4</v>
      </c>
      <c r="AG6" s="5">
        <v>0</v>
      </c>
      <c r="AH6" s="5">
        <v>0</v>
      </c>
      <c r="AI6" s="5">
        <v>0</v>
      </c>
    </row>
    <row r="7">
      <c r="A7" s="2" t="str">
        <f>HYPERLINK("https://www.avito.ru/moskva/bytovaya_elektronika/3d_printer_bambu_lab_h2d_laser_40w_eu_8053165493","8053165493")</f>
      </c>
      <c r="B7" t="s">
        <v>35</v>
      </c>
      <c r="C7" t="s">
        <v>36</v>
      </c>
      <c r="D7" t="s">
        <v>37</v>
      </c>
      <c r="E7" t="s">
        <v>38</v>
      </c>
      <c r="F7" t="s">
        <v>39</v>
      </c>
      <c r="G7" t="s">
        <v>40</v>
      </c>
      <c r="H7" s="3" t="str">
        <f>HYPERLINK("https://www.avito.ru/moskva/bytovaya_elektronika/3d_printer_bambu_lab_h2d_laser_40w_eu_8053165493","3Д принтер Bambu Lab H2D Laser 40W EU")</f>
      </c>
      <c r="I7" t="s">
        <v>57</v>
      </c>
      <c r="J7" t="s">
        <v>42</v>
      </c>
      <c r="K7" t="s">
        <v>43</v>
      </c>
      <c r="L7">
        <v>50</v>
      </c>
      <c r="M7">
        <v>990</v>
      </c>
      <c r="N7" s="4">
        <v>0.2616</v>
      </c>
      <c r="O7">
        <v>259</v>
      </c>
      <c r="P7" s="5">
        <v>0.32</v>
      </c>
      <c r="Q7" s="4">
        <v>0.0193</v>
      </c>
      <c r="R7">
        <v>5</v>
      </c>
      <c r="S7">
        <v>5</v>
      </c>
      <c r="T7">
        <v>0</v>
      </c>
      <c r="U7">
        <v>0</v>
      </c>
      <c r="V7">
        <v>0</v>
      </c>
      <c r="W7" s="5">
        <v>17</v>
      </c>
      <c r="X7">
        <v>27</v>
      </c>
      <c r="Y7" s="4">
        <v>0</v>
      </c>
      <c r="Z7">
        <v>0</v>
      </c>
      <c r="AA7" s="5">
        <v>0</v>
      </c>
      <c r="AB7">
        <v>0</v>
      </c>
      <c r="AC7" s="5">
        <v>0</v>
      </c>
      <c r="AD7" s="5">
        <v>85</v>
      </c>
      <c r="AE7" s="5">
        <v>0</v>
      </c>
      <c r="AF7" s="5">
        <v>85</v>
      </c>
      <c r="AG7" s="5">
        <v>0</v>
      </c>
      <c r="AH7" s="5">
        <v>0</v>
      </c>
      <c r="AI7" s="5">
        <v>0</v>
      </c>
    </row>
    <row r="8">
      <c r="A8" s="2" t="str">
        <f>HYPERLINK("https://www.avito.ru/moskva/bytovaya_elektronika/3d_printer_bambu_lab_h2s_combo_ams_2_pro_7861541793","7861541793")</f>
      </c>
      <c r="B8" t="s">
        <v>35</v>
      </c>
      <c r="C8" t="s">
        <v>36</v>
      </c>
      <c r="D8" t="s">
        <v>58</v>
      </c>
      <c r="E8" t="s">
        <v>38</v>
      </c>
      <c r="F8" t="s">
        <v>39</v>
      </c>
      <c r="G8" t="s">
        <v>40</v>
      </c>
      <c r="H8" s="3" t="str">
        <f>HYPERLINK("https://www.avito.ru/moskva/bytovaya_elektronika/3d_printer_bambu_lab_h2s_combo_ams_2_pro_7861541793","3D принтер Bambu Lab H2S combo AMS 2 PRO")</f>
      </c>
      <c r="I8" t="s">
        <v>59</v>
      </c>
      <c r="J8" t="s">
        <v>60</v>
      </c>
      <c r="K8" t="s">
        <v>47</v>
      </c>
      <c r="L8">
        <v>156</v>
      </c>
      <c r="M8">
        <v>1101</v>
      </c>
      <c r="N8" s="4">
        <v>0.2288</v>
      </c>
      <c r="O8">
        <v>252</v>
      </c>
      <c r="P8" s="5">
        <v>2.25</v>
      </c>
      <c r="Q8" s="4">
        <v>0.0317</v>
      </c>
      <c r="R8">
        <v>8</v>
      </c>
      <c r="S8">
        <v>8</v>
      </c>
      <c r="T8">
        <v>0</v>
      </c>
      <c r="U8">
        <v>0</v>
      </c>
      <c r="V8">
        <v>0</v>
      </c>
      <c r="W8" s="5">
        <v>71.05</v>
      </c>
      <c r="X8">
        <v>22</v>
      </c>
      <c r="Y8" s="4">
        <v>0.0039</v>
      </c>
      <c r="Z8">
        <v>1</v>
      </c>
      <c r="AA8" s="5">
        <v>138734</v>
      </c>
      <c r="AB8">
        <v>0</v>
      </c>
      <c r="AC8" s="5">
        <v>0</v>
      </c>
      <c r="AD8" s="5">
        <v>568.4</v>
      </c>
      <c r="AE8" s="5">
        <v>0</v>
      </c>
      <c r="AF8" s="5">
        <v>78.4</v>
      </c>
      <c r="AG8" s="5">
        <v>490</v>
      </c>
      <c r="AH8" s="5">
        <v>0</v>
      </c>
      <c r="AI8" s="5">
        <v>0</v>
      </c>
    </row>
    <row r="9">
      <c r="A9" s="2" t="str">
        <f>HYPERLINK("https://www.avito.ru/perm/bytovaya_elektronika/ogromnyy_3d_printer_elegoo_giga_storm_800mm_dlya_biznesa_8053564047","8053564047")</f>
      </c>
      <c r="B9" t="s">
        <v>61</v>
      </c>
      <c r="C9" t="s">
        <v>62</v>
      </c>
      <c r="D9" t="s">
        <v>63</v>
      </c>
      <c r="E9" t="s">
        <v>38</v>
      </c>
      <c r="F9" t="s">
        <v>39</v>
      </c>
      <c r="G9" t="s">
        <v>40</v>
      </c>
      <c r="H9" s="3" t="str">
        <f>HYPERLINK("https://www.avito.ru/perm/bytovaya_elektronika/ogromnyy_3d_printer_elegoo_giga_storm_800mm_dlya_biznesa_8053564047","Огромный 3D принтер Elegoo Giga Storm 800мм для бизнеса")</f>
      </c>
      <c r="I9" t="s">
        <v>64</v>
      </c>
      <c r="J9" t="s">
        <v>42</v>
      </c>
      <c r="K9" t="s">
        <v>43</v>
      </c>
      <c r="L9">
        <v>50</v>
      </c>
      <c r="M9">
        <v>912</v>
      </c>
      <c r="N9" s="4">
        <v>0.251</v>
      </c>
      <c r="O9">
        <v>229</v>
      </c>
      <c r="P9" s="5">
        <v>0.24</v>
      </c>
      <c r="Q9" s="4">
        <v>0</v>
      </c>
      <c r="R9">
        <v>0</v>
      </c>
      <c r="S9">
        <v>0</v>
      </c>
      <c r="T9">
        <v>0</v>
      </c>
      <c r="U9">
        <v>0</v>
      </c>
      <c r="V9">
        <v>0</v>
      </c>
      <c r="W9" s="5" t="s">
        <v>65</v>
      </c>
      <c r="X9">
        <v>23</v>
      </c>
      <c r="Y9" s="4">
        <v>0</v>
      </c>
      <c r="Z9">
        <v>0</v>
      </c>
      <c r="AA9" s="5">
        <v>0</v>
      </c>
      <c r="AB9">
        <v>0</v>
      </c>
      <c r="AC9" s="5">
        <v>0</v>
      </c>
      <c r="AD9" s="5">
        <v>56</v>
      </c>
      <c r="AE9" s="5">
        <v>0</v>
      </c>
      <c r="AF9" s="5">
        <v>56</v>
      </c>
      <c r="AG9" s="5">
        <v>0</v>
      </c>
      <c r="AH9" s="5">
        <v>0</v>
      </c>
      <c r="AI9" s="5">
        <v>0</v>
      </c>
    </row>
    <row r="10">
      <c r="A10" s="2" t="str">
        <f>HYPERLINK("https://www.avito.ru/chelyabinsk/bytovaya_elektronika/elegoo_giga_storm_3d_printer_gigant_8053417081","8053417081")</f>
      </c>
      <c r="B10" t="s">
        <v>66</v>
      </c>
      <c r="C10" t="s">
        <v>67</v>
      </c>
      <c r="D10" t="s">
        <v>68</v>
      </c>
      <c r="E10" t="s">
        <v>38</v>
      </c>
      <c r="F10" t="s">
        <v>39</v>
      </c>
      <c r="G10" t="s">
        <v>40</v>
      </c>
      <c r="H10" s="3" t="str">
        <f>HYPERLINK("https://www.avito.ru/chelyabinsk/bytovaya_elektronika/elegoo_giga_storm_3d_printer_gigant_8053417081","Elegoo Giga Storm 3D принтер (гигант)")</f>
      </c>
      <c r="I10" t="s">
        <v>64</v>
      </c>
      <c r="J10" t="s">
        <v>42</v>
      </c>
      <c r="K10" t="s">
        <v>43</v>
      </c>
      <c r="L10">
        <v>50</v>
      </c>
      <c r="M10">
        <v>885</v>
      </c>
      <c r="N10" s="4">
        <v>0.244</v>
      </c>
      <c r="O10">
        <v>216</v>
      </c>
      <c r="P10" s="5">
        <v>0.25</v>
      </c>
      <c r="Q10" s="4">
        <v>0</v>
      </c>
      <c r="R10">
        <v>0</v>
      </c>
      <c r="S10">
        <v>0</v>
      </c>
      <c r="T10">
        <v>0</v>
      </c>
      <c r="U10">
        <v>0</v>
      </c>
      <c r="V10">
        <v>0</v>
      </c>
      <c r="W10" s="5" t="s">
        <v>65</v>
      </c>
      <c r="X10">
        <v>19</v>
      </c>
      <c r="Y10" s="4">
        <v>0</v>
      </c>
      <c r="Z10">
        <v>0</v>
      </c>
      <c r="AA10" s="5">
        <v>0</v>
      </c>
      <c r="AB10">
        <v>0</v>
      </c>
      <c r="AC10" s="5">
        <v>0</v>
      </c>
      <c r="AD10" s="5">
        <v>56</v>
      </c>
      <c r="AE10" s="5">
        <v>0</v>
      </c>
      <c r="AF10" s="5">
        <v>56</v>
      </c>
      <c r="AG10" s="5">
        <v>0</v>
      </c>
      <c r="AH10" s="5">
        <v>0</v>
      </c>
      <c r="AI10" s="5">
        <v>0</v>
      </c>
    </row>
    <row r="11">
      <c r="A11" s="2" t="str">
        <f>HYPERLINK("https://www.avito.ru/moskva/bytovaya_elektronika/3d-printer_bambu_lab_h2c_laser_full_combo_eu_8053761857","8053761857")</f>
      </c>
      <c r="B11" t="s">
        <v>35</v>
      </c>
      <c r="C11" t="s">
        <v>36</v>
      </c>
      <c r="D11" t="s">
        <v>37</v>
      </c>
      <c r="E11" t="s">
        <v>38</v>
      </c>
      <c r="F11" t="s">
        <v>39</v>
      </c>
      <c r="G11" t="s">
        <v>40</v>
      </c>
      <c r="H11" s="3" t="str">
        <f>HYPERLINK("https://www.avito.ru/moskva/bytovaya_elektronika/3d-printer_bambu_lab_h2c_laser_full_combo_eu_8053761857","3D-принтер Bambu Lab H2C Laser Full Combo EU")</f>
      </c>
      <c r="I11" t="s">
        <v>69</v>
      </c>
      <c r="J11" t="s">
        <v>49</v>
      </c>
      <c r="K11" t="s">
        <v>50</v>
      </c>
      <c r="L11">
        <v>52</v>
      </c>
      <c r="M11">
        <v>721</v>
      </c>
      <c r="N11" s="4">
        <v>0.2843</v>
      </c>
      <c r="O11">
        <v>205</v>
      </c>
      <c r="P11" s="5">
        <v>0.41</v>
      </c>
      <c r="Q11" s="4">
        <v>0.0341</v>
      </c>
      <c r="R11">
        <v>7</v>
      </c>
      <c r="S11">
        <v>6</v>
      </c>
      <c r="T11">
        <v>1</v>
      </c>
      <c r="U11">
        <v>0</v>
      </c>
      <c r="V11">
        <v>0</v>
      </c>
      <c r="W11" s="5">
        <v>12.14</v>
      </c>
      <c r="X11">
        <v>22</v>
      </c>
      <c r="Y11" s="4">
        <v>0</v>
      </c>
      <c r="Z11">
        <v>0</v>
      </c>
      <c r="AA11" s="5">
        <v>0</v>
      </c>
      <c r="AB11">
        <v>0</v>
      </c>
      <c r="AC11" s="5">
        <v>0</v>
      </c>
      <c r="AD11" s="5">
        <v>85</v>
      </c>
      <c r="AE11" s="5">
        <v>0</v>
      </c>
      <c r="AF11" s="5">
        <v>85</v>
      </c>
      <c r="AG11" s="5">
        <v>0</v>
      </c>
      <c r="AH11" s="5">
        <v>0</v>
      </c>
      <c r="AI11" s="5">
        <v>0</v>
      </c>
    </row>
    <row r="12">
      <c r="A12" s="2" t="str">
        <f>HYPERLINK("https://www.avito.ru/omsk/bytovaya_elektronika/3d_printer_elegoo_giga_storm_original_8053202241","8053202241")</f>
      </c>
      <c r="B12" t="s">
        <v>70</v>
      </c>
      <c r="C12" t="s">
        <v>71</v>
      </c>
      <c r="D12" t="s">
        <v>72</v>
      </c>
      <c r="E12" t="s">
        <v>38</v>
      </c>
      <c r="F12" t="s">
        <v>39</v>
      </c>
      <c r="G12" t="s">
        <v>40</v>
      </c>
      <c r="H12" s="3" t="str">
        <f>HYPERLINK("https://www.avito.ru/omsk/bytovaya_elektronika/3d_printer_elegoo_giga_storm_original_8053202241","3Д принтер Elegoo Giga Storm оригинал")</f>
      </c>
      <c r="I12" t="s">
        <v>64</v>
      </c>
      <c r="J12" t="s">
        <v>42</v>
      </c>
      <c r="K12" t="s">
        <v>43</v>
      </c>
      <c r="L12">
        <v>50</v>
      </c>
      <c r="M12">
        <v>1427</v>
      </c>
      <c r="N12" s="4">
        <v>0.1359</v>
      </c>
      <c r="O12">
        <v>194</v>
      </c>
      <c r="P12" s="5">
        <v>0.28</v>
      </c>
      <c r="Q12" s="4">
        <v>0.0051</v>
      </c>
      <c r="R12">
        <v>1</v>
      </c>
      <c r="S12">
        <v>1</v>
      </c>
      <c r="T12">
        <v>0</v>
      </c>
      <c r="U12">
        <v>0</v>
      </c>
      <c r="V12">
        <v>0</v>
      </c>
      <c r="W12" s="5">
        <v>56</v>
      </c>
      <c r="X12">
        <v>13</v>
      </c>
      <c r="Y12" s="4">
        <v>0</v>
      </c>
      <c r="Z12">
        <v>0</v>
      </c>
      <c r="AA12" s="5">
        <v>0</v>
      </c>
      <c r="AB12">
        <v>0</v>
      </c>
      <c r="AC12" s="5">
        <v>0</v>
      </c>
      <c r="AD12" s="5">
        <v>56</v>
      </c>
      <c r="AE12" s="5">
        <v>0</v>
      </c>
      <c r="AF12" s="5">
        <v>56</v>
      </c>
      <c r="AG12" s="5">
        <v>0</v>
      </c>
      <c r="AH12" s="5">
        <v>0</v>
      </c>
      <c r="AI12" s="5">
        <v>0</v>
      </c>
    </row>
    <row r="13">
      <c r="A13" s="2" t="str">
        <f>HYPERLINK("https://www.avito.ru/moskva/bytovaya_elektronika/3d_printer_promyshlennyy_dowell_dm-8_800800800_7829120103","7829120103")</f>
      </c>
      <c r="B13" t="s">
        <v>35</v>
      </c>
      <c r="C13" t="s">
        <v>36</v>
      </c>
      <c r="D13" t="s">
        <v>54</v>
      </c>
      <c r="E13" t="s">
        <v>38</v>
      </c>
      <c r="F13" t="s">
        <v>39</v>
      </c>
      <c r="G13" t="s">
        <v>40</v>
      </c>
      <c r="H13" s="3" t="str">
        <f>HYPERLINK("https://www.avito.ru/moskva/bytovaya_elektronika/3d_printer_promyshlennyy_dowell_dm-8_800800800_7829120103","3Д принтер промышленный DoWell DM-8 800*800*800")</f>
      </c>
      <c r="I13" t="s">
        <v>73</v>
      </c>
      <c r="J13" t="s">
        <v>74</v>
      </c>
      <c r="K13" t="s">
        <v>53</v>
      </c>
      <c r="L13">
        <v>179</v>
      </c>
      <c r="M13">
        <v>684</v>
      </c>
      <c r="N13" s="4">
        <v>0.2763</v>
      </c>
      <c r="O13">
        <v>189</v>
      </c>
      <c r="P13" s="5">
        <v>0.24</v>
      </c>
      <c r="Q13" s="4">
        <v>0.0052</v>
      </c>
      <c r="R13">
        <v>1</v>
      </c>
      <c r="S13">
        <v>1</v>
      </c>
      <c r="T13">
        <v>0</v>
      </c>
      <c r="U13">
        <v>0</v>
      </c>
      <c r="V13">
        <v>0</v>
      </c>
      <c r="W13" s="5">
        <v>46.95</v>
      </c>
      <c r="X13">
        <v>21</v>
      </c>
      <c r="Y13" s="4">
        <v>0</v>
      </c>
      <c r="Z13">
        <v>0</v>
      </c>
      <c r="AA13" s="5">
        <v>0</v>
      </c>
      <c r="AB13">
        <v>0</v>
      </c>
      <c r="AC13" s="5">
        <v>0</v>
      </c>
      <c r="AD13" s="5">
        <v>46.95</v>
      </c>
      <c r="AE13" s="5">
        <v>0</v>
      </c>
      <c r="AF13" s="5">
        <v>46.95</v>
      </c>
      <c r="AG13" s="5">
        <v>0</v>
      </c>
      <c r="AH13" s="5">
        <v>0</v>
      </c>
      <c r="AI13" s="5">
        <v>0</v>
      </c>
    </row>
    <row r="14">
      <c r="A14" s="2" t="str">
        <f>HYPERLINK("https://www.avito.ru/moskva/bytovaya_elektronika/3d-_printer_cn_bambu_lab_h2d_combo_ams_7861277713","7861277713")</f>
      </c>
      <c r="B14" t="s">
        <v>35</v>
      </c>
      <c r="C14" t="s">
        <v>36</v>
      </c>
      <c r="D14" t="s">
        <v>44</v>
      </c>
      <c r="E14" t="s">
        <v>38</v>
      </c>
      <c r="F14" t="s">
        <v>39</v>
      </c>
      <c r="G14" t="s">
        <v>40</v>
      </c>
      <c r="H14" s="3" t="str">
        <f>HYPERLINK("https://www.avito.ru/moskva/bytovaya_elektronika/3d-_printer_cn_bambu_lab_h2d_combo_ams_7861277713","3Д- принтер CN Bambu Lab H2D Combo AMS")</f>
      </c>
      <c r="I14" t="s">
        <v>41</v>
      </c>
      <c r="J14" t="s">
        <v>75</v>
      </c>
      <c r="K14" t="s">
        <v>47</v>
      </c>
      <c r="L14">
        <v>164</v>
      </c>
      <c r="M14">
        <v>625</v>
      </c>
      <c r="N14" s="4">
        <v>0.2864</v>
      </c>
      <c r="O14">
        <v>179</v>
      </c>
      <c r="P14" s="5">
        <v>0.43</v>
      </c>
      <c r="Q14" s="4">
        <v>0.0223</v>
      </c>
      <c r="R14">
        <v>4</v>
      </c>
      <c r="S14">
        <v>4</v>
      </c>
      <c r="T14">
        <v>0</v>
      </c>
      <c r="U14">
        <v>0</v>
      </c>
      <c r="V14">
        <v>0</v>
      </c>
      <c r="W14" s="5">
        <v>19.6</v>
      </c>
      <c r="X14">
        <v>16</v>
      </c>
      <c r="Y14" s="4">
        <v>0</v>
      </c>
      <c r="Z14">
        <v>0</v>
      </c>
      <c r="AA14" s="5">
        <v>0</v>
      </c>
      <c r="AB14">
        <v>0</v>
      </c>
      <c r="AC14" s="5">
        <v>0</v>
      </c>
      <c r="AD14" s="5">
        <v>78.4</v>
      </c>
      <c r="AE14" s="5">
        <v>0</v>
      </c>
      <c r="AF14" s="5">
        <v>78.4</v>
      </c>
      <c r="AG14" s="5">
        <v>0</v>
      </c>
      <c r="AH14" s="5">
        <v>0</v>
      </c>
      <c r="AI14" s="5">
        <v>0</v>
      </c>
    </row>
    <row r="15">
      <c r="A15" s="2" t="str">
        <f>HYPERLINK("https://www.avito.ru/moskva/bytovaya_elektronika/3d-printer_bolshoy_fdm_dowell_dm1220-16_pro_7861125615","7861125615")</f>
      </c>
      <c r="B15" t="s">
        <v>35</v>
      </c>
      <c r="C15" t="s">
        <v>36</v>
      </c>
      <c r="D15" t="s">
        <v>76</v>
      </c>
      <c r="E15" t="s">
        <v>38</v>
      </c>
      <c r="F15" t="s">
        <v>39</v>
      </c>
      <c r="G15" t="s">
        <v>40</v>
      </c>
      <c r="H15" s="3" t="str">
        <f>HYPERLINK("https://www.avito.ru/moskva/bytovaya_elektronika/3d-printer_bolshoy_fdm_dowell_dm1220-16_pro_7861125615","3D-принтер большой FDM DoWell DM1220-16 Pro")</f>
      </c>
      <c r="I15" t="s">
        <v>77</v>
      </c>
      <c r="J15" t="s">
        <v>46</v>
      </c>
      <c r="K15" t="s">
        <v>47</v>
      </c>
      <c r="L15">
        <v>163</v>
      </c>
      <c r="M15">
        <v>812</v>
      </c>
      <c r="N15" s="4">
        <v>0.2155</v>
      </c>
      <c r="O15">
        <v>175</v>
      </c>
      <c r="P15" s="5">
        <v>0.44</v>
      </c>
      <c r="Q15" s="4">
        <v>0.0114</v>
      </c>
      <c r="R15">
        <v>2</v>
      </c>
      <c r="S15">
        <v>2</v>
      </c>
      <c r="T15">
        <v>0</v>
      </c>
      <c r="U15">
        <v>0</v>
      </c>
      <c r="V15">
        <v>0</v>
      </c>
      <c r="W15" s="5">
        <v>39.2</v>
      </c>
      <c r="X15">
        <v>25</v>
      </c>
      <c r="Y15" s="4">
        <v>0</v>
      </c>
      <c r="Z15">
        <v>0</v>
      </c>
      <c r="AA15" s="5">
        <v>0</v>
      </c>
      <c r="AB15">
        <v>0</v>
      </c>
      <c r="AC15" s="5">
        <v>0</v>
      </c>
      <c r="AD15" s="5">
        <v>78.4</v>
      </c>
      <c r="AE15" s="5">
        <v>0</v>
      </c>
      <c r="AF15" s="5">
        <v>78.4</v>
      </c>
      <c r="AG15" s="5">
        <v>0</v>
      </c>
      <c r="AH15" s="5">
        <v>0</v>
      </c>
      <c r="AI15" s="5">
        <v>0</v>
      </c>
    </row>
    <row r="16">
      <c r="A16" s="2" t="str">
        <f>HYPERLINK("https://www.avito.ru/krasnodar/bytovaya_elektronika/h2d_combo_ams_2_pro_stantsiya_3d_pechati_cn_8053055081","8053055081")</f>
      </c>
      <c r="B16" t="s">
        <v>78</v>
      </c>
      <c r="C16" t="s">
        <v>79</v>
      </c>
      <c r="D16" t="s">
        <v>80</v>
      </c>
      <c r="E16" t="s">
        <v>38</v>
      </c>
      <c r="F16" t="s">
        <v>39</v>
      </c>
      <c r="G16" t="s">
        <v>40</v>
      </c>
      <c r="H16" s="3" t="str">
        <f>HYPERLINK("https://www.avito.ru/krasnodar/bytovaya_elektronika/h2d_combo_ams_2_pro_stantsiya_3d_pechati_cn_8053055081","H2D Combo AMS 2 Pro станция 3D печати CN")</f>
      </c>
      <c r="I16" t="s">
        <v>41</v>
      </c>
      <c r="J16" t="s">
        <v>42</v>
      </c>
      <c r="K16" t="s">
        <v>43</v>
      </c>
      <c r="L16">
        <v>50</v>
      </c>
      <c r="M16">
        <v>748</v>
      </c>
      <c r="N16" s="4">
        <v>0.2312</v>
      </c>
      <c r="O16">
        <v>173</v>
      </c>
      <c r="P16" s="5">
        <v>0.32</v>
      </c>
      <c r="Q16" s="4">
        <v>0.0231</v>
      </c>
      <c r="R16">
        <v>4</v>
      </c>
      <c r="S16">
        <v>4</v>
      </c>
      <c r="T16">
        <v>0</v>
      </c>
      <c r="U16">
        <v>0</v>
      </c>
      <c r="V16">
        <v>0</v>
      </c>
      <c r="W16" s="5">
        <v>14</v>
      </c>
      <c r="X16">
        <v>10</v>
      </c>
      <c r="Y16" s="4">
        <v>0</v>
      </c>
      <c r="Z16">
        <v>0</v>
      </c>
      <c r="AA16" s="5">
        <v>0</v>
      </c>
      <c r="AB16">
        <v>0</v>
      </c>
      <c r="AC16" s="5">
        <v>0</v>
      </c>
      <c r="AD16" s="5">
        <v>56</v>
      </c>
      <c r="AE16" s="5">
        <v>0</v>
      </c>
      <c r="AF16" s="5">
        <v>56</v>
      </c>
      <c r="AG16" s="5">
        <v>0</v>
      </c>
      <c r="AH16" s="5">
        <v>0</v>
      </c>
      <c r="AI16" s="5">
        <v>0</v>
      </c>
    </row>
    <row r="17">
      <c r="A17" s="2" t="str">
        <f>HYPERLINK("https://www.avito.ru/sankt-peterburg/bytovaya_elektronika/h2s_combo_ams_2_pro_skorostnoy_3d_printer_8053366522","8053366522")</f>
      </c>
      <c r="B17" t="s">
        <v>35</v>
      </c>
      <c r="C17" t="s">
        <v>81</v>
      </c>
      <c r="D17" t="s">
        <v>82</v>
      </c>
      <c r="E17" t="s">
        <v>38</v>
      </c>
      <c r="F17" t="s">
        <v>39</v>
      </c>
      <c r="G17" t="s">
        <v>40</v>
      </c>
      <c r="H17" s="3" t="str">
        <f>HYPERLINK("https://www.avito.ru/sankt-peterburg/bytovaya_elektronika/h2s_combo_ams_2_pro_skorostnoy_3d_printer_8053366522","H2S Combo AMS 2 PRO скоростной 3D принтер")</f>
      </c>
      <c r="I17" t="s">
        <v>48</v>
      </c>
      <c r="J17" t="s">
        <v>49</v>
      </c>
      <c r="K17" t="s">
        <v>50</v>
      </c>
      <c r="L17">
        <v>52</v>
      </c>
      <c r="M17">
        <v>707</v>
      </c>
      <c r="N17" s="4">
        <v>0.239</v>
      </c>
      <c r="O17">
        <v>169</v>
      </c>
      <c r="P17" s="5">
        <v>0.33</v>
      </c>
      <c r="Q17" s="4">
        <v>0.0473</v>
      </c>
      <c r="R17">
        <v>8</v>
      </c>
      <c r="S17">
        <v>6</v>
      </c>
      <c r="T17">
        <v>0</v>
      </c>
      <c r="U17">
        <v>2</v>
      </c>
      <c r="V17">
        <v>0</v>
      </c>
      <c r="W17" s="5">
        <v>7</v>
      </c>
      <c r="X17">
        <v>16</v>
      </c>
      <c r="Y17" s="4">
        <v>0</v>
      </c>
      <c r="Z17">
        <v>0</v>
      </c>
      <c r="AA17" s="5">
        <v>0</v>
      </c>
      <c r="AB17">
        <v>0</v>
      </c>
      <c r="AC17" s="5">
        <v>0</v>
      </c>
      <c r="AD17" s="5">
        <v>56</v>
      </c>
      <c r="AE17" s="5">
        <v>0</v>
      </c>
      <c r="AF17" s="5">
        <v>56</v>
      </c>
      <c r="AG17" s="5">
        <v>0</v>
      </c>
      <c r="AH17" s="5">
        <v>0</v>
      </c>
      <c r="AI17" s="5">
        <v>0</v>
      </c>
    </row>
    <row r="18">
      <c r="A18" s="2" t="str">
        <f>HYPERLINK("https://www.avito.ru/moskva/bytovaya_elektronika/3d_printer_eu_bambu_lab_h2c_combo_7893919239","7893919239")</f>
      </c>
      <c r="B18" t="s">
        <v>35</v>
      </c>
      <c r="C18" t="s">
        <v>36</v>
      </c>
      <c r="D18" t="s">
        <v>44</v>
      </c>
      <c r="E18" t="s">
        <v>38</v>
      </c>
      <c r="F18" t="s">
        <v>39</v>
      </c>
      <c r="G18" t="s">
        <v>40</v>
      </c>
      <c r="H18" s="3" t="str">
        <f>HYPERLINK("https://www.avito.ru/moskva/bytovaya_elektronika/3d_printer_eu_bambu_lab_h2c_combo_7893919239","3Д принтер EU Bambu Lab H2C combo")</f>
      </c>
      <c r="I18" t="s">
        <v>83</v>
      </c>
      <c r="J18" t="s">
        <v>84</v>
      </c>
      <c r="K18" t="s">
        <v>85</v>
      </c>
      <c r="L18">
        <v>135</v>
      </c>
      <c r="M18">
        <v>884</v>
      </c>
      <c r="N18" s="4">
        <v>0.1787</v>
      </c>
      <c r="O18">
        <v>158</v>
      </c>
      <c r="P18" s="5">
        <v>7.55</v>
      </c>
      <c r="Q18" s="4">
        <v>0.0443</v>
      </c>
      <c r="R18">
        <v>7</v>
      </c>
      <c r="S18">
        <v>7</v>
      </c>
      <c r="T18">
        <v>0</v>
      </c>
      <c r="U18">
        <v>0</v>
      </c>
      <c r="V18">
        <v>0</v>
      </c>
      <c r="W18" s="5">
        <v>170.54</v>
      </c>
      <c r="X18">
        <v>17</v>
      </c>
      <c r="Y18" s="4">
        <v>0</v>
      </c>
      <c r="Z18">
        <v>0</v>
      </c>
      <c r="AA18" s="5">
        <v>0</v>
      </c>
      <c r="AB18">
        <v>0</v>
      </c>
      <c r="AC18" s="5">
        <v>0</v>
      </c>
      <c r="AD18" s="5">
        <v>1193.82</v>
      </c>
      <c r="AE18" s="5">
        <v>0</v>
      </c>
      <c r="AF18" s="5">
        <v>43.82</v>
      </c>
      <c r="AG18" s="5">
        <v>1150</v>
      </c>
      <c r="AH18" s="5">
        <v>0</v>
      </c>
      <c r="AI18" s="5">
        <v>0</v>
      </c>
    </row>
    <row r="19">
      <c r="A19" s="2" t="str">
        <f>HYPERLINK("https://www.avito.ru/sankt-peterburg/bytovaya_elektronika/bambu_lab_h2c_laser_full_combo_10w_eu_8053382707","8053382707")</f>
      </c>
      <c r="B19" t="s">
        <v>35</v>
      </c>
      <c r="C19" t="s">
        <v>81</v>
      </c>
      <c r="D19" t="s">
        <v>82</v>
      </c>
      <c r="E19" t="s">
        <v>38</v>
      </c>
      <c r="F19" t="s">
        <v>39</v>
      </c>
      <c r="G19" t="s">
        <v>40</v>
      </c>
      <c r="H19" s="3" t="str">
        <f>HYPERLINK("https://www.avito.ru/sankt-peterburg/bytovaya_elektronika/bambu_lab_h2c_laser_full_combo_10w_eu_8053382707","Bambu Lab H2C Laser Full Combo 10W EU")</f>
      </c>
      <c r="I19" t="s">
        <v>69</v>
      </c>
      <c r="J19" t="s">
        <v>49</v>
      </c>
      <c r="K19" t="s">
        <v>50</v>
      </c>
      <c r="L19">
        <v>52</v>
      </c>
      <c r="M19">
        <v>529</v>
      </c>
      <c r="N19" s="4">
        <v>0.2797</v>
      </c>
      <c r="O19">
        <v>148</v>
      </c>
      <c r="P19" s="5">
        <v>0.37</v>
      </c>
      <c r="Q19" s="4">
        <v>0</v>
      </c>
      <c r="R19">
        <v>0</v>
      </c>
      <c r="S19">
        <v>0</v>
      </c>
      <c r="T19">
        <v>0</v>
      </c>
      <c r="U19">
        <v>0</v>
      </c>
      <c r="V19">
        <v>0</v>
      </c>
      <c r="W19" s="5" t="s">
        <v>65</v>
      </c>
      <c r="X19">
        <v>12</v>
      </c>
      <c r="Y19" s="4">
        <v>0</v>
      </c>
      <c r="Z19">
        <v>0</v>
      </c>
      <c r="AA19" s="5">
        <v>0</v>
      </c>
      <c r="AB19">
        <v>0</v>
      </c>
      <c r="AC19" s="5">
        <v>0</v>
      </c>
      <c r="AD19" s="5">
        <v>56</v>
      </c>
      <c r="AE19" s="5">
        <v>0</v>
      </c>
      <c r="AF19" s="5">
        <v>56</v>
      </c>
      <c r="AG19" s="5">
        <v>0</v>
      </c>
      <c r="AH19" s="5">
        <v>0</v>
      </c>
      <c r="AI19" s="5">
        <v>0</v>
      </c>
    </row>
    <row r="20">
      <c r="A20" s="2" t="str">
        <f>HYPERLINK("https://www.avito.ru/moskva/bytovaya_elektronika/3d_printer_eu_bambu_lab_h2d_combo_nalichie_7893846634","7893846634")</f>
      </c>
      <c r="B20" t="s">
        <v>35</v>
      </c>
      <c r="C20" t="s">
        <v>36</v>
      </c>
      <c r="D20" t="s">
        <v>58</v>
      </c>
      <c r="E20" t="s">
        <v>38</v>
      </c>
      <c r="F20" t="s">
        <v>39</v>
      </c>
      <c r="G20" t="s">
        <v>40</v>
      </c>
      <c r="H20" s="3" t="str">
        <f>HYPERLINK("https://www.avito.ru/moskva/bytovaya_elektronika/3d_printer_eu_bambu_lab_h2d_combo_nalichie_7893846634","3Д принтер EU Bambu Lab H2D Combo наличие")</f>
      </c>
      <c r="I20" t="s">
        <v>86</v>
      </c>
      <c r="J20" t="s">
        <v>87</v>
      </c>
      <c r="K20" t="s">
        <v>53</v>
      </c>
      <c r="L20">
        <v>138</v>
      </c>
      <c r="M20">
        <v>1091</v>
      </c>
      <c r="N20" s="4">
        <v>0.131</v>
      </c>
      <c r="O20">
        <v>143</v>
      </c>
      <c r="P20" s="5">
        <v>9.76</v>
      </c>
      <c r="Q20" s="4">
        <v>0.0279</v>
      </c>
      <c r="R20">
        <v>4</v>
      </c>
      <c r="S20">
        <v>4</v>
      </c>
      <c r="T20">
        <v>0</v>
      </c>
      <c r="U20">
        <v>0</v>
      </c>
      <c r="V20">
        <v>0</v>
      </c>
      <c r="W20" s="5">
        <v>349.23</v>
      </c>
      <c r="X20">
        <v>13</v>
      </c>
      <c r="Y20" s="4">
        <v>0</v>
      </c>
      <c r="Z20">
        <v>0</v>
      </c>
      <c r="AA20" s="5">
        <v>0</v>
      </c>
      <c r="AB20">
        <v>0</v>
      </c>
      <c r="AC20" s="5">
        <v>0</v>
      </c>
      <c r="AD20" s="5">
        <v>1396.95</v>
      </c>
      <c r="AE20" s="5">
        <v>0</v>
      </c>
      <c r="AF20" s="5">
        <v>46.95</v>
      </c>
      <c r="AG20" s="5">
        <v>1350</v>
      </c>
      <c r="AH20" s="5">
        <v>0</v>
      </c>
      <c r="AI20" s="5">
        <v>0</v>
      </c>
    </row>
    <row r="21">
      <c r="A21" s="2" t="str">
        <f>HYPERLINK("https://www.avito.ru/rostov-na-donu/bytovaya_elektronika/sverhbystryy_3d_printer_h2s_combo_ams_2_pro_ne_bu_8052977590","8052977590")</f>
      </c>
      <c r="B21" t="s">
        <v>88</v>
      </c>
      <c r="C21" t="s">
        <v>89</v>
      </c>
      <c r="D21" t="s">
        <v>90</v>
      </c>
      <c r="E21" t="s">
        <v>38</v>
      </c>
      <c r="F21" t="s">
        <v>39</v>
      </c>
      <c r="G21" t="s">
        <v>40</v>
      </c>
      <c r="H21" s="3" t="str">
        <f>HYPERLINK("https://www.avito.ru/rostov-na-donu/bytovaya_elektronika/sverhbystryy_3d_printer_h2s_combo_ams_2_pro_ne_bu_8052977590","Сверхбыстрый 3D принтер H2S Combo AMS 2 PRO не б/у")</f>
      </c>
      <c r="I21" t="s">
        <v>48</v>
      </c>
      <c r="J21" t="s">
        <v>49</v>
      </c>
      <c r="K21" t="s">
        <v>50</v>
      </c>
      <c r="L21">
        <v>52</v>
      </c>
      <c r="M21">
        <v>613</v>
      </c>
      <c r="N21" s="4">
        <v>0.212</v>
      </c>
      <c r="O21">
        <v>130</v>
      </c>
      <c r="P21" s="5">
        <v>0.43</v>
      </c>
      <c r="Q21" s="4">
        <v>0.0307</v>
      </c>
      <c r="R21">
        <v>4</v>
      </c>
      <c r="S21">
        <v>2</v>
      </c>
      <c r="T21">
        <v>1</v>
      </c>
      <c r="U21">
        <v>1</v>
      </c>
      <c r="V21">
        <v>0</v>
      </c>
      <c r="W21" s="5">
        <v>14</v>
      </c>
      <c r="X21">
        <v>16</v>
      </c>
      <c r="Y21" s="4">
        <v>0</v>
      </c>
      <c r="Z21">
        <v>0</v>
      </c>
      <c r="AA21" s="5">
        <v>0</v>
      </c>
      <c r="AB21">
        <v>0</v>
      </c>
      <c r="AC21" s="5">
        <v>0</v>
      </c>
      <c r="AD21" s="5">
        <v>56</v>
      </c>
      <c r="AE21" s="5">
        <v>0</v>
      </c>
      <c r="AF21" s="5">
        <v>56</v>
      </c>
      <c r="AG21" s="5">
        <v>0</v>
      </c>
      <c r="AH21" s="5">
        <v>0</v>
      </c>
      <c r="AI21" s="5">
        <v>0</v>
      </c>
    </row>
    <row r="22">
      <c r="A22" s="2" t="str">
        <f>HYPERLINK("https://www.avito.ru/sankt-peterburg/bytovaya_elektronika/novyy_3d_printer_bambu_lab_h2d_combo_ams_2_pro_8053283006","8053283006")</f>
      </c>
      <c r="B22" t="s">
        <v>35</v>
      </c>
      <c r="C22" t="s">
        <v>81</v>
      </c>
      <c r="D22" t="s">
        <v>82</v>
      </c>
      <c r="E22" t="s">
        <v>38</v>
      </c>
      <c r="F22" t="s">
        <v>39</v>
      </c>
      <c r="G22" t="s">
        <v>40</v>
      </c>
      <c r="H22" s="3" t="str">
        <f>HYPERLINK("https://www.avito.ru/sankt-peterburg/bytovaya_elektronika/novyy_3d_printer_bambu_lab_h2d_combo_ams_2_pro_8053283006","Новый 3D принтер Bambu Lab H2D Combo AMS 2 Pro")</f>
      </c>
      <c r="I22" t="s">
        <v>91</v>
      </c>
      <c r="J22" t="s">
        <v>42</v>
      </c>
      <c r="K22" t="s">
        <v>43</v>
      </c>
      <c r="L22">
        <v>50</v>
      </c>
      <c r="M22">
        <v>543</v>
      </c>
      <c r="N22" s="4">
        <v>0.2338</v>
      </c>
      <c r="O22">
        <v>127</v>
      </c>
      <c r="P22" s="5">
        <v>0.44</v>
      </c>
      <c r="Q22" s="4">
        <v>0.0157</v>
      </c>
      <c r="R22">
        <v>2</v>
      </c>
      <c r="S22">
        <v>2</v>
      </c>
      <c r="T22">
        <v>0</v>
      </c>
      <c r="U22">
        <v>0</v>
      </c>
      <c r="V22">
        <v>0</v>
      </c>
      <c r="W22" s="5">
        <v>28</v>
      </c>
      <c r="X22">
        <v>8</v>
      </c>
      <c r="Y22" s="4">
        <v>0</v>
      </c>
      <c r="Z22">
        <v>0</v>
      </c>
      <c r="AA22" s="5">
        <v>0</v>
      </c>
      <c r="AB22">
        <v>0</v>
      </c>
      <c r="AC22" s="5">
        <v>0</v>
      </c>
      <c r="AD22" s="5">
        <v>56</v>
      </c>
      <c r="AE22" s="5">
        <v>0</v>
      </c>
      <c r="AF22" s="5">
        <v>56</v>
      </c>
      <c r="AG22" s="5">
        <v>0</v>
      </c>
      <c r="AH22" s="5">
        <v>0</v>
      </c>
      <c r="AI22" s="5">
        <v>0</v>
      </c>
    </row>
    <row r="23">
      <c r="A23" s="2" t="str">
        <f>HYPERLINK("https://www.avito.ru/habarovsk/bytovaya_elektronika/bambu_lab_h2d_laser_10w_eu_340h320h340_mm_8053672153","8053672153")</f>
      </c>
      <c r="B23" t="s">
        <v>92</v>
      </c>
      <c r="C23" t="s">
        <v>93</v>
      </c>
      <c r="D23" t="s">
        <v>94</v>
      </c>
      <c r="E23" t="s">
        <v>38</v>
      </c>
      <c r="F23" t="s">
        <v>39</v>
      </c>
      <c r="G23" t="s">
        <v>40</v>
      </c>
      <c r="H23" s="3" t="str">
        <f>HYPERLINK("https://www.avito.ru/habarovsk/bytovaya_elektronika/bambu_lab_h2d_laser_10w_eu_340h320h340_mm_8053672153","Bambu Lab H2D Laser 10W EU 340х320х340 мм")</f>
      </c>
      <c r="I23" t="s">
        <v>95</v>
      </c>
      <c r="J23" t="s">
        <v>42</v>
      </c>
      <c r="K23" t="s">
        <v>43</v>
      </c>
      <c r="L23">
        <v>50</v>
      </c>
      <c r="M23">
        <v>1586</v>
      </c>
      <c r="N23" s="4">
        <v>0.08</v>
      </c>
      <c r="O23">
        <v>127</v>
      </c>
      <c r="P23" s="5">
        <v>0.44</v>
      </c>
      <c r="Q23" s="4">
        <v>0</v>
      </c>
      <c r="R23">
        <v>0</v>
      </c>
      <c r="S23">
        <v>0</v>
      </c>
      <c r="T23">
        <v>0</v>
      </c>
      <c r="U23">
        <v>0</v>
      </c>
      <c r="V23">
        <v>0</v>
      </c>
      <c r="W23" s="5" t="s">
        <v>65</v>
      </c>
      <c r="X23">
        <v>3</v>
      </c>
      <c r="Y23" s="4">
        <v>0</v>
      </c>
      <c r="Z23">
        <v>0</v>
      </c>
      <c r="AA23" s="5">
        <v>0</v>
      </c>
      <c r="AB23">
        <v>0</v>
      </c>
      <c r="AC23" s="5">
        <v>0</v>
      </c>
      <c r="AD23" s="5">
        <v>56</v>
      </c>
      <c r="AE23" s="5">
        <v>0</v>
      </c>
      <c r="AF23" s="5">
        <v>56</v>
      </c>
      <c r="AG23" s="5">
        <v>0</v>
      </c>
      <c r="AH23" s="5">
        <v>0</v>
      </c>
      <c r="AI23" s="5">
        <v>0</v>
      </c>
    </row>
    <row r="24">
      <c r="A24" s="2" t="str">
        <f>HYPERLINK("https://www.avito.ru/moskva/bytovaya_elektronika/3d-printer_bambu_lab_h2s_eu_novyy_8053328746","8053328746")</f>
      </c>
      <c r="B24" t="s">
        <v>35</v>
      </c>
      <c r="C24" t="s">
        <v>36</v>
      </c>
      <c r="D24" t="s">
        <v>37</v>
      </c>
      <c r="E24" t="s">
        <v>38</v>
      </c>
      <c r="F24" t="s">
        <v>39</v>
      </c>
      <c r="G24" t="s">
        <v>40</v>
      </c>
      <c r="H24" s="3" t="str">
        <f>HYPERLINK("https://www.avito.ru/moskva/bytovaya_elektronika/3d-printer_bambu_lab_h2s_eu_novyy_8053328746","3D-принтер Bambu Lab H2S EU новый")</f>
      </c>
      <c r="I24" t="s">
        <v>48</v>
      </c>
      <c r="J24" t="s">
        <v>49</v>
      </c>
      <c r="K24" t="s">
        <v>50</v>
      </c>
      <c r="L24">
        <v>52</v>
      </c>
      <c r="M24">
        <v>489</v>
      </c>
      <c r="N24" s="4">
        <v>0.2413</v>
      </c>
      <c r="O24">
        <v>118</v>
      </c>
      <c r="P24" s="5">
        <v>0.72</v>
      </c>
      <c r="Q24" s="4">
        <v>0.0084</v>
      </c>
      <c r="R24">
        <v>1</v>
      </c>
      <c r="S24">
        <v>1</v>
      </c>
      <c r="T24">
        <v>0</v>
      </c>
      <c r="U24">
        <v>0</v>
      </c>
      <c r="V24">
        <v>0</v>
      </c>
      <c r="W24" s="5">
        <v>85</v>
      </c>
      <c r="X24">
        <v>10</v>
      </c>
      <c r="Y24" s="4">
        <v>0</v>
      </c>
      <c r="Z24">
        <v>0</v>
      </c>
      <c r="AA24" s="5">
        <v>0</v>
      </c>
      <c r="AB24">
        <v>0</v>
      </c>
      <c r="AC24" s="5">
        <v>0</v>
      </c>
      <c r="AD24" s="5">
        <v>85</v>
      </c>
      <c r="AE24" s="5">
        <v>0</v>
      </c>
      <c r="AF24" s="5">
        <v>85</v>
      </c>
      <c r="AG24" s="5">
        <v>0</v>
      </c>
      <c r="AH24" s="5">
        <v>0</v>
      </c>
      <c r="AI24" s="5">
        <v>0</v>
      </c>
    </row>
    <row r="25">
      <c r="A25" s="2" t="str">
        <f>HYPERLINK("https://www.avito.ru/moskva/bytovaya_elektronika/bambu_lab_h2d_combo_ams_2_pro_7989459683","7989459683")</f>
      </c>
      <c r="B25" t="s">
        <v>35</v>
      </c>
      <c r="C25" t="s">
        <v>36</v>
      </c>
      <c r="D25" t="s">
        <v>96</v>
      </c>
      <c r="E25" t="s">
        <v>38</v>
      </c>
      <c r="F25" t="s">
        <v>39</v>
      </c>
      <c r="G25" t="s">
        <v>40</v>
      </c>
      <c r="H25" s="3" t="str">
        <f>HYPERLINK("https://www.avito.ru/moskva/bytovaya_elektronika/bambu_lab_h2d_combo_ams_2_pro_7989459683","Bambu lab H2D combo AMS 2 Pro")</f>
      </c>
      <c r="I25" t="s">
        <v>86</v>
      </c>
      <c r="J25" t="s">
        <v>97</v>
      </c>
      <c r="K25" t="s">
        <v>98</v>
      </c>
      <c r="L25">
        <v>79</v>
      </c>
      <c r="M25">
        <v>772</v>
      </c>
      <c r="N25" s="4">
        <v>0.1398</v>
      </c>
      <c r="O25">
        <v>108</v>
      </c>
      <c r="P25" s="5">
        <v>9.78</v>
      </c>
      <c r="Q25" s="4">
        <v>0.037</v>
      </c>
      <c r="R25">
        <v>4</v>
      </c>
      <c r="S25">
        <v>4</v>
      </c>
      <c r="T25">
        <v>0</v>
      </c>
      <c r="U25">
        <v>0</v>
      </c>
      <c r="V25">
        <v>0</v>
      </c>
      <c r="W25" s="5">
        <v>264.22</v>
      </c>
      <c r="X25">
        <v>10</v>
      </c>
      <c r="Y25" s="4">
        <v>0</v>
      </c>
      <c r="Z25">
        <v>0</v>
      </c>
      <c r="AA25" s="5">
        <v>0</v>
      </c>
      <c r="AB25">
        <v>0</v>
      </c>
      <c r="AC25" s="5">
        <v>0</v>
      </c>
      <c r="AD25" s="5">
        <v>1056.91</v>
      </c>
      <c r="AE25" s="5">
        <v>0</v>
      </c>
      <c r="AF25" s="5">
        <v>21.91</v>
      </c>
      <c r="AG25" s="5">
        <v>1035</v>
      </c>
      <c r="AH25" s="5">
        <v>0</v>
      </c>
      <c r="AI25" s="5">
        <v>0</v>
      </c>
    </row>
    <row r="26">
      <c r="A26" s="2" t="str">
        <f>HYPERLINK("https://www.avito.ru/kemerovo/bytovaya_elektronika/professionalnaya_seriya_h2d_laser_10w_eu_8052932988","8052932988")</f>
      </c>
      <c r="B26" t="s">
        <v>99</v>
      </c>
      <c r="C26" t="s">
        <v>100</v>
      </c>
      <c r="D26" t="s">
        <v>101</v>
      </c>
      <c r="E26" t="s">
        <v>38</v>
      </c>
      <c r="F26" t="s">
        <v>39</v>
      </c>
      <c r="G26" t="s">
        <v>40</v>
      </c>
      <c r="H26" s="3" t="str">
        <f>HYPERLINK("https://www.avito.ru/kemerovo/bytovaya_elektronika/professionalnaya_seriya_h2d_laser_10w_eu_8052932988","Профессиональная серия H2D Laser 10W EU")</f>
      </c>
      <c r="I26" t="s">
        <v>95</v>
      </c>
      <c r="J26" t="s">
        <v>42</v>
      </c>
      <c r="K26" t="s">
        <v>102</v>
      </c>
      <c r="L26">
        <v>50</v>
      </c>
      <c r="M26">
        <v>628</v>
      </c>
      <c r="N26" s="4">
        <v>0.1592</v>
      </c>
      <c r="O26">
        <v>100</v>
      </c>
      <c r="P26" s="5">
        <v>0.56</v>
      </c>
      <c r="Q26" s="4">
        <v>0.02</v>
      </c>
      <c r="R26">
        <v>2</v>
      </c>
      <c r="S26">
        <v>2</v>
      </c>
      <c r="T26">
        <v>0</v>
      </c>
      <c r="U26">
        <v>0</v>
      </c>
      <c r="V26">
        <v>0</v>
      </c>
      <c r="W26" s="5">
        <v>28</v>
      </c>
      <c r="X26">
        <v>6</v>
      </c>
      <c r="Y26" s="4">
        <v>0</v>
      </c>
      <c r="Z26">
        <v>0</v>
      </c>
      <c r="AA26" s="5">
        <v>0</v>
      </c>
      <c r="AB26">
        <v>0</v>
      </c>
      <c r="AC26" s="5">
        <v>0</v>
      </c>
      <c r="AD26" s="5">
        <v>56</v>
      </c>
      <c r="AE26" s="5">
        <v>0</v>
      </c>
      <c r="AF26" s="5">
        <v>56</v>
      </c>
      <c r="AG26" s="5">
        <v>0</v>
      </c>
      <c r="AH26" s="5">
        <v>0</v>
      </c>
      <c r="AI26" s="5">
        <v>0</v>
      </c>
    </row>
    <row r="27">
      <c r="A27" s="2" t="str">
        <f>HYPERLINK("https://www.avito.ru/kaliningrad/bytovaya_elektronika/bambu_lab_h2d_combo_ams_2_pro_dlya_pechati_cn_versiya_8053083272","8053083272")</f>
      </c>
      <c r="B27" t="s">
        <v>103</v>
      </c>
      <c r="C27" t="s">
        <v>104</v>
      </c>
      <c r="D27" t="s">
        <v>105</v>
      </c>
      <c r="E27" t="s">
        <v>38</v>
      </c>
      <c r="F27" t="s">
        <v>39</v>
      </c>
      <c r="G27" t="s">
        <v>40</v>
      </c>
      <c r="H27" s="3" t="str">
        <f>HYPERLINK("https://www.avito.ru/kaliningrad/bytovaya_elektronika/bambu_lab_h2d_combo_ams_2_pro_dlya_pechati_cn_versiya_8053083272","Bambu Lab H2D Combo AMS 2 Pro для печати CN версия")</f>
      </c>
      <c r="I27" t="s">
        <v>41</v>
      </c>
      <c r="J27" t="s">
        <v>42</v>
      </c>
      <c r="K27" t="s">
        <v>43</v>
      </c>
      <c r="L27">
        <v>50</v>
      </c>
      <c r="M27">
        <v>452</v>
      </c>
      <c r="N27" s="4">
        <v>0.2057</v>
      </c>
      <c r="O27">
        <v>93</v>
      </c>
      <c r="P27" s="5">
        <v>0.6</v>
      </c>
      <c r="Q27" s="4">
        <v>0</v>
      </c>
      <c r="R27">
        <v>0</v>
      </c>
      <c r="S27">
        <v>0</v>
      </c>
      <c r="T27">
        <v>0</v>
      </c>
      <c r="U27">
        <v>0</v>
      </c>
      <c r="V27">
        <v>0</v>
      </c>
      <c r="W27" s="5" t="s">
        <v>65</v>
      </c>
      <c r="X27">
        <v>2</v>
      </c>
      <c r="Y27" s="4">
        <v>0</v>
      </c>
      <c r="Z27">
        <v>0</v>
      </c>
      <c r="AA27" s="5">
        <v>0</v>
      </c>
      <c r="AB27">
        <v>0</v>
      </c>
      <c r="AC27" s="5">
        <v>0</v>
      </c>
      <c r="AD27" s="5">
        <v>56</v>
      </c>
      <c r="AE27" s="5">
        <v>0</v>
      </c>
      <c r="AF27" s="5">
        <v>56</v>
      </c>
      <c r="AG27" s="5">
        <v>0</v>
      </c>
      <c r="AH27" s="5">
        <v>0</v>
      </c>
      <c r="AI27" s="5">
        <v>0</v>
      </c>
    </row>
    <row r="28">
      <c r="A28" s="2" t="str">
        <f>HYPERLINK("https://www.avito.ru/mahachkala/bytovaya_elektronika/h2d_laser_10w_eu_gibridnyy_3d_printer_pod_zakaz_8053528051","8053528051")</f>
      </c>
      <c r="B28" t="s">
        <v>106</v>
      </c>
      <c r="C28" t="s">
        <v>107</v>
      </c>
      <c r="D28" t="s">
        <v>108</v>
      </c>
      <c r="E28" t="s">
        <v>38</v>
      </c>
      <c r="F28" t="s">
        <v>39</v>
      </c>
      <c r="G28" t="s">
        <v>40</v>
      </c>
      <c r="H28" s="3" t="str">
        <f>HYPERLINK("https://www.avito.ru/mahachkala/bytovaya_elektronika/h2d_laser_10w_eu_gibridnyy_3d_printer_pod_zakaz_8053528051","H2D Laser 10W EU гибридный 3D принтер под заказ")</f>
      </c>
      <c r="I28" t="s">
        <v>95</v>
      </c>
      <c r="J28" t="s">
        <v>42</v>
      </c>
      <c r="K28" t="s">
        <v>43</v>
      </c>
      <c r="L28">
        <v>50</v>
      </c>
      <c r="M28">
        <v>945</v>
      </c>
      <c r="N28" s="4">
        <v>0.0984</v>
      </c>
      <c r="O28">
        <v>93</v>
      </c>
      <c r="P28" s="5">
        <v>0.6</v>
      </c>
      <c r="Q28" s="4">
        <v>0</v>
      </c>
      <c r="R28">
        <v>0</v>
      </c>
      <c r="S28">
        <v>0</v>
      </c>
      <c r="T28">
        <v>0</v>
      </c>
      <c r="U28">
        <v>0</v>
      </c>
      <c r="V28">
        <v>0</v>
      </c>
      <c r="W28" s="5" t="s">
        <v>65</v>
      </c>
      <c r="X28">
        <v>4</v>
      </c>
      <c r="Y28" s="4">
        <v>0</v>
      </c>
      <c r="Z28">
        <v>0</v>
      </c>
      <c r="AA28" s="5">
        <v>0</v>
      </c>
      <c r="AB28">
        <v>0</v>
      </c>
      <c r="AC28" s="5">
        <v>0</v>
      </c>
      <c r="AD28" s="5">
        <v>56</v>
      </c>
      <c r="AE28" s="5">
        <v>0</v>
      </c>
      <c r="AF28" s="5">
        <v>56</v>
      </c>
      <c r="AG28" s="5">
        <v>0</v>
      </c>
      <c r="AH28" s="5">
        <v>0</v>
      </c>
      <c r="AI28" s="5">
        <v>0</v>
      </c>
    </row>
    <row r="29">
      <c r="A29" s="2" t="str">
        <f>HYPERLINK("https://www.avito.ru/voronezh/bytovaya_elektronika/3d_printer_bambu_lab_h2s_combo_ams_2_pro_8053136574","8053136574")</f>
      </c>
      <c r="B29" t="s">
        <v>109</v>
      </c>
      <c r="C29" t="s">
        <v>110</v>
      </c>
      <c r="D29" t="s">
        <v>111</v>
      </c>
      <c r="E29" t="s">
        <v>38</v>
      </c>
      <c r="F29" t="s">
        <v>39</v>
      </c>
      <c r="G29" t="s">
        <v>40</v>
      </c>
      <c r="H29" s="3" t="str">
        <f>HYPERLINK("https://www.avito.ru/voronezh/bytovaya_elektronika/3d_printer_bambu_lab_h2s_combo_ams_2_pro_8053136574","3Д принтер Bambu Lab H2S Combo AMS 2 PRO")</f>
      </c>
      <c r="I29" t="s">
        <v>48</v>
      </c>
      <c r="J29" t="s">
        <v>49</v>
      </c>
      <c r="K29" t="s">
        <v>50</v>
      </c>
      <c r="L29">
        <v>52</v>
      </c>
      <c r="M29">
        <v>442</v>
      </c>
      <c r="N29" s="4">
        <v>0.2058</v>
      </c>
      <c r="O29">
        <v>91</v>
      </c>
      <c r="P29" s="5">
        <v>0.61</v>
      </c>
      <c r="Q29" s="4">
        <v>0.0329</v>
      </c>
      <c r="R29">
        <v>3</v>
      </c>
      <c r="S29">
        <v>3</v>
      </c>
      <c r="T29">
        <v>0</v>
      </c>
      <c r="U29">
        <v>0</v>
      </c>
      <c r="V29">
        <v>0</v>
      </c>
      <c r="W29" s="5">
        <v>18.66</v>
      </c>
      <c r="X29">
        <v>10</v>
      </c>
      <c r="Y29" s="4">
        <v>0</v>
      </c>
      <c r="Z29">
        <v>0</v>
      </c>
      <c r="AA29" s="5">
        <v>0</v>
      </c>
      <c r="AB29">
        <v>0</v>
      </c>
      <c r="AC29" s="5">
        <v>0</v>
      </c>
      <c r="AD29" s="5">
        <v>56</v>
      </c>
      <c r="AE29" s="5">
        <v>0</v>
      </c>
      <c r="AF29" s="5">
        <v>56</v>
      </c>
      <c r="AG29" s="5">
        <v>0</v>
      </c>
      <c r="AH29" s="5">
        <v>0</v>
      </c>
      <c r="AI29" s="5">
        <v>0</v>
      </c>
    </row>
    <row r="30">
      <c r="A30" s="2" t="str">
        <f>HYPERLINK("https://www.avito.ru/naberezhnye_chelny/bytovaya_elektronika/3d_printer_h2s_combo_ams_2_pro_eu_versiya_8053366904","8053366904")</f>
      </c>
      <c r="B30" t="s">
        <v>112</v>
      </c>
      <c r="C30" t="s">
        <v>113</v>
      </c>
      <c r="D30" t="s">
        <v>114</v>
      </c>
      <c r="E30" t="s">
        <v>38</v>
      </c>
      <c r="F30" t="s">
        <v>39</v>
      </c>
      <c r="G30" t="s">
        <v>40</v>
      </c>
      <c r="H30" s="3" t="str">
        <f>HYPERLINK("https://www.avito.ru/naberezhnye_chelny/bytovaya_elektronika/3d_printer_h2s_combo_ams_2_pro_eu_versiya_8053366904","3D принтер H2S Combo AMS 2 PRO (EU версия)")</f>
      </c>
      <c r="I30" t="s">
        <v>48</v>
      </c>
      <c r="J30" t="s">
        <v>115</v>
      </c>
      <c r="K30" t="s">
        <v>116</v>
      </c>
      <c r="L30">
        <v>51</v>
      </c>
      <c r="M30">
        <v>1202</v>
      </c>
      <c r="N30" s="4">
        <v>0.074</v>
      </c>
      <c r="O30">
        <v>89</v>
      </c>
      <c r="P30" s="5">
        <v>0.62</v>
      </c>
      <c r="Q30" s="4">
        <v>0</v>
      </c>
      <c r="R30">
        <v>0</v>
      </c>
      <c r="S30">
        <v>0</v>
      </c>
      <c r="T30">
        <v>0</v>
      </c>
      <c r="U30">
        <v>0</v>
      </c>
      <c r="V30">
        <v>0</v>
      </c>
      <c r="W30" s="5" t="s">
        <v>65</v>
      </c>
      <c r="X30">
        <v>4</v>
      </c>
      <c r="Y30" s="4">
        <v>0</v>
      </c>
      <c r="Z30">
        <v>0</v>
      </c>
      <c r="AA30" s="5">
        <v>0</v>
      </c>
      <c r="AB30">
        <v>0</v>
      </c>
      <c r="AC30" s="5">
        <v>0</v>
      </c>
      <c r="AD30" s="5">
        <v>56</v>
      </c>
      <c r="AE30" s="5">
        <v>0</v>
      </c>
      <c r="AF30" s="5">
        <v>56</v>
      </c>
      <c r="AG30" s="5">
        <v>0</v>
      </c>
      <c r="AH30" s="5">
        <v>0</v>
      </c>
      <c r="AI30" s="5">
        <v>0</v>
      </c>
    </row>
    <row r="31">
      <c r="A31" s="2" t="str">
        <f>HYPERLINK("https://www.avito.ru/sankt-peterburg/bytovaya_elektronika/bambu_lab_h2s_eu_3d-printer_dlya_masterskoy_i_doma_8053701618","8053701618")</f>
      </c>
      <c r="B31" t="s">
        <v>35</v>
      </c>
      <c r="C31" t="s">
        <v>81</v>
      </c>
      <c r="D31" t="s">
        <v>82</v>
      </c>
      <c r="E31" t="s">
        <v>38</v>
      </c>
      <c r="F31" t="s">
        <v>39</v>
      </c>
      <c r="G31" t="s">
        <v>40</v>
      </c>
      <c r="H31" s="3" t="str">
        <f>HYPERLINK("https://www.avito.ru/sankt-peterburg/bytovaya_elektronika/bambu_lab_h2s_eu_3d-printer_dlya_masterskoy_i_doma_8053701618","Bambu Lab H2S EU 3D-принтер для мастерской и дома")</f>
      </c>
      <c r="I31" t="s">
        <v>48</v>
      </c>
      <c r="J31" t="s">
        <v>49</v>
      </c>
      <c r="K31" t="s">
        <v>50</v>
      </c>
      <c r="L31">
        <v>52</v>
      </c>
      <c r="M31">
        <v>375</v>
      </c>
      <c r="N31" s="4">
        <v>0.232</v>
      </c>
      <c r="O31">
        <v>87</v>
      </c>
      <c r="P31" s="5">
        <v>0.64</v>
      </c>
      <c r="Q31" s="4">
        <v>0.0344</v>
      </c>
      <c r="R31">
        <v>3</v>
      </c>
      <c r="S31">
        <v>3</v>
      </c>
      <c r="T31">
        <v>0</v>
      </c>
      <c r="U31">
        <v>0</v>
      </c>
      <c r="V31">
        <v>0</v>
      </c>
      <c r="W31" s="5">
        <v>18.66</v>
      </c>
      <c r="X31">
        <v>6</v>
      </c>
      <c r="Y31" s="4">
        <v>0</v>
      </c>
      <c r="Z31">
        <v>0</v>
      </c>
      <c r="AA31" s="5">
        <v>0</v>
      </c>
      <c r="AB31">
        <v>0</v>
      </c>
      <c r="AC31" s="5">
        <v>0</v>
      </c>
      <c r="AD31" s="5">
        <v>56</v>
      </c>
      <c r="AE31" s="5">
        <v>0</v>
      </c>
      <c r="AF31" s="5">
        <v>56</v>
      </c>
      <c r="AG31" s="5">
        <v>0</v>
      </c>
      <c r="AH31" s="5">
        <v>0</v>
      </c>
      <c r="AI31" s="5">
        <v>0</v>
      </c>
    </row>
    <row r="32">
      <c r="A32" s="2" t="str">
        <f>HYPERLINK("https://www.avito.ru/moskva/bytovaya_elektronika/3d-printer_bolshoy_fdm_dowell_dm1016-10_pro_7861534642","7861534642")</f>
      </c>
      <c r="B32" t="s">
        <v>35</v>
      </c>
      <c r="C32" t="s">
        <v>36</v>
      </c>
      <c r="D32" t="s">
        <v>76</v>
      </c>
      <c r="E32" t="s">
        <v>38</v>
      </c>
      <c r="F32" t="s">
        <v>39</v>
      </c>
      <c r="G32" t="s">
        <v>40</v>
      </c>
      <c r="H32" s="3" t="str">
        <f>HYPERLINK("https://www.avito.ru/moskva/bytovaya_elektronika/3d-printer_bolshoy_fdm_dowell_dm1016-10_pro_7861534642","3D-принтер большой FDM DoWell DM1016-10 Pro")</f>
      </c>
      <c r="I32" t="s">
        <v>117</v>
      </c>
      <c r="J32" t="s">
        <v>118</v>
      </c>
      <c r="K32" t="s">
        <v>53</v>
      </c>
      <c r="L32">
        <v>159</v>
      </c>
      <c r="M32">
        <v>307</v>
      </c>
      <c r="N32" s="4">
        <v>0.2801</v>
      </c>
      <c r="O32">
        <v>86</v>
      </c>
      <c r="P32" s="5">
        <v>0.54</v>
      </c>
      <c r="Q32" s="4">
        <v>0.0116</v>
      </c>
      <c r="R32">
        <v>1</v>
      </c>
      <c r="S32">
        <v>0</v>
      </c>
      <c r="T32">
        <v>1</v>
      </c>
      <c r="U32">
        <v>0</v>
      </c>
      <c r="V32">
        <v>0</v>
      </c>
      <c r="W32" s="5">
        <v>46.95</v>
      </c>
      <c r="X32">
        <v>8</v>
      </c>
      <c r="Y32" s="4">
        <v>0</v>
      </c>
      <c r="Z32">
        <v>0</v>
      </c>
      <c r="AA32" s="5">
        <v>0</v>
      </c>
      <c r="AB32">
        <v>0</v>
      </c>
      <c r="AC32" s="5">
        <v>0</v>
      </c>
      <c r="AD32" s="5">
        <v>46.95</v>
      </c>
      <c r="AE32" s="5">
        <v>0</v>
      </c>
      <c r="AF32" s="5">
        <v>46.95</v>
      </c>
      <c r="AG32" s="5">
        <v>0</v>
      </c>
      <c r="AH32" s="5">
        <v>0</v>
      </c>
      <c r="AI32" s="5">
        <v>0</v>
      </c>
    </row>
    <row r="33">
      <c r="A33" s="2" t="str">
        <f>HYPERLINK("https://www.avito.ru/sankt-peterburg/bytovaya_elektronika/bambu_lab_h2c_ams_combo_promyshlennyy_klass_8053179205","8053179205")</f>
      </c>
      <c r="B33" t="s">
        <v>35</v>
      </c>
      <c r="C33" t="s">
        <v>81</v>
      </c>
      <c r="D33" t="s">
        <v>82</v>
      </c>
      <c r="E33" t="s">
        <v>38</v>
      </c>
      <c r="F33" t="s">
        <v>39</v>
      </c>
      <c r="G33" t="s">
        <v>40</v>
      </c>
      <c r="H33" s="3" t="str">
        <f>HYPERLINK("https://www.avito.ru/sankt-peterburg/bytovaya_elektronika/bambu_lab_h2c_ams_combo_promyshlennyy_klass_8053179205","Bambu Lab H2C AMS Combo промышленный класс")</f>
      </c>
      <c r="I33" t="s">
        <v>83</v>
      </c>
      <c r="J33" t="s">
        <v>49</v>
      </c>
      <c r="K33" t="s">
        <v>50</v>
      </c>
      <c r="L33">
        <v>52</v>
      </c>
      <c r="M33">
        <v>347</v>
      </c>
      <c r="N33" s="4">
        <v>0.242</v>
      </c>
      <c r="O33">
        <v>84</v>
      </c>
      <c r="P33" s="5">
        <v>0.66</v>
      </c>
      <c r="Q33" s="4">
        <v>0.0119</v>
      </c>
      <c r="R33">
        <v>1</v>
      </c>
      <c r="S33">
        <v>1</v>
      </c>
      <c r="T33">
        <v>0</v>
      </c>
      <c r="U33">
        <v>0</v>
      </c>
      <c r="V33">
        <v>0</v>
      </c>
      <c r="W33" s="5">
        <v>56</v>
      </c>
      <c r="X33">
        <v>7</v>
      </c>
      <c r="Y33" s="4">
        <v>0</v>
      </c>
      <c r="Z33">
        <v>0</v>
      </c>
      <c r="AA33" s="5">
        <v>0</v>
      </c>
      <c r="AB33">
        <v>0</v>
      </c>
      <c r="AC33" s="5">
        <v>0</v>
      </c>
      <c r="AD33" s="5">
        <v>56</v>
      </c>
      <c r="AE33" s="5">
        <v>0</v>
      </c>
      <c r="AF33" s="5">
        <v>56</v>
      </c>
      <c r="AG33" s="5">
        <v>0</v>
      </c>
      <c r="AH33" s="5">
        <v>0</v>
      </c>
      <c r="AI33" s="5">
        <v>0</v>
      </c>
    </row>
    <row r="34">
      <c r="A34" s="2" t="str">
        <f>HYPERLINK("https://www.avito.ru/astrahan/bytovaya_elektronika/bambu_lab_h2d_combo_ams_2_pro_350_gradusov_cn_versiya_8053809129","8053809129")</f>
      </c>
      <c r="B34" t="s">
        <v>119</v>
      </c>
      <c r="C34" t="s">
        <v>120</v>
      </c>
      <c r="D34" t="s">
        <v>121</v>
      </c>
      <c r="E34" t="s">
        <v>38</v>
      </c>
      <c r="F34" t="s">
        <v>39</v>
      </c>
      <c r="G34" t="s">
        <v>40</v>
      </c>
      <c r="H34" s="3" t="str">
        <f>HYPERLINK("https://www.avito.ru/astrahan/bytovaya_elektronika/bambu_lab_h2d_combo_ams_2_pro_350_gradusov_cn_versiya_8053809129","Bambu Lab H2D Combo AMS 2 Pro 350 градусов CN версия")</f>
      </c>
      <c r="I34" t="s">
        <v>41</v>
      </c>
      <c r="J34" t="s">
        <v>42</v>
      </c>
      <c r="K34" t="s">
        <v>43</v>
      </c>
      <c r="L34">
        <v>50</v>
      </c>
      <c r="M34">
        <v>887</v>
      </c>
      <c r="N34" s="4">
        <v>0.0947</v>
      </c>
      <c r="O34">
        <v>84</v>
      </c>
      <c r="P34" s="5">
        <v>0.66</v>
      </c>
      <c r="Q34" s="4">
        <v>0.0119</v>
      </c>
      <c r="R34">
        <v>1</v>
      </c>
      <c r="S34">
        <v>1</v>
      </c>
      <c r="T34">
        <v>0</v>
      </c>
      <c r="U34">
        <v>0</v>
      </c>
      <c r="V34">
        <v>0</v>
      </c>
      <c r="W34" s="5">
        <v>56</v>
      </c>
      <c r="X34">
        <v>3</v>
      </c>
      <c r="Y34" s="4">
        <v>0</v>
      </c>
      <c r="Z34">
        <v>0</v>
      </c>
      <c r="AA34" s="5">
        <v>0</v>
      </c>
      <c r="AB34">
        <v>0</v>
      </c>
      <c r="AC34" s="5">
        <v>0</v>
      </c>
      <c r="AD34" s="5">
        <v>56</v>
      </c>
      <c r="AE34" s="5">
        <v>0</v>
      </c>
      <c r="AF34" s="5">
        <v>56</v>
      </c>
      <c r="AG34" s="5">
        <v>0</v>
      </c>
      <c r="AH34" s="5">
        <v>0</v>
      </c>
      <c r="AI34" s="5">
        <v>0</v>
      </c>
    </row>
    <row r="35">
      <c r="A35" s="2" t="str">
        <f>HYPERLINK("https://www.avito.ru/ryazan/bytovaya_elektronika/bambu_lab_h2d_combo_ams_2_pro_1000_mm_cn_versiya_8053134772","8053134772")</f>
      </c>
      <c r="B35" t="s">
        <v>122</v>
      </c>
      <c r="C35" t="s">
        <v>123</v>
      </c>
      <c r="D35" t="s">
        <v>124</v>
      </c>
      <c r="E35" t="s">
        <v>38</v>
      </c>
      <c r="F35" t="s">
        <v>39</v>
      </c>
      <c r="G35" t="s">
        <v>40</v>
      </c>
      <c r="H35" s="3" t="str">
        <f>HYPERLINK("https://www.avito.ru/ryazan/bytovaya_elektronika/bambu_lab_h2d_combo_ams_2_pro_1000_mm_cn_versiya_8053134772","Bambu Lab H2D Combo AMS 2 Pro 1000 мм CN версия")</f>
      </c>
      <c r="I35" t="s">
        <v>41</v>
      </c>
      <c r="J35" t="s">
        <v>42</v>
      </c>
      <c r="K35" t="s">
        <v>43</v>
      </c>
      <c r="L35">
        <v>50</v>
      </c>
      <c r="M35">
        <v>765</v>
      </c>
      <c r="N35" s="4">
        <v>0.1084</v>
      </c>
      <c r="O35">
        <v>83</v>
      </c>
      <c r="P35" s="5">
        <v>0.67</v>
      </c>
      <c r="Q35" s="4">
        <v>0.0361</v>
      </c>
      <c r="R35">
        <v>3</v>
      </c>
      <c r="S35">
        <v>3</v>
      </c>
      <c r="T35">
        <v>0</v>
      </c>
      <c r="U35">
        <v>0</v>
      </c>
      <c r="V35">
        <v>0</v>
      </c>
      <c r="W35" s="5">
        <v>18.66</v>
      </c>
      <c r="X35">
        <v>2</v>
      </c>
      <c r="Y35" s="4">
        <v>0</v>
      </c>
      <c r="Z35">
        <v>0</v>
      </c>
      <c r="AA35" s="5">
        <v>0</v>
      </c>
      <c r="AB35">
        <v>0</v>
      </c>
      <c r="AC35" s="5">
        <v>0</v>
      </c>
      <c r="AD35" s="5">
        <v>56</v>
      </c>
      <c r="AE35" s="5">
        <v>0</v>
      </c>
      <c r="AF35" s="5">
        <v>56</v>
      </c>
      <c r="AG35" s="5">
        <v>0</v>
      </c>
      <c r="AH35" s="5">
        <v>0</v>
      </c>
      <c r="AI35" s="5">
        <v>0</v>
      </c>
    </row>
    <row r="36">
      <c r="A36" s="2" t="str">
        <f>HYPERLINK("https://www.avito.ru/krasnodar/bytovaya_elektronika/h2s_combo_ams_2_pro_printer_3d_bambu_lab_novyy_8053583382","8053583382")</f>
      </c>
      <c r="B36" t="s">
        <v>78</v>
      </c>
      <c r="C36" t="s">
        <v>79</v>
      </c>
      <c r="D36" t="s">
        <v>80</v>
      </c>
      <c r="E36" t="s">
        <v>38</v>
      </c>
      <c r="F36" t="s">
        <v>39</v>
      </c>
      <c r="G36" t="s">
        <v>40</v>
      </c>
      <c r="H36" s="3" t="str">
        <f>HYPERLINK("https://www.avito.ru/krasnodar/bytovaya_elektronika/h2s_combo_ams_2_pro_printer_3d_bambu_lab_novyy_8053583382","H2S Combo AMS 2 PRO принтер 3D Bambu Lab новый")</f>
      </c>
      <c r="I36" t="s">
        <v>48</v>
      </c>
      <c r="J36" t="s">
        <v>49</v>
      </c>
      <c r="K36" t="s">
        <v>50</v>
      </c>
      <c r="L36">
        <v>52</v>
      </c>
      <c r="M36">
        <v>332</v>
      </c>
      <c r="N36" s="4">
        <v>0.2349</v>
      </c>
      <c r="O36">
        <v>78</v>
      </c>
      <c r="P36" s="5">
        <v>0.71</v>
      </c>
      <c r="Q36" s="4">
        <v>0.0512</v>
      </c>
      <c r="R36">
        <v>4</v>
      </c>
      <c r="S36">
        <v>3</v>
      </c>
      <c r="T36">
        <v>1</v>
      </c>
      <c r="U36">
        <v>0</v>
      </c>
      <c r="V36">
        <v>0</v>
      </c>
      <c r="W36" s="5">
        <v>14</v>
      </c>
      <c r="X36">
        <v>8</v>
      </c>
      <c r="Y36" s="4">
        <v>0</v>
      </c>
      <c r="Z36">
        <v>0</v>
      </c>
      <c r="AA36" s="5">
        <v>0</v>
      </c>
      <c r="AB36">
        <v>0</v>
      </c>
      <c r="AC36" s="5">
        <v>0</v>
      </c>
      <c r="AD36" s="5">
        <v>56</v>
      </c>
      <c r="AE36" s="5">
        <v>0</v>
      </c>
      <c r="AF36" s="5">
        <v>56</v>
      </c>
      <c r="AG36" s="5">
        <v>0</v>
      </c>
      <c r="AH36" s="5">
        <v>0</v>
      </c>
      <c r="AI36" s="5">
        <v>0</v>
      </c>
    </row>
    <row r="37">
      <c r="A37" s="2" t="str">
        <f>HYPERLINK("https://www.avito.ru/nizhniy_novgorod/bytovaya_elektronika/p2s_combo_3d_printer_20000_mms_8053235043","8053235043")</f>
      </c>
      <c r="B37" t="s">
        <v>125</v>
      </c>
      <c r="C37" t="s">
        <v>126</v>
      </c>
      <c r="D37" t="s">
        <v>127</v>
      </c>
      <c r="E37" t="s">
        <v>38</v>
      </c>
      <c r="F37" t="s">
        <v>39</v>
      </c>
      <c r="G37" t="s">
        <v>40</v>
      </c>
      <c r="H37" s="3" t="str">
        <f>HYPERLINK("https://www.avito.ru/nizhniy_novgorod/bytovaya_elektronika/p2s_combo_3d_printer_20000_mms_8053235043","P2S Combo 3D принтер 20000 мм/с²")</f>
      </c>
      <c r="I37" t="s">
        <v>128</v>
      </c>
      <c r="J37" t="s">
        <v>115</v>
      </c>
      <c r="K37" t="s">
        <v>116</v>
      </c>
      <c r="L37">
        <v>51</v>
      </c>
      <c r="M37">
        <v>524</v>
      </c>
      <c r="N37" s="4">
        <v>0.145</v>
      </c>
      <c r="O37">
        <v>76</v>
      </c>
      <c r="P37" s="5">
        <v>0.73</v>
      </c>
      <c r="Q37" s="4">
        <v>0.0131</v>
      </c>
      <c r="R37">
        <v>1</v>
      </c>
      <c r="S37">
        <v>1</v>
      </c>
      <c r="T37">
        <v>0</v>
      </c>
      <c r="U37">
        <v>0</v>
      </c>
      <c r="V37">
        <v>0</v>
      </c>
      <c r="W37" s="5">
        <v>56</v>
      </c>
      <c r="X37">
        <v>4</v>
      </c>
      <c r="Y37" s="4">
        <v>0</v>
      </c>
      <c r="Z37">
        <v>0</v>
      </c>
      <c r="AA37" s="5">
        <v>0</v>
      </c>
      <c r="AB37">
        <v>0</v>
      </c>
      <c r="AC37" s="5">
        <v>0</v>
      </c>
      <c r="AD37" s="5">
        <v>56</v>
      </c>
      <c r="AE37" s="5">
        <v>0</v>
      </c>
      <c r="AF37" s="5">
        <v>56</v>
      </c>
      <c r="AG37" s="5">
        <v>0</v>
      </c>
      <c r="AH37" s="5">
        <v>0</v>
      </c>
      <c r="AI37" s="5">
        <v>0</v>
      </c>
    </row>
    <row r="38">
      <c r="A38" s="2" t="str">
        <f>HYPERLINK("https://www.avito.ru/mahachkala/bytovaya_elektronika/bambu_lab_h2s_laser_10w_dlya_prototipirovaniya_eu_8053834908","8053834908")</f>
      </c>
      <c r="B38" t="s">
        <v>106</v>
      </c>
      <c r="C38" t="s">
        <v>107</v>
      </c>
      <c r="D38" t="s">
        <v>108</v>
      </c>
      <c r="E38" t="s">
        <v>38</v>
      </c>
      <c r="F38" t="s">
        <v>39</v>
      </c>
      <c r="G38" t="s">
        <v>40</v>
      </c>
      <c r="H38" s="3" t="str">
        <f>HYPERLINK("https://www.avito.ru/mahachkala/bytovaya_elektronika/bambu_lab_h2s_laser_10w_dlya_prototipirovaniya_eu_8053834908","Bambu Lab H2S Laser 10W для прототипирования EU")</f>
      </c>
      <c r="I38" t="s">
        <v>129</v>
      </c>
      <c r="J38" t="s">
        <v>115</v>
      </c>
      <c r="K38" t="s">
        <v>116</v>
      </c>
      <c r="L38">
        <v>51</v>
      </c>
      <c r="M38">
        <v>1223</v>
      </c>
      <c r="N38" s="4">
        <v>0.0613</v>
      </c>
      <c r="O38">
        <v>75</v>
      </c>
      <c r="P38" s="5">
        <v>0.74</v>
      </c>
      <c r="Q38" s="4">
        <v>0</v>
      </c>
      <c r="R38">
        <v>0</v>
      </c>
      <c r="S38">
        <v>0</v>
      </c>
      <c r="T38">
        <v>0</v>
      </c>
      <c r="U38">
        <v>0</v>
      </c>
      <c r="V38">
        <v>0</v>
      </c>
      <c r="W38" s="5" t="s">
        <v>65</v>
      </c>
      <c r="X38">
        <v>5</v>
      </c>
      <c r="Y38" s="4">
        <v>0</v>
      </c>
      <c r="Z38">
        <v>0</v>
      </c>
      <c r="AA38" s="5">
        <v>0</v>
      </c>
      <c r="AB38">
        <v>0</v>
      </c>
      <c r="AC38" s="5">
        <v>0</v>
      </c>
      <c r="AD38" s="5">
        <v>56</v>
      </c>
      <c r="AE38" s="5">
        <v>0</v>
      </c>
      <c r="AF38" s="5">
        <v>56</v>
      </c>
      <c r="AG38" s="5">
        <v>0</v>
      </c>
      <c r="AH38" s="5">
        <v>0</v>
      </c>
      <c r="AI38" s="5">
        <v>0</v>
      </c>
    </row>
    <row r="39">
      <c r="A39" s="2" t="str">
        <f>HYPERLINK("https://www.avito.ru/krasnodar/bytovaya_elektronika/professionalnyy_3d_printer_h2d_combo_ams2_pro_eu_8053083810","8053083810")</f>
      </c>
      <c r="B39" t="s">
        <v>78</v>
      </c>
      <c r="C39" t="s">
        <v>79</v>
      </c>
      <c r="D39" t="s">
        <v>130</v>
      </c>
      <c r="E39" t="s">
        <v>38</v>
      </c>
      <c r="F39" t="s">
        <v>39</v>
      </c>
      <c r="G39" t="s">
        <v>40</v>
      </c>
      <c r="H39" s="3" t="str">
        <f>HYPERLINK("https://www.avito.ru/krasnodar/bytovaya_elektronika/professionalnyy_3d_printer_h2d_combo_ams2_pro_eu_8053083810","Профессиональный 3D принтер H2D Combo AMS2 Pro EU")</f>
      </c>
      <c r="I39" t="s">
        <v>91</v>
      </c>
      <c r="J39" t="s">
        <v>49</v>
      </c>
      <c r="K39" t="s">
        <v>50</v>
      </c>
      <c r="L39">
        <v>52</v>
      </c>
      <c r="M39">
        <v>260</v>
      </c>
      <c r="N39" s="4">
        <v>0.2807</v>
      </c>
      <c r="O39">
        <v>73</v>
      </c>
      <c r="P39" s="5">
        <v>0.76</v>
      </c>
      <c r="Q39" s="4">
        <v>0.041</v>
      </c>
      <c r="R39">
        <v>3</v>
      </c>
      <c r="S39">
        <v>2</v>
      </c>
      <c r="T39">
        <v>0</v>
      </c>
      <c r="U39">
        <v>1</v>
      </c>
      <c r="V39">
        <v>0</v>
      </c>
      <c r="W39" s="5">
        <v>18.66</v>
      </c>
      <c r="X39">
        <v>4</v>
      </c>
      <c r="Y39" s="4">
        <v>0</v>
      </c>
      <c r="Z39">
        <v>0</v>
      </c>
      <c r="AA39" s="5">
        <v>0</v>
      </c>
      <c r="AB39">
        <v>0</v>
      </c>
      <c r="AC39" s="5">
        <v>0</v>
      </c>
      <c r="AD39" s="5">
        <v>56</v>
      </c>
      <c r="AE39" s="5">
        <v>0</v>
      </c>
      <c r="AF39" s="5">
        <v>56</v>
      </c>
      <c r="AG39" s="5">
        <v>0</v>
      </c>
      <c r="AH39" s="5">
        <v>0</v>
      </c>
      <c r="AI39" s="5">
        <v>0</v>
      </c>
    </row>
    <row r="40">
      <c r="A40" s="2" t="str">
        <f>HYPERLINK("https://www.avito.ru/kazan/bytovaya_elektronika/bambu_lab_h2c_ams_combo_dlya_proizvodstva_8053329886","8053329886")</f>
      </c>
      <c r="B40" t="s">
        <v>112</v>
      </c>
      <c r="C40" t="s">
        <v>131</v>
      </c>
      <c r="D40" t="s">
        <v>132</v>
      </c>
      <c r="E40" t="s">
        <v>38</v>
      </c>
      <c r="F40" t="s">
        <v>39</v>
      </c>
      <c r="G40" t="s">
        <v>40</v>
      </c>
      <c r="H40" s="3" t="str">
        <f>HYPERLINK("https://www.avito.ru/kazan/bytovaya_elektronika/bambu_lab_h2c_ams_combo_dlya_proizvodstva_8053329886","Bambu Lab H2C AMS Combo для производства")</f>
      </c>
      <c r="I40" t="s">
        <v>83</v>
      </c>
      <c r="J40" t="s">
        <v>49</v>
      </c>
      <c r="K40" t="s">
        <v>50</v>
      </c>
      <c r="L40">
        <v>52</v>
      </c>
      <c r="M40">
        <v>214</v>
      </c>
      <c r="N40" s="4">
        <v>0.3364</v>
      </c>
      <c r="O40">
        <v>72</v>
      </c>
      <c r="P40" s="5">
        <v>0.77</v>
      </c>
      <c r="Q40" s="4">
        <v>0</v>
      </c>
      <c r="R40">
        <v>0</v>
      </c>
      <c r="S40">
        <v>0</v>
      </c>
      <c r="T40">
        <v>0</v>
      </c>
      <c r="U40">
        <v>0</v>
      </c>
      <c r="V40">
        <v>0</v>
      </c>
      <c r="W40" s="5" t="s">
        <v>65</v>
      </c>
      <c r="X40">
        <v>3</v>
      </c>
      <c r="Y40" s="4">
        <v>0</v>
      </c>
      <c r="Z40">
        <v>0</v>
      </c>
      <c r="AA40" s="5">
        <v>0</v>
      </c>
      <c r="AB40">
        <v>0</v>
      </c>
      <c r="AC40" s="5">
        <v>0</v>
      </c>
      <c r="AD40" s="5">
        <v>56</v>
      </c>
      <c r="AE40" s="5">
        <v>0</v>
      </c>
      <c r="AF40" s="5">
        <v>56</v>
      </c>
      <c r="AG40" s="5">
        <v>0</v>
      </c>
      <c r="AH40" s="5">
        <v>0</v>
      </c>
      <c r="AI40" s="5">
        <v>0</v>
      </c>
    </row>
    <row r="41">
      <c r="A41" s="2" t="str">
        <f>HYPERLINK("https://www.avito.ru/irkutsk/bytovaya_elektronika/professionalnyy_3d_printer_h2s_combo_ams_2_pro_8053742326","8053742326")</f>
      </c>
      <c r="B41" t="s">
        <v>133</v>
      </c>
      <c r="C41" t="s">
        <v>134</v>
      </c>
      <c r="D41" t="s">
        <v>135</v>
      </c>
      <c r="E41" t="s">
        <v>38</v>
      </c>
      <c r="F41" t="s">
        <v>39</v>
      </c>
      <c r="G41" t="s">
        <v>40</v>
      </c>
      <c r="H41" s="3" t="str">
        <f>HYPERLINK("https://www.avito.ru/irkutsk/bytovaya_elektronika/professionalnyy_3d_printer_h2s_combo_ams_2_pro_8053742326","Профессиональный 3D принтер H2S Combo AMS 2 PRO")</f>
      </c>
      <c r="I41" t="s">
        <v>48</v>
      </c>
      <c r="J41" t="s">
        <v>115</v>
      </c>
      <c r="K41" t="s">
        <v>116</v>
      </c>
      <c r="L41">
        <v>51</v>
      </c>
      <c r="M41">
        <v>475</v>
      </c>
      <c r="N41" s="4">
        <v>0.1515</v>
      </c>
      <c r="O41">
        <v>72</v>
      </c>
      <c r="P41" s="5">
        <v>0.77</v>
      </c>
      <c r="Q41" s="4">
        <v>0.0138</v>
      </c>
      <c r="R41">
        <v>1</v>
      </c>
      <c r="S41">
        <v>1</v>
      </c>
      <c r="T41">
        <v>0</v>
      </c>
      <c r="U41">
        <v>0</v>
      </c>
      <c r="V41">
        <v>0</v>
      </c>
      <c r="W41" s="5">
        <v>56</v>
      </c>
      <c r="X41">
        <v>8</v>
      </c>
      <c r="Y41" s="4">
        <v>0</v>
      </c>
      <c r="Z41">
        <v>0</v>
      </c>
      <c r="AA41" s="5">
        <v>0</v>
      </c>
      <c r="AB41">
        <v>0</v>
      </c>
      <c r="AC41" s="5">
        <v>0</v>
      </c>
      <c r="AD41" s="5">
        <v>56</v>
      </c>
      <c r="AE41" s="5">
        <v>0</v>
      </c>
      <c r="AF41" s="5">
        <v>56</v>
      </c>
      <c r="AG41" s="5">
        <v>0</v>
      </c>
      <c r="AH41" s="5">
        <v>0</v>
      </c>
      <c r="AI41" s="5">
        <v>0</v>
      </c>
    </row>
    <row r="42">
      <c r="A42" s="2" t="str">
        <f>HYPERLINK("https://www.avito.ru/krasnodar/bytovaya_elektronika/p2s_combo_professionalnyy_3d_printer_8053713288","8053713288")</f>
      </c>
      <c r="B42" t="s">
        <v>78</v>
      </c>
      <c r="C42" t="s">
        <v>79</v>
      </c>
      <c r="D42" t="s">
        <v>80</v>
      </c>
      <c r="E42" t="s">
        <v>38</v>
      </c>
      <c r="F42" t="s">
        <v>39</v>
      </c>
      <c r="G42" t="s">
        <v>40</v>
      </c>
      <c r="H42" s="3" t="str">
        <f>HYPERLINK("https://www.avito.ru/krasnodar/bytovaya_elektronika/p2s_combo_professionalnyy_3d_printer_8053713288","P2S Combo профессиональный 3Д принтер")</f>
      </c>
      <c r="I42" t="s">
        <v>128</v>
      </c>
      <c r="J42" t="s">
        <v>115</v>
      </c>
      <c r="K42" t="s">
        <v>116</v>
      </c>
      <c r="L42">
        <v>51</v>
      </c>
      <c r="M42">
        <v>451</v>
      </c>
      <c r="N42" s="4">
        <v>0.1574</v>
      </c>
      <c r="O42">
        <v>71</v>
      </c>
      <c r="P42" s="5">
        <v>0.78</v>
      </c>
      <c r="Q42" s="4">
        <v>0.014</v>
      </c>
      <c r="R42">
        <v>1</v>
      </c>
      <c r="S42">
        <v>0</v>
      </c>
      <c r="T42">
        <v>0</v>
      </c>
      <c r="U42">
        <v>1</v>
      </c>
      <c r="V42">
        <v>0</v>
      </c>
      <c r="W42" s="5">
        <v>56</v>
      </c>
      <c r="X42">
        <v>2</v>
      </c>
      <c r="Y42" s="4">
        <v>0</v>
      </c>
      <c r="Z42">
        <v>0</v>
      </c>
      <c r="AA42" s="5">
        <v>0</v>
      </c>
      <c r="AB42">
        <v>0</v>
      </c>
      <c r="AC42" s="5">
        <v>0</v>
      </c>
      <c r="AD42" s="5">
        <v>56</v>
      </c>
      <c r="AE42" s="5">
        <v>0</v>
      </c>
      <c r="AF42" s="5">
        <v>56</v>
      </c>
      <c r="AG42" s="5">
        <v>0</v>
      </c>
      <c r="AH42" s="5">
        <v>0</v>
      </c>
      <c r="AI42" s="5">
        <v>0</v>
      </c>
    </row>
    <row r="43">
      <c r="A43" s="2" t="str">
        <f>HYPERLINK("https://www.avito.ru/habarovsk/bytovaya_elektronika/bambu_lab_p2s_combo_vysokotochnyy_printer_8052912536","8052912536")</f>
      </c>
      <c r="B43" t="s">
        <v>92</v>
      </c>
      <c r="C43" t="s">
        <v>93</v>
      </c>
      <c r="D43" t="s">
        <v>94</v>
      </c>
      <c r="E43" t="s">
        <v>38</v>
      </c>
      <c r="F43" t="s">
        <v>39</v>
      </c>
      <c r="G43" t="s">
        <v>40</v>
      </c>
      <c r="H43" s="3" t="str">
        <f>HYPERLINK("https://www.avito.ru/habarovsk/bytovaya_elektronika/bambu_lab_p2s_combo_vysokotochnyy_printer_8052912536","Bambu Lab P2S Combo высокоточный принтер")</f>
      </c>
      <c r="I43" t="s">
        <v>128</v>
      </c>
      <c r="J43" t="s">
        <v>115</v>
      </c>
      <c r="K43" t="s">
        <v>116</v>
      </c>
      <c r="L43">
        <v>51</v>
      </c>
      <c r="M43">
        <v>441</v>
      </c>
      <c r="N43" s="4">
        <v>0.1587</v>
      </c>
      <c r="O43">
        <v>70</v>
      </c>
      <c r="P43" s="5">
        <v>0.8</v>
      </c>
      <c r="Q43" s="4">
        <v>0</v>
      </c>
      <c r="R43">
        <v>0</v>
      </c>
      <c r="S43">
        <v>0</v>
      </c>
      <c r="T43">
        <v>0</v>
      </c>
      <c r="U43">
        <v>0</v>
      </c>
      <c r="V43">
        <v>0</v>
      </c>
      <c r="W43" s="5" t="s">
        <v>65</v>
      </c>
      <c r="X43">
        <v>2</v>
      </c>
      <c r="Y43" s="4">
        <v>0</v>
      </c>
      <c r="Z43">
        <v>0</v>
      </c>
      <c r="AA43" s="5">
        <v>0</v>
      </c>
      <c r="AB43">
        <v>0</v>
      </c>
      <c r="AC43" s="5">
        <v>0</v>
      </c>
      <c r="AD43" s="5">
        <v>56</v>
      </c>
      <c r="AE43" s="5">
        <v>0</v>
      </c>
      <c r="AF43" s="5">
        <v>56</v>
      </c>
      <c r="AG43" s="5">
        <v>0</v>
      </c>
      <c r="AH43" s="5">
        <v>0</v>
      </c>
      <c r="AI43" s="5">
        <v>0</v>
      </c>
    </row>
    <row r="44">
      <c r="A44" s="2" t="str">
        <f>HYPERLINK("https://www.avito.ru/ekaterinburg/bytovaya_elektronika/3d_printer_p2s_combo_dlya_inzhenernyh_zadach_8053580809","8053580809")</f>
      </c>
      <c r="B44" t="s">
        <v>136</v>
      </c>
      <c r="C44" t="s">
        <v>137</v>
      </c>
      <c r="D44" t="s">
        <v>138</v>
      </c>
      <c r="E44" t="s">
        <v>38</v>
      </c>
      <c r="F44" t="s">
        <v>39</v>
      </c>
      <c r="G44" t="s">
        <v>40</v>
      </c>
      <c r="H44" s="3" t="str">
        <f>HYPERLINK("https://www.avito.ru/ekaterinburg/bytovaya_elektronika/3d_printer_p2s_combo_dlya_inzhenernyh_zadach_8053580809","3D принтер P2S Combo для инженерных задач")</f>
      </c>
      <c r="I44" t="s">
        <v>128</v>
      </c>
      <c r="J44" t="s">
        <v>115</v>
      </c>
      <c r="K44" t="s">
        <v>116</v>
      </c>
      <c r="L44">
        <v>51</v>
      </c>
      <c r="M44">
        <v>624</v>
      </c>
      <c r="N44" s="4">
        <v>0.1121</v>
      </c>
      <c r="O44">
        <v>70</v>
      </c>
      <c r="P44" s="5">
        <v>0.8</v>
      </c>
      <c r="Q44" s="4">
        <v>0.0142</v>
      </c>
      <c r="R44">
        <v>1</v>
      </c>
      <c r="S44">
        <v>1</v>
      </c>
      <c r="T44">
        <v>0</v>
      </c>
      <c r="U44">
        <v>0</v>
      </c>
      <c r="V44">
        <v>0</v>
      </c>
      <c r="W44" s="5">
        <v>56</v>
      </c>
      <c r="X44">
        <v>3</v>
      </c>
      <c r="Y44" s="4">
        <v>0</v>
      </c>
      <c r="Z44">
        <v>0</v>
      </c>
      <c r="AA44" s="5">
        <v>0</v>
      </c>
      <c r="AB44">
        <v>0</v>
      </c>
      <c r="AC44" s="5">
        <v>0</v>
      </c>
      <c r="AD44" s="5">
        <v>56</v>
      </c>
      <c r="AE44" s="5">
        <v>0</v>
      </c>
      <c r="AF44" s="5">
        <v>56</v>
      </c>
      <c r="AG44" s="5">
        <v>0</v>
      </c>
      <c r="AH44" s="5">
        <v>0</v>
      </c>
      <c r="AI44" s="5">
        <v>0</v>
      </c>
    </row>
    <row r="45">
      <c r="A45" s="2" t="str">
        <f>HYPERLINK("https://www.avito.ru/rostov-na-donu/bytovaya_elektronika/h2d_combo_ams_2_pro_3d_printer_1000sek_cn_8053189934","8053189934")</f>
      </c>
      <c r="B45" t="s">
        <v>88</v>
      </c>
      <c r="C45" t="s">
        <v>89</v>
      </c>
      <c r="D45" t="s">
        <v>90</v>
      </c>
      <c r="E45" t="s">
        <v>38</v>
      </c>
      <c r="F45" t="s">
        <v>39</v>
      </c>
      <c r="G45" t="s">
        <v>40</v>
      </c>
      <c r="H45" s="3" t="str">
        <f>HYPERLINK("https://www.avito.ru/rostov-na-donu/bytovaya_elektronika/h2d_combo_ams_2_pro_3d_printer_1000sek_cn_8053189934","H2D Combo AMS 2 Pro 3D принтер 1000/сек CN")</f>
      </c>
      <c r="I45" t="s">
        <v>41</v>
      </c>
      <c r="J45" t="s">
        <v>42</v>
      </c>
      <c r="K45" t="s">
        <v>43</v>
      </c>
      <c r="L45">
        <v>50</v>
      </c>
      <c r="M45">
        <v>288</v>
      </c>
      <c r="N45" s="4">
        <v>0.2291</v>
      </c>
      <c r="O45">
        <v>66</v>
      </c>
      <c r="P45" s="5">
        <v>0.84</v>
      </c>
      <c r="Q45" s="4">
        <v>0</v>
      </c>
      <c r="R45">
        <v>0</v>
      </c>
      <c r="S45">
        <v>0</v>
      </c>
      <c r="T45">
        <v>0</v>
      </c>
      <c r="U45">
        <v>0</v>
      </c>
      <c r="V45">
        <v>0</v>
      </c>
      <c r="W45" s="5" t="s">
        <v>65</v>
      </c>
      <c r="X45">
        <v>7</v>
      </c>
      <c r="Y45" s="4">
        <v>0</v>
      </c>
      <c r="Z45">
        <v>0</v>
      </c>
      <c r="AA45" s="5">
        <v>0</v>
      </c>
      <c r="AB45">
        <v>0</v>
      </c>
      <c r="AC45" s="5">
        <v>0</v>
      </c>
      <c r="AD45" s="5">
        <v>56</v>
      </c>
      <c r="AE45" s="5">
        <v>0</v>
      </c>
      <c r="AF45" s="5">
        <v>56</v>
      </c>
      <c r="AG45" s="5">
        <v>0</v>
      </c>
      <c r="AH45" s="5">
        <v>0</v>
      </c>
      <c r="AI45" s="5">
        <v>0</v>
      </c>
    </row>
    <row r="46">
      <c r="A46" s="2" t="str">
        <f>HYPERLINK("https://www.avito.ru/krasnoyarsk/bytovaya_elektronika/bambu_lab_p2s_combo_eu_version_8053082568","8053082568")</f>
      </c>
      <c r="B46" t="s">
        <v>139</v>
      </c>
      <c r="C46" t="s">
        <v>140</v>
      </c>
      <c r="D46" t="s">
        <v>141</v>
      </c>
      <c r="E46" t="s">
        <v>38</v>
      </c>
      <c r="F46" t="s">
        <v>39</v>
      </c>
      <c r="G46" t="s">
        <v>40</v>
      </c>
      <c r="H46" s="3" t="str">
        <f>HYPERLINK("https://www.avito.ru/krasnoyarsk/bytovaya_elektronika/bambu_lab_p2s_combo_eu_version_8053082568","Bambu Lab P2S Combo (EU Version)")</f>
      </c>
      <c r="I46" t="s">
        <v>128</v>
      </c>
      <c r="J46" t="s">
        <v>115</v>
      </c>
      <c r="K46" t="s">
        <v>116</v>
      </c>
      <c r="L46">
        <v>51</v>
      </c>
      <c r="M46">
        <v>421</v>
      </c>
      <c r="N46" s="4">
        <v>0.1543</v>
      </c>
      <c r="O46">
        <v>65</v>
      </c>
      <c r="P46" s="5">
        <v>0.86</v>
      </c>
      <c r="Q46" s="4">
        <v>0</v>
      </c>
      <c r="R46">
        <v>0</v>
      </c>
      <c r="S46">
        <v>0</v>
      </c>
      <c r="T46">
        <v>0</v>
      </c>
      <c r="U46">
        <v>0</v>
      </c>
      <c r="V46">
        <v>0</v>
      </c>
      <c r="W46" s="5" t="s">
        <v>65</v>
      </c>
      <c r="X46">
        <v>7</v>
      </c>
      <c r="Y46" s="4">
        <v>0</v>
      </c>
      <c r="Z46">
        <v>0</v>
      </c>
      <c r="AA46" s="5">
        <v>0</v>
      </c>
      <c r="AB46">
        <v>0</v>
      </c>
      <c r="AC46" s="5">
        <v>0</v>
      </c>
      <c r="AD46" s="5">
        <v>56</v>
      </c>
      <c r="AE46" s="5">
        <v>0</v>
      </c>
      <c r="AF46" s="5">
        <v>56</v>
      </c>
      <c r="AG46" s="5">
        <v>0</v>
      </c>
      <c r="AH46" s="5">
        <v>0</v>
      </c>
      <c r="AI46" s="5">
        <v>0</v>
      </c>
    </row>
    <row r="47">
      <c r="A47" s="2" t="str">
        <f>HYPERLINK("https://www.avito.ru/ekaterinburg/bytovaya_elektronika/bambu_lab_h2c_eu_s_ams_2_pro_i_laser_10w_8052921886","8052921886")</f>
      </c>
      <c r="B47" t="s">
        <v>136</v>
      </c>
      <c r="C47" t="s">
        <v>137</v>
      </c>
      <c r="D47" t="s">
        <v>138</v>
      </c>
      <c r="E47" t="s">
        <v>38</v>
      </c>
      <c r="F47" t="s">
        <v>39</v>
      </c>
      <c r="G47" t="s">
        <v>40</v>
      </c>
      <c r="H47" s="3" t="str">
        <f>HYPERLINK("https://www.avito.ru/ekaterinburg/bytovaya_elektronika/bambu_lab_h2c_eu_s_ams_2_pro_i_laser_10w_8052921886","Bambu Lab H2C EU с AMS 2 Pro и Laser 10W")</f>
      </c>
      <c r="I47" t="s">
        <v>69</v>
      </c>
      <c r="J47" t="s">
        <v>49</v>
      </c>
      <c r="K47" t="s">
        <v>50</v>
      </c>
      <c r="L47">
        <v>52</v>
      </c>
      <c r="M47">
        <v>293</v>
      </c>
      <c r="N47" s="4">
        <v>0.215</v>
      </c>
      <c r="O47">
        <v>63</v>
      </c>
      <c r="P47" s="5">
        <v>0.88</v>
      </c>
      <c r="Q47" s="4">
        <v>0</v>
      </c>
      <c r="R47">
        <v>0</v>
      </c>
      <c r="S47">
        <v>0</v>
      </c>
      <c r="T47">
        <v>0</v>
      </c>
      <c r="U47">
        <v>0</v>
      </c>
      <c r="V47">
        <v>0</v>
      </c>
      <c r="W47" s="5" t="s">
        <v>65</v>
      </c>
      <c r="X47">
        <v>4</v>
      </c>
      <c r="Y47" s="4">
        <v>0</v>
      </c>
      <c r="Z47">
        <v>0</v>
      </c>
      <c r="AA47" s="5">
        <v>0</v>
      </c>
      <c r="AB47">
        <v>0</v>
      </c>
      <c r="AC47" s="5">
        <v>0</v>
      </c>
      <c r="AD47" s="5">
        <v>56</v>
      </c>
      <c r="AE47" s="5">
        <v>0</v>
      </c>
      <c r="AF47" s="5">
        <v>56</v>
      </c>
      <c r="AG47" s="5">
        <v>0</v>
      </c>
      <c r="AH47" s="5">
        <v>0</v>
      </c>
      <c r="AI47" s="5">
        <v>0</v>
      </c>
    </row>
    <row r="48">
      <c r="A48" s="2" t="str">
        <f>HYPERLINK("https://www.avito.ru/novosibirsk/bytovaya_elektronika/printer_3d_bambu_lab_p2s_combo_600_mms_dlya_biznesa_i_doma_8053481288","8053481288")</f>
      </c>
      <c r="B48" t="s">
        <v>142</v>
      </c>
      <c r="C48" t="s">
        <v>143</v>
      </c>
      <c r="D48" t="s">
        <v>144</v>
      </c>
      <c r="E48" t="s">
        <v>38</v>
      </c>
      <c r="F48" t="s">
        <v>39</v>
      </c>
      <c r="G48" t="s">
        <v>40</v>
      </c>
      <c r="H48" s="3" t="str">
        <f>HYPERLINK("https://www.avito.ru/novosibirsk/bytovaya_elektronika/printer_3d_bambu_lab_p2s_combo_600_mms_dlya_biznesa_i_doma_8053481288","Принтер 3D Bambu Lab P2S Combo 600 мм/с для бизнеса и дома")</f>
      </c>
      <c r="I48" t="s">
        <v>128</v>
      </c>
      <c r="J48" t="s">
        <v>115</v>
      </c>
      <c r="K48" t="s">
        <v>116</v>
      </c>
      <c r="L48">
        <v>51</v>
      </c>
      <c r="M48">
        <v>331</v>
      </c>
      <c r="N48" s="4">
        <v>0.1903</v>
      </c>
      <c r="O48">
        <v>63</v>
      </c>
      <c r="P48" s="5">
        <v>0.88</v>
      </c>
      <c r="Q48" s="4">
        <v>0</v>
      </c>
      <c r="R48">
        <v>0</v>
      </c>
      <c r="S48">
        <v>0</v>
      </c>
      <c r="T48">
        <v>0</v>
      </c>
      <c r="U48">
        <v>0</v>
      </c>
      <c r="V48">
        <v>0</v>
      </c>
      <c r="W48" s="5" t="s">
        <v>65</v>
      </c>
      <c r="X48">
        <v>6</v>
      </c>
      <c r="Y48" s="4">
        <v>0</v>
      </c>
      <c r="Z48">
        <v>0</v>
      </c>
      <c r="AA48" s="5">
        <v>0</v>
      </c>
      <c r="AB48">
        <v>0</v>
      </c>
      <c r="AC48" s="5">
        <v>0</v>
      </c>
      <c r="AD48" s="5">
        <v>56</v>
      </c>
      <c r="AE48" s="5">
        <v>0</v>
      </c>
      <c r="AF48" s="5">
        <v>56</v>
      </c>
      <c r="AG48" s="5">
        <v>0</v>
      </c>
      <c r="AH48" s="5">
        <v>0</v>
      </c>
      <c r="AI48" s="5">
        <v>0</v>
      </c>
    </row>
    <row r="49">
      <c r="A49" s="2" t="str">
        <f>HYPERLINK("https://www.avito.ru/tyumen/bytovaya_elektronika/bambu_lab_p2s_combo_novyy_v_upakovke_8053367456","8053367456")</f>
      </c>
      <c r="B49" t="s">
        <v>145</v>
      </c>
      <c r="C49" t="s">
        <v>146</v>
      </c>
      <c r="D49" t="s">
        <v>147</v>
      </c>
      <c r="E49" t="s">
        <v>38</v>
      </c>
      <c r="F49" t="s">
        <v>39</v>
      </c>
      <c r="G49" t="s">
        <v>40</v>
      </c>
      <c r="H49" s="3" t="str">
        <f>HYPERLINK("https://www.avito.ru/tyumen/bytovaya_elektronika/bambu_lab_p2s_combo_novyy_v_upakovke_8053367456","Bambu Lab P2S Combo новый в упаковке")</f>
      </c>
      <c r="I49" t="s">
        <v>128</v>
      </c>
      <c r="J49" t="s">
        <v>115</v>
      </c>
      <c r="K49" t="s">
        <v>116</v>
      </c>
      <c r="L49">
        <v>51</v>
      </c>
      <c r="M49">
        <v>590</v>
      </c>
      <c r="N49" s="4">
        <v>0.1016</v>
      </c>
      <c r="O49">
        <v>60</v>
      </c>
      <c r="P49" s="5">
        <v>0.93</v>
      </c>
      <c r="Q49" s="4">
        <v>0</v>
      </c>
      <c r="R49">
        <v>0</v>
      </c>
      <c r="S49">
        <v>0</v>
      </c>
      <c r="T49">
        <v>0</v>
      </c>
      <c r="U49">
        <v>0</v>
      </c>
      <c r="V49">
        <v>0</v>
      </c>
      <c r="W49" s="5" t="s">
        <v>65</v>
      </c>
      <c r="X49">
        <v>6</v>
      </c>
      <c r="Y49" s="4">
        <v>0</v>
      </c>
      <c r="Z49">
        <v>0</v>
      </c>
      <c r="AA49" s="5">
        <v>0</v>
      </c>
      <c r="AB49">
        <v>0</v>
      </c>
      <c r="AC49" s="5">
        <v>0</v>
      </c>
      <c r="AD49" s="5">
        <v>56</v>
      </c>
      <c r="AE49" s="5">
        <v>0</v>
      </c>
      <c r="AF49" s="5">
        <v>56</v>
      </c>
      <c r="AG49" s="5">
        <v>0</v>
      </c>
      <c r="AH49" s="5">
        <v>0</v>
      </c>
      <c r="AI49" s="5">
        <v>0</v>
      </c>
    </row>
    <row r="50">
      <c r="A50" s="2" t="str">
        <f>HYPERLINK("https://www.avito.ru/rostov-na-donu/bytovaya_elektronika/3d_printer_p2s_combo_s_kameroy_i_ii_8053296658","8053296658")</f>
      </c>
      <c r="B50" t="s">
        <v>88</v>
      </c>
      <c r="C50" t="s">
        <v>89</v>
      </c>
      <c r="D50" t="s">
        <v>90</v>
      </c>
      <c r="E50" t="s">
        <v>38</v>
      </c>
      <c r="F50" t="s">
        <v>39</v>
      </c>
      <c r="G50" t="s">
        <v>40</v>
      </c>
      <c r="H50" s="3" t="str">
        <f>HYPERLINK("https://www.avito.ru/rostov-na-donu/bytovaya_elektronika/3d_printer_p2s_combo_s_kameroy_i_ii_8053296658","3D принтер P2S Combo с камерой и ии")</f>
      </c>
      <c r="I50" t="s">
        <v>128</v>
      </c>
      <c r="J50" t="s">
        <v>115</v>
      </c>
      <c r="K50" t="s">
        <v>116</v>
      </c>
      <c r="L50">
        <v>51</v>
      </c>
      <c r="M50">
        <v>392</v>
      </c>
      <c r="N50" s="4">
        <v>0.1505</v>
      </c>
      <c r="O50">
        <v>59</v>
      </c>
      <c r="P50" s="5">
        <v>0.94</v>
      </c>
      <c r="Q50" s="4">
        <v>0.0169</v>
      </c>
      <c r="R50">
        <v>1</v>
      </c>
      <c r="S50">
        <v>1</v>
      </c>
      <c r="T50">
        <v>0</v>
      </c>
      <c r="U50">
        <v>0</v>
      </c>
      <c r="V50">
        <v>0</v>
      </c>
      <c r="W50" s="5">
        <v>56</v>
      </c>
      <c r="X50">
        <v>2</v>
      </c>
      <c r="Y50" s="4">
        <v>0</v>
      </c>
      <c r="Z50">
        <v>0</v>
      </c>
      <c r="AA50" s="5">
        <v>0</v>
      </c>
      <c r="AB50">
        <v>0</v>
      </c>
      <c r="AC50" s="5">
        <v>0</v>
      </c>
      <c r="AD50" s="5">
        <v>56</v>
      </c>
      <c r="AE50" s="5">
        <v>0</v>
      </c>
      <c r="AF50" s="5">
        <v>56</v>
      </c>
      <c r="AG50" s="5">
        <v>0</v>
      </c>
      <c r="AH50" s="5">
        <v>0</v>
      </c>
      <c r="AI50" s="5">
        <v>0</v>
      </c>
    </row>
    <row r="51">
      <c r="A51" s="2" t="str">
        <f>HYPERLINK("https://www.avito.ru/krasnoyarsk/bytovaya_elektronika/h2s_combo_ams_2_pro_3d_printer_8053829309","8053829309")</f>
      </c>
      <c r="B51" t="s">
        <v>139</v>
      </c>
      <c r="C51" t="s">
        <v>140</v>
      </c>
      <c r="D51" t="s">
        <v>141</v>
      </c>
      <c r="E51" t="s">
        <v>38</v>
      </c>
      <c r="F51" t="s">
        <v>39</v>
      </c>
      <c r="G51" t="s">
        <v>40</v>
      </c>
      <c r="H51" s="3" t="str">
        <f>HYPERLINK("https://www.avito.ru/krasnoyarsk/bytovaya_elektronika/h2s_combo_ams_2_pro_3d_printer_8053829309","H2S Combo AMS 2 PRO 3D принтер")</f>
      </c>
      <c r="I51" t="s">
        <v>48</v>
      </c>
      <c r="J51" t="s">
        <v>49</v>
      </c>
      <c r="K51" t="s">
        <v>50</v>
      </c>
      <c r="L51">
        <v>52</v>
      </c>
      <c r="M51">
        <v>270</v>
      </c>
      <c r="N51" s="4">
        <v>0.2185</v>
      </c>
      <c r="O51">
        <v>59</v>
      </c>
      <c r="P51" s="5">
        <v>0.94</v>
      </c>
      <c r="Q51" s="4">
        <v>0.0338</v>
      </c>
      <c r="R51">
        <v>2</v>
      </c>
      <c r="S51">
        <v>0</v>
      </c>
      <c r="T51">
        <v>1</v>
      </c>
      <c r="U51">
        <v>1</v>
      </c>
      <c r="V51">
        <v>0</v>
      </c>
      <c r="W51" s="5">
        <v>28</v>
      </c>
      <c r="X51">
        <v>3</v>
      </c>
      <c r="Y51" s="4">
        <v>0</v>
      </c>
      <c r="Z51">
        <v>0</v>
      </c>
      <c r="AA51" s="5">
        <v>0</v>
      </c>
      <c r="AB51">
        <v>0</v>
      </c>
      <c r="AC51" s="5">
        <v>0</v>
      </c>
      <c r="AD51" s="5">
        <v>56</v>
      </c>
      <c r="AE51" s="5">
        <v>0</v>
      </c>
      <c r="AF51" s="5">
        <v>56</v>
      </c>
      <c r="AG51" s="5">
        <v>0</v>
      </c>
      <c r="AH51" s="5">
        <v>0</v>
      </c>
      <c r="AI51" s="5">
        <v>0</v>
      </c>
    </row>
    <row r="52">
      <c r="A52" s="2" t="str">
        <f>HYPERLINK("https://www.avito.ru/moskva/bytovaya_elektronika/3d_printer_bambu_lab_h2d_laser_combo_ams_40vt_cn_7861099048","7861099048")</f>
      </c>
      <c r="B52" t="s">
        <v>35</v>
      </c>
      <c r="C52" t="s">
        <v>36</v>
      </c>
      <c r="D52" t="s">
        <v>58</v>
      </c>
      <c r="E52" t="s">
        <v>38</v>
      </c>
      <c r="F52" t="s">
        <v>39</v>
      </c>
      <c r="G52" t="s">
        <v>40</v>
      </c>
      <c r="H52" s="3" t="str">
        <f>HYPERLINK("https://www.avito.ru/moskva/bytovaya_elektronika/3d_printer_bambu_lab_h2d_laser_combo_ams_40vt_cn_7861099048","3D принтер Bambu Lab H2D Laser Combo AMS 40Вт CN")</f>
      </c>
      <c r="I52" t="s">
        <v>148</v>
      </c>
      <c r="J52" t="s">
        <v>60</v>
      </c>
      <c r="K52" t="s">
        <v>47</v>
      </c>
      <c r="L52">
        <v>156</v>
      </c>
      <c r="M52">
        <v>145</v>
      </c>
      <c r="N52" s="4">
        <v>0.3931</v>
      </c>
      <c r="O52">
        <v>57</v>
      </c>
      <c r="P52" s="5">
        <v>1.37</v>
      </c>
      <c r="Q52" s="4">
        <v>0.0175</v>
      </c>
      <c r="R52">
        <v>1</v>
      </c>
      <c r="S52">
        <v>1</v>
      </c>
      <c r="T52">
        <v>0</v>
      </c>
      <c r="U52">
        <v>0</v>
      </c>
      <c r="V52">
        <v>0</v>
      </c>
      <c r="W52" s="5">
        <v>78.4</v>
      </c>
      <c r="X52">
        <v>5</v>
      </c>
      <c r="Y52" s="4">
        <v>0</v>
      </c>
      <c r="Z52">
        <v>0</v>
      </c>
      <c r="AA52" s="5">
        <v>0</v>
      </c>
      <c r="AB52">
        <v>0</v>
      </c>
      <c r="AC52" s="5">
        <v>0</v>
      </c>
      <c r="AD52" s="5">
        <v>78.4</v>
      </c>
      <c r="AE52" s="5">
        <v>0</v>
      </c>
      <c r="AF52" s="5">
        <v>78.4</v>
      </c>
      <c r="AG52" s="5">
        <v>0</v>
      </c>
      <c r="AH52" s="5">
        <v>0</v>
      </c>
      <c r="AI52" s="5">
        <v>0</v>
      </c>
    </row>
    <row r="53">
      <c r="A53" s="2" t="str">
        <f>HYPERLINK("https://www.avito.ru/izhevsk/bytovaya_elektronika/3d_printer_bambu_lab_p2s_combo_8052927561","8052927561")</f>
      </c>
      <c r="B53" t="s">
        <v>149</v>
      </c>
      <c r="C53" t="s">
        <v>150</v>
      </c>
      <c r="D53" t="s">
        <v>151</v>
      </c>
      <c r="E53" t="s">
        <v>38</v>
      </c>
      <c r="F53" t="s">
        <v>39</v>
      </c>
      <c r="G53" t="s">
        <v>40</v>
      </c>
      <c r="H53" s="3" t="str">
        <f>HYPERLINK("https://www.avito.ru/izhevsk/bytovaya_elektronika/3d_printer_bambu_lab_p2s_combo_8052927561","3Д принтер Bambu Lab P2S Combo")</f>
      </c>
      <c r="I53" t="s">
        <v>128</v>
      </c>
      <c r="J53" t="s">
        <v>115</v>
      </c>
      <c r="K53" t="s">
        <v>116</v>
      </c>
      <c r="L53">
        <v>51</v>
      </c>
      <c r="M53">
        <v>574</v>
      </c>
      <c r="N53" s="4">
        <v>0.0993</v>
      </c>
      <c r="O53">
        <v>57</v>
      </c>
      <c r="P53" s="5">
        <v>0.98</v>
      </c>
      <c r="Q53" s="4">
        <v>0.0175</v>
      </c>
      <c r="R53">
        <v>1</v>
      </c>
      <c r="S53">
        <v>1</v>
      </c>
      <c r="T53">
        <v>0</v>
      </c>
      <c r="U53">
        <v>0</v>
      </c>
      <c r="V53">
        <v>0</v>
      </c>
      <c r="W53" s="5">
        <v>56</v>
      </c>
      <c r="X53">
        <v>3</v>
      </c>
      <c r="Y53" s="4">
        <v>0</v>
      </c>
      <c r="Z53">
        <v>0</v>
      </c>
      <c r="AA53" s="5">
        <v>0</v>
      </c>
      <c r="AB53">
        <v>0</v>
      </c>
      <c r="AC53" s="5">
        <v>0</v>
      </c>
      <c r="AD53" s="5">
        <v>56</v>
      </c>
      <c r="AE53" s="5">
        <v>0</v>
      </c>
      <c r="AF53" s="5">
        <v>56</v>
      </c>
      <c r="AG53" s="5">
        <v>0</v>
      </c>
      <c r="AH53" s="5">
        <v>0</v>
      </c>
      <c r="AI53" s="5">
        <v>0</v>
      </c>
    </row>
    <row r="54">
      <c r="A54" s="2" t="str">
        <f>HYPERLINK("https://www.avito.ru/tula/bytovaya_elektronika/3d_printer_h2d_combo_ams_2_pro_novyy_cn_versiya_8053146261","8053146261")</f>
      </c>
      <c r="B54" t="s">
        <v>152</v>
      </c>
      <c r="C54" t="s">
        <v>153</v>
      </c>
      <c r="D54" t="s">
        <v>154</v>
      </c>
      <c r="E54" t="s">
        <v>38</v>
      </c>
      <c r="F54" t="s">
        <v>39</v>
      </c>
      <c r="G54" t="s">
        <v>40</v>
      </c>
      <c r="H54" s="3" t="str">
        <f>HYPERLINK("https://www.avito.ru/tula/bytovaya_elektronika/3d_printer_h2d_combo_ams_2_pro_novyy_cn_versiya_8053146261","3Д принтер H2D Combo AMS 2 Pro новый CN версия")</f>
      </c>
      <c r="I54" t="s">
        <v>41</v>
      </c>
      <c r="J54" t="s">
        <v>42</v>
      </c>
      <c r="K54" t="s">
        <v>43</v>
      </c>
      <c r="L54">
        <v>50</v>
      </c>
      <c r="M54">
        <v>440</v>
      </c>
      <c r="N54" s="4">
        <v>0.1295</v>
      </c>
      <c r="O54">
        <v>57</v>
      </c>
      <c r="P54" s="5">
        <v>0.98</v>
      </c>
      <c r="Q54" s="4">
        <v>0</v>
      </c>
      <c r="R54">
        <v>0</v>
      </c>
      <c r="S54">
        <v>0</v>
      </c>
      <c r="T54">
        <v>0</v>
      </c>
      <c r="U54">
        <v>0</v>
      </c>
      <c r="V54">
        <v>0</v>
      </c>
      <c r="W54" s="5" t="s">
        <v>65</v>
      </c>
      <c r="X54">
        <v>3</v>
      </c>
      <c r="Y54" s="4">
        <v>0</v>
      </c>
      <c r="Z54">
        <v>0</v>
      </c>
      <c r="AA54" s="5">
        <v>0</v>
      </c>
      <c r="AB54">
        <v>0</v>
      </c>
      <c r="AC54" s="5">
        <v>0</v>
      </c>
      <c r="AD54" s="5">
        <v>56</v>
      </c>
      <c r="AE54" s="5">
        <v>0</v>
      </c>
      <c r="AF54" s="5">
        <v>56</v>
      </c>
      <c r="AG54" s="5">
        <v>0</v>
      </c>
      <c r="AH54" s="5">
        <v>0</v>
      </c>
      <c r="AI54" s="5">
        <v>0</v>
      </c>
    </row>
    <row r="55">
      <c r="A55" s="2" t="str">
        <f>HYPERLINK("https://www.avito.ru/cheboksary/bytovaya_elektronika/3d_printer_h2d_combo_ams_2_pro_cn_versiya_8052987035","8052987035")</f>
      </c>
      <c r="B55" t="s">
        <v>155</v>
      </c>
      <c r="C55" t="s">
        <v>156</v>
      </c>
      <c r="D55" t="s">
        <v>157</v>
      </c>
      <c r="E55" t="s">
        <v>38</v>
      </c>
      <c r="F55" t="s">
        <v>39</v>
      </c>
      <c r="G55" t="s">
        <v>40</v>
      </c>
      <c r="H55" s="3" t="str">
        <f>HYPERLINK("https://www.avito.ru/cheboksary/bytovaya_elektronika/3d_printer_h2d_combo_ams_2_pro_cn_versiya_8052987035","3Д принтер H2D Combo AMS 2 Pro CN версия")</f>
      </c>
      <c r="I55" t="s">
        <v>41</v>
      </c>
      <c r="J55" t="s">
        <v>42</v>
      </c>
      <c r="K55" t="s">
        <v>43</v>
      </c>
      <c r="L55">
        <v>50</v>
      </c>
      <c r="M55">
        <v>860</v>
      </c>
      <c r="N55" s="4">
        <v>0.0651</v>
      </c>
      <c r="O55">
        <v>56</v>
      </c>
      <c r="P55" s="5">
        <v>1</v>
      </c>
      <c r="Q55" s="4">
        <v>0.0178</v>
      </c>
      <c r="R55">
        <v>1</v>
      </c>
      <c r="S55">
        <v>1</v>
      </c>
      <c r="T55">
        <v>0</v>
      </c>
      <c r="U55">
        <v>0</v>
      </c>
      <c r="V55">
        <v>0</v>
      </c>
      <c r="W55" s="5">
        <v>56</v>
      </c>
      <c r="X55">
        <v>1</v>
      </c>
      <c r="Y55" s="4">
        <v>0</v>
      </c>
      <c r="Z55">
        <v>0</v>
      </c>
      <c r="AA55" s="5">
        <v>0</v>
      </c>
      <c r="AB55">
        <v>0</v>
      </c>
      <c r="AC55" s="5">
        <v>0</v>
      </c>
      <c r="AD55" s="5">
        <v>56</v>
      </c>
      <c r="AE55" s="5">
        <v>0</v>
      </c>
      <c r="AF55" s="5">
        <v>56</v>
      </c>
      <c r="AG55" s="5">
        <v>0</v>
      </c>
      <c r="AH55" s="5">
        <v>0</v>
      </c>
      <c r="AI55" s="5">
        <v>0</v>
      </c>
    </row>
    <row r="56">
      <c r="A56" s="2" t="str">
        <f>HYPERLINK("https://www.avito.ru/barnaul/bytovaya_elektronika/p2s_combo_stantsiya_3d_pechati_bambu_lab_8053561062","8053561062")</f>
      </c>
      <c r="B56" t="s">
        <v>158</v>
      </c>
      <c r="C56" t="s">
        <v>159</v>
      </c>
      <c r="D56" t="s">
        <v>160</v>
      </c>
      <c r="E56" t="s">
        <v>38</v>
      </c>
      <c r="F56" t="s">
        <v>39</v>
      </c>
      <c r="G56" t="s">
        <v>40</v>
      </c>
      <c r="H56" s="3" t="str">
        <f>HYPERLINK("https://www.avito.ru/barnaul/bytovaya_elektronika/p2s_combo_stantsiya_3d_pechati_bambu_lab_8053561062","P2S Combo станция 3D печати Bambu Lab")</f>
      </c>
      <c r="I56" t="s">
        <v>128</v>
      </c>
      <c r="J56" t="s">
        <v>115</v>
      </c>
      <c r="K56" t="s">
        <v>116</v>
      </c>
      <c r="L56">
        <v>51</v>
      </c>
      <c r="M56">
        <v>334</v>
      </c>
      <c r="N56" s="4">
        <v>0.1676</v>
      </c>
      <c r="O56">
        <v>56</v>
      </c>
      <c r="P56" s="5">
        <v>1</v>
      </c>
      <c r="Q56" s="4">
        <v>0</v>
      </c>
      <c r="R56">
        <v>0</v>
      </c>
      <c r="S56">
        <v>0</v>
      </c>
      <c r="T56">
        <v>0</v>
      </c>
      <c r="U56">
        <v>0</v>
      </c>
      <c r="V56">
        <v>0</v>
      </c>
      <c r="W56" s="5" t="s">
        <v>65</v>
      </c>
      <c r="X56">
        <v>6</v>
      </c>
      <c r="Y56" s="4">
        <v>0</v>
      </c>
      <c r="Z56">
        <v>0</v>
      </c>
      <c r="AA56" s="5">
        <v>0</v>
      </c>
      <c r="AB56">
        <v>0</v>
      </c>
      <c r="AC56" s="5">
        <v>0</v>
      </c>
      <c r="AD56" s="5">
        <v>56</v>
      </c>
      <c r="AE56" s="5">
        <v>0</v>
      </c>
      <c r="AF56" s="5">
        <v>56</v>
      </c>
      <c r="AG56" s="5">
        <v>0</v>
      </c>
      <c r="AH56" s="5">
        <v>0</v>
      </c>
      <c r="AI56" s="5">
        <v>0</v>
      </c>
    </row>
    <row r="57">
      <c r="A57" s="2" t="str">
        <f>HYPERLINK("https://www.avito.ru/chelyabinsk/bytovaya_elektronika/3d_printer_p2s_combo_s_avtosmenoy_plastika_8053689133","8053689133")</f>
      </c>
      <c r="B57" t="s">
        <v>66</v>
      </c>
      <c r="C57" t="s">
        <v>67</v>
      </c>
      <c r="D57" t="s">
        <v>68</v>
      </c>
      <c r="E57" t="s">
        <v>38</v>
      </c>
      <c r="F57" t="s">
        <v>39</v>
      </c>
      <c r="G57" t="s">
        <v>40</v>
      </c>
      <c r="H57" s="3" t="str">
        <f>HYPERLINK("https://www.avito.ru/chelyabinsk/bytovaya_elektronika/3d_printer_p2s_combo_s_avtosmenoy_plastika_8053689133","3D принтер P2S Combo с автосменой пластика")</f>
      </c>
      <c r="I57" t="s">
        <v>128</v>
      </c>
      <c r="J57" t="s">
        <v>115</v>
      </c>
      <c r="K57" t="s">
        <v>116</v>
      </c>
      <c r="L57">
        <v>51</v>
      </c>
      <c r="M57">
        <v>386</v>
      </c>
      <c r="N57" s="4">
        <v>0.145</v>
      </c>
      <c r="O57">
        <v>56</v>
      </c>
      <c r="P57" s="5">
        <v>1</v>
      </c>
      <c r="Q57" s="4">
        <v>0.0178</v>
      </c>
      <c r="R57">
        <v>1</v>
      </c>
      <c r="S57">
        <v>1</v>
      </c>
      <c r="T57">
        <v>0</v>
      </c>
      <c r="U57">
        <v>0</v>
      </c>
      <c r="V57">
        <v>0</v>
      </c>
      <c r="W57" s="5">
        <v>56</v>
      </c>
      <c r="X57">
        <v>1</v>
      </c>
      <c r="Y57" s="4">
        <v>0</v>
      </c>
      <c r="Z57">
        <v>0</v>
      </c>
      <c r="AA57" s="5">
        <v>0</v>
      </c>
      <c r="AB57">
        <v>0</v>
      </c>
      <c r="AC57" s="5">
        <v>0</v>
      </c>
      <c r="AD57" s="5">
        <v>56</v>
      </c>
      <c r="AE57" s="5">
        <v>0</v>
      </c>
      <c r="AF57" s="5">
        <v>56</v>
      </c>
      <c r="AG57" s="5">
        <v>0</v>
      </c>
      <c r="AH57" s="5">
        <v>0</v>
      </c>
      <c r="AI57" s="5">
        <v>0</v>
      </c>
    </row>
    <row r="58">
      <c r="A58" s="2" t="str">
        <f>HYPERLINK("https://www.avito.ru/kazan/bytovaya_elektronika/3d_printer_bambu_lab_h2d_laser_10w_eu_8053260759","8053260759")</f>
      </c>
      <c r="B58" t="s">
        <v>112</v>
      </c>
      <c r="C58" t="s">
        <v>131</v>
      </c>
      <c r="D58" t="s">
        <v>132</v>
      </c>
      <c r="E58" t="s">
        <v>38</v>
      </c>
      <c r="F58" t="s">
        <v>39</v>
      </c>
      <c r="G58" t="s">
        <v>40</v>
      </c>
      <c r="H58" s="3" t="str">
        <f>HYPERLINK("https://www.avito.ru/kazan/bytovaya_elektronika/3d_printer_bambu_lab_h2d_laser_10w_eu_8053260759","3D принтер Bambu Lab H2D Laser 10W EU")</f>
      </c>
      <c r="I58" t="s">
        <v>95</v>
      </c>
      <c r="J58" t="s">
        <v>42</v>
      </c>
      <c r="K58" t="s">
        <v>43</v>
      </c>
      <c r="L58">
        <v>50</v>
      </c>
      <c r="M58">
        <v>370</v>
      </c>
      <c r="N58" s="4">
        <v>0.1486</v>
      </c>
      <c r="O58">
        <v>55</v>
      </c>
      <c r="P58" s="5">
        <v>1.01</v>
      </c>
      <c r="Q58" s="4">
        <v>0</v>
      </c>
      <c r="R58">
        <v>0</v>
      </c>
      <c r="S58">
        <v>0</v>
      </c>
      <c r="T58">
        <v>0</v>
      </c>
      <c r="U58">
        <v>0</v>
      </c>
      <c r="V58">
        <v>0</v>
      </c>
      <c r="W58" s="5" t="s">
        <v>65</v>
      </c>
      <c r="X58">
        <v>6</v>
      </c>
      <c r="Y58" s="4">
        <v>0</v>
      </c>
      <c r="Z58">
        <v>0</v>
      </c>
      <c r="AA58" s="5">
        <v>0</v>
      </c>
      <c r="AB58">
        <v>0</v>
      </c>
      <c r="AC58" s="5">
        <v>0</v>
      </c>
      <c r="AD58" s="5">
        <v>56</v>
      </c>
      <c r="AE58" s="5">
        <v>0</v>
      </c>
      <c r="AF58" s="5">
        <v>56</v>
      </c>
      <c r="AG58" s="5">
        <v>0</v>
      </c>
      <c r="AH58" s="5">
        <v>0</v>
      </c>
      <c r="AI58" s="5">
        <v>0</v>
      </c>
    </row>
    <row r="59">
      <c r="A59" s="2" t="str">
        <f>HYPERLINK("https://www.avito.ru/astrahan/bytovaya_elektronika/h2s_combo_ams_2_pro_3d_printer_s_kameroy_dlya_doma_8053681342","8053681342")</f>
      </c>
      <c r="B59" t="s">
        <v>119</v>
      </c>
      <c r="C59" t="s">
        <v>120</v>
      </c>
      <c r="D59" t="s">
        <v>121</v>
      </c>
      <c r="E59" t="s">
        <v>38</v>
      </c>
      <c r="F59" t="s">
        <v>39</v>
      </c>
      <c r="G59" t="s">
        <v>40</v>
      </c>
      <c r="H59" s="3" t="str">
        <f>HYPERLINK("https://www.avito.ru/astrahan/bytovaya_elektronika/h2s_combo_ams_2_pro_3d_printer_s_kameroy_dlya_doma_8053681342","H2S Combo AMS 2 PRO 3D принтер с камерой для дома")</f>
      </c>
      <c r="I59" t="s">
        <v>48</v>
      </c>
      <c r="J59" t="s">
        <v>115</v>
      </c>
      <c r="K59" t="s">
        <v>116</v>
      </c>
      <c r="L59">
        <v>51</v>
      </c>
      <c r="M59">
        <v>906</v>
      </c>
      <c r="N59" s="4">
        <v>0.0607</v>
      </c>
      <c r="O59">
        <v>55</v>
      </c>
      <c r="P59" s="5">
        <v>1.01</v>
      </c>
      <c r="Q59" s="4">
        <v>0</v>
      </c>
      <c r="R59">
        <v>0</v>
      </c>
      <c r="S59">
        <v>0</v>
      </c>
      <c r="T59">
        <v>0</v>
      </c>
      <c r="U59">
        <v>0</v>
      </c>
      <c r="V59">
        <v>0</v>
      </c>
      <c r="W59" s="5" t="s">
        <v>65</v>
      </c>
      <c r="X59">
        <v>2</v>
      </c>
      <c r="Y59" s="4">
        <v>0</v>
      </c>
      <c r="Z59">
        <v>0</v>
      </c>
      <c r="AA59" s="5">
        <v>0</v>
      </c>
      <c r="AB59">
        <v>0</v>
      </c>
      <c r="AC59" s="5">
        <v>0</v>
      </c>
      <c r="AD59" s="5">
        <v>56</v>
      </c>
      <c r="AE59" s="5">
        <v>0</v>
      </c>
      <c r="AF59" s="5">
        <v>56</v>
      </c>
      <c r="AG59" s="5">
        <v>0</v>
      </c>
      <c r="AH59" s="5">
        <v>0</v>
      </c>
      <c r="AI59" s="5">
        <v>0</v>
      </c>
    </row>
    <row r="60">
      <c r="A60" s="2" t="str">
        <f>HYPERLINK("https://www.avito.ru/ekaterinburg/bytovaya_elektronika/bambu_lab_h2s_combo_ams_2_pro_eu_8053795100","8053795100")</f>
      </c>
      <c r="B60" t="s">
        <v>136</v>
      </c>
      <c r="C60" t="s">
        <v>137</v>
      </c>
      <c r="D60" t="s">
        <v>138</v>
      </c>
      <c r="E60" t="s">
        <v>38</v>
      </c>
      <c r="F60" t="s">
        <v>39</v>
      </c>
      <c r="G60" t="s">
        <v>40</v>
      </c>
      <c r="H60" s="3" t="str">
        <f>HYPERLINK("https://www.avito.ru/ekaterinburg/bytovaya_elektronika/bambu_lab_h2s_combo_ams_2_pro_eu_8053795100","Bambu Lab H2S Combo AMS 2 PRO EU")</f>
      </c>
      <c r="I60" t="s">
        <v>48</v>
      </c>
      <c r="J60" t="s">
        <v>49</v>
      </c>
      <c r="K60" t="s">
        <v>50</v>
      </c>
      <c r="L60">
        <v>52</v>
      </c>
      <c r="M60">
        <v>334</v>
      </c>
      <c r="N60" s="4">
        <v>0.1646</v>
      </c>
      <c r="O60">
        <v>55</v>
      </c>
      <c r="P60" s="5">
        <v>1.01</v>
      </c>
      <c r="Q60" s="4">
        <v>0.0363</v>
      </c>
      <c r="R60">
        <v>2</v>
      </c>
      <c r="S60">
        <v>2</v>
      </c>
      <c r="T60">
        <v>0</v>
      </c>
      <c r="U60">
        <v>0</v>
      </c>
      <c r="V60">
        <v>0</v>
      </c>
      <c r="W60" s="5">
        <v>28</v>
      </c>
      <c r="X60">
        <v>2</v>
      </c>
      <c r="Y60" s="4">
        <v>0</v>
      </c>
      <c r="Z60">
        <v>0</v>
      </c>
      <c r="AA60" s="5">
        <v>0</v>
      </c>
      <c r="AB60">
        <v>0</v>
      </c>
      <c r="AC60" s="5">
        <v>0</v>
      </c>
      <c r="AD60" s="5">
        <v>56</v>
      </c>
      <c r="AE60" s="5">
        <v>0</v>
      </c>
      <c r="AF60" s="5">
        <v>56</v>
      </c>
      <c r="AG60" s="5">
        <v>0</v>
      </c>
      <c r="AH60" s="5">
        <v>0</v>
      </c>
      <c r="AI60" s="5">
        <v>0</v>
      </c>
    </row>
    <row r="61">
      <c r="A61" s="2" t="str">
        <f>HYPERLINK("https://www.avito.ru/moskva/bytovaya_elektronika/3d-printer_bolshoy_fdm_dowell_dm1220-6_pro_7861160825","7861160825")</f>
      </c>
      <c r="B61" t="s">
        <v>35</v>
      </c>
      <c r="C61" t="s">
        <v>36</v>
      </c>
      <c r="D61" t="s">
        <v>44</v>
      </c>
      <c r="E61" t="s">
        <v>38</v>
      </c>
      <c r="F61" t="s">
        <v>39</v>
      </c>
      <c r="G61" t="s">
        <v>40</v>
      </c>
      <c r="H61" s="3" t="str">
        <f>HYPERLINK("https://www.avito.ru/moskva/bytovaya_elektronika/3d-printer_bolshoy_fdm_dowell_dm1220-6_pro_7861160825","3D-принтер большой FDM DoWell DM1220-6 Pro")</f>
      </c>
      <c r="I61" t="s">
        <v>161</v>
      </c>
      <c r="J61" t="s">
        <v>52</v>
      </c>
      <c r="K61" t="s">
        <v>162</v>
      </c>
      <c r="L61">
        <v>166</v>
      </c>
      <c r="M61">
        <v>241</v>
      </c>
      <c r="N61" s="4">
        <v>0.224</v>
      </c>
      <c r="O61">
        <v>54</v>
      </c>
      <c r="P61" s="5">
        <v>1.62</v>
      </c>
      <c r="Q61" s="4">
        <v>0.0185</v>
      </c>
      <c r="R61">
        <v>1</v>
      </c>
      <c r="S61">
        <v>1</v>
      </c>
      <c r="T61">
        <v>0</v>
      </c>
      <c r="U61">
        <v>0</v>
      </c>
      <c r="V61">
        <v>0</v>
      </c>
      <c r="W61" s="5">
        <v>87.74</v>
      </c>
      <c r="X61">
        <v>8</v>
      </c>
      <c r="Y61" s="4">
        <v>0</v>
      </c>
      <c r="Z61">
        <v>0</v>
      </c>
      <c r="AA61" s="5">
        <v>0</v>
      </c>
      <c r="AB61">
        <v>0</v>
      </c>
      <c r="AC61" s="5">
        <v>0</v>
      </c>
      <c r="AD61" s="5">
        <v>87.74</v>
      </c>
      <c r="AE61" s="5">
        <v>0</v>
      </c>
      <c r="AF61" s="5">
        <v>87.74</v>
      </c>
      <c r="AG61" s="5">
        <v>0</v>
      </c>
      <c r="AH61" s="5">
        <v>0</v>
      </c>
      <c r="AI61" s="5">
        <v>0</v>
      </c>
    </row>
    <row r="62">
      <c r="A62" s="2" t="str">
        <f>HYPERLINK("https://www.avito.ru/sankt-peterburg/bytovaya_elektronika/bambu_lab_h2c_combo_ams_cn_s_podogrevom_kamery_8053064654","8053064654")</f>
      </c>
      <c r="B62" t="s">
        <v>35</v>
      </c>
      <c r="C62" t="s">
        <v>81</v>
      </c>
      <c r="D62" t="s">
        <v>82</v>
      </c>
      <c r="E62" t="s">
        <v>38</v>
      </c>
      <c r="F62" t="s">
        <v>39</v>
      </c>
      <c r="G62" t="s">
        <v>40</v>
      </c>
      <c r="H62" s="3" t="str">
        <f>HYPERLINK("https://www.avito.ru/sankt-peterburg/bytovaya_elektronika/bambu_lab_h2c_combo_ams_cn_s_podogrevom_kamery_8053064654","Bambu Lab H2C Combo AMS CN с подогревом камеры")</f>
      </c>
      <c r="I62" t="s">
        <v>163</v>
      </c>
      <c r="J62" t="s">
        <v>115</v>
      </c>
      <c r="K62" t="s">
        <v>116</v>
      </c>
      <c r="L62">
        <v>51</v>
      </c>
      <c r="M62">
        <v>274</v>
      </c>
      <c r="N62" s="4">
        <v>0.197</v>
      </c>
      <c r="O62">
        <v>54</v>
      </c>
      <c r="P62" s="5">
        <v>1.03</v>
      </c>
      <c r="Q62" s="4">
        <v>0.0555</v>
      </c>
      <c r="R62">
        <v>3</v>
      </c>
      <c r="S62">
        <v>3</v>
      </c>
      <c r="T62">
        <v>0</v>
      </c>
      <c r="U62">
        <v>0</v>
      </c>
      <c r="V62">
        <v>0</v>
      </c>
      <c r="W62" s="5">
        <v>18.66</v>
      </c>
      <c r="X62">
        <v>5</v>
      </c>
      <c r="Y62" s="4">
        <v>0</v>
      </c>
      <c r="Z62">
        <v>0</v>
      </c>
      <c r="AA62" s="5">
        <v>0</v>
      </c>
      <c r="AB62">
        <v>0</v>
      </c>
      <c r="AC62" s="5">
        <v>0</v>
      </c>
      <c r="AD62" s="5">
        <v>56</v>
      </c>
      <c r="AE62" s="5">
        <v>0</v>
      </c>
      <c r="AF62" s="5">
        <v>56</v>
      </c>
      <c r="AG62" s="5">
        <v>0</v>
      </c>
      <c r="AH62" s="5">
        <v>0</v>
      </c>
      <c r="AI62" s="5">
        <v>0</v>
      </c>
    </row>
    <row r="63">
      <c r="A63" s="2" t="str">
        <f>HYPERLINK("https://www.avito.ru/kirovskaya_oblast_kirov/bytovaya_elektronika/bambu_lab_h2d_combo_ams_2_pro_originalnyy_cn_versiya_8053408484","8053408484")</f>
      </c>
      <c r="B63" t="s">
        <v>164</v>
      </c>
      <c r="C63" t="s">
        <v>165</v>
      </c>
      <c r="D63" t="s">
        <v>166</v>
      </c>
      <c r="E63" t="s">
        <v>38</v>
      </c>
      <c r="F63" t="s">
        <v>39</v>
      </c>
      <c r="G63" t="s">
        <v>40</v>
      </c>
      <c r="H63" s="3" t="str">
        <f>HYPERLINK("https://www.avito.ru/kirovskaya_oblast_kirov/bytovaya_elektronika/bambu_lab_h2d_combo_ams_2_pro_originalnyy_cn_versiya_8053408484","Bambu Lab H2D Combo AMS 2 Pro оригинальный CN версия")</f>
      </c>
      <c r="I63" t="s">
        <v>41</v>
      </c>
      <c r="J63" t="s">
        <v>42</v>
      </c>
      <c r="K63" t="s">
        <v>43</v>
      </c>
      <c r="L63">
        <v>50</v>
      </c>
      <c r="M63">
        <v>460</v>
      </c>
      <c r="N63" s="4">
        <v>0.1173</v>
      </c>
      <c r="O63">
        <v>54</v>
      </c>
      <c r="P63" s="5">
        <v>1.03</v>
      </c>
      <c r="Q63" s="4">
        <v>0</v>
      </c>
      <c r="R63">
        <v>0</v>
      </c>
      <c r="S63">
        <v>0</v>
      </c>
      <c r="T63">
        <v>0</v>
      </c>
      <c r="U63">
        <v>0</v>
      </c>
      <c r="V63">
        <v>0</v>
      </c>
      <c r="W63" s="5" t="s">
        <v>65</v>
      </c>
      <c r="X63">
        <v>1</v>
      </c>
      <c r="Y63" s="4">
        <v>0</v>
      </c>
      <c r="Z63">
        <v>0</v>
      </c>
      <c r="AA63" s="5">
        <v>0</v>
      </c>
      <c r="AB63">
        <v>0</v>
      </c>
      <c r="AC63" s="5">
        <v>0</v>
      </c>
      <c r="AD63" s="5">
        <v>56</v>
      </c>
      <c r="AE63" s="5">
        <v>0</v>
      </c>
      <c r="AF63" s="5">
        <v>56</v>
      </c>
      <c r="AG63" s="5">
        <v>0</v>
      </c>
      <c r="AH63" s="5">
        <v>0</v>
      </c>
      <c r="AI63" s="5">
        <v>0</v>
      </c>
    </row>
    <row r="64">
      <c r="A64" s="2" t="str">
        <f>HYPERLINK("https://www.avito.ru/novosibirsk/bytovaya_elektronika/3d-printer_bambu_lab_h2s_eu_dlya_pechati_na_zakaz_8053508660","8053508660")</f>
      </c>
      <c r="B64" t="s">
        <v>142</v>
      </c>
      <c r="C64" t="s">
        <v>143</v>
      </c>
      <c r="D64" t="s">
        <v>144</v>
      </c>
      <c r="E64" t="s">
        <v>38</v>
      </c>
      <c r="F64" t="s">
        <v>39</v>
      </c>
      <c r="G64" t="s">
        <v>40</v>
      </c>
      <c r="H64" s="3" t="str">
        <f>HYPERLINK("https://www.avito.ru/novosibirsk/bytovaya_elektronika/3d-printer_bambu_lab_h2s_eu_dlya_pechati_na_zakaz_8053508660","3D-принтер Bambu Lab H2S EU для печати на заказ")</f>
      </c>
      <c r="I64" t="s">
        <v>48</v>
      </c>
      <c r="J64" t="s">
        <v>49</v>
      </c>
      <c r="K64" t="s">
        <v>50</v>
      </c>
      <c r="L64">
        <v>52</v>
      </c>
      <c r="M64">
        <v>413</v>
      </c>
      <c r="N64" s="4">
        <v>0.1307</v>
      </c>
      <c r="O64">
        <v>54</v>
      </c>
      <c r="P64" s="5">
        <v>1.03</v>
      </c>
      <c r="Q64" s="4">
        <v>0.037</v>
      </c>
      <c r="R64">
        <v>2</v>
      </c>
      <c r="S64">
        <v>1</v>
      </c>
      <c r="T64">
        <v>0</v>
      </c>
      <c r="U64">
        <v>1</v>
      </c>
      <c r="V64">
        <v>0</v>
      </c>
      <c r="W64" s="5">
        <v>28</v>
      </c>
      <c r="X64">
        <v>1</v>
      </c>
      <c r="Y64" s="4">
        <v>0</v>
      </c>
      <c r="Z64">
        <v>0</v>
      </c>
      <c r="AA64" s="5">
        <v>0</v>
      </c>
      <c r="AB64">
        <v>0</v>
      </c>
      <c r="AC64" s="5">
        <v>0</v>
      </c>
      <c r="AD64" s="5">
        <v>56</v>
      </c>
      <c r="AE64" s="5">
        <v>0</v>
      </c>
      <c r="AF64" s="5">
        <v>56</v>
      </c>
      <c r="AG64" s="5">
        <v>0</v>
      </c>
      <c r="AH64" s="5">
        <v>0</v>
      </c>
      <c r="AI64" s="5">
        <v>0</v>
      </c>
    </row>
    <row r="65">
      <c r="A65" s="2" t="str">
        <f>HYPERLINK("https://www.avito.ru/moskva/bytovaya_elektronika/3d_printer_eu_bambu_lab_h2d_combo_ams_7861721825","7861721825")</f>
      </c>
      <c r="B65" t="s">
        <v>35</v>
      </c>
      <c r="C65" t="s">
        <v>36</v>
      </c>
      <c r="D65" t="s">
        <v>58</v>
      </c>
      <c r="E65" t="s">
        <v>38</v>
      </c>
      <c r="F65" t="s">
        <v>39</v>
      </c>
      <c r="G65" t="s">
        <v>40</v>
      </c>
      <c r="H65" s="3" t="str">
        <f>HYPERLINK("https://www.avito.ru/moskva/bytovaya_elektronika/3d_printer_eu_bambu_lab_h2d_combo_ams_7861721825","3Д принтер EU Bambu lab H2D Combo AMS")</f>
      </c>
      <c r="I65" t="s">
        <v>163</v>
      </c>
      <c r="J65" t="s">
        <v>167</v>
      </c>
      <c r="K65" t="s">
        <v>168</v>
      </c>
      <c r="L65">
        <v>155</v>
      </c>
      <c r="M65">
        <v>347</v>
      </c>
      <c r="N65" s="4">
        <v>0.1498</v>
      </c>
      <c r="O65">
        <v>52</v>
      </c>
      <c r="P65" s="5">
        <v>13.32</v>
      </c>
      <c r="Q65" s="4">
        <v>0.0384</v>
      </c>
      <c r="R65">
        <v>2</v>
      </c>
      <c r="S65">
        <v>2</v>
      </c>
      <c r="T65">
        <v>0</v>
      </c>
      <c r="U65">
        <v>0</v>
      </c>
      <c r="V65">
        <v>0</v>
      </c>
      <c r="W65" s="5">
        <v>346.4</v>
      </c>
      <c r="X65">
        <v>6</v>
      </c>
      <c r="Y65" s="4">
        <v>0</v>
      </c>
      <c r="Z65">
        <v>0</v>
      </c>
      <c r="AA65" s="5">
        <v>0</v>
      </c>
      <c r="AB65">
        <v>0</v>
      </c>
      <c r="AC65" s="5">
        <v>0</v>
      </c>
      <c r="AD65" s="5">
        <v>692.8</v>
      </c>
      <c r="AE65" s="5">
        <v>0</v>
      </c>
      <c r="AF65" s="5">
        <v>2.8</v>
      </c>
      <c r="AG65" s="5">
        <v>690</v>
      </c>
      <c r="AH65" s="5">
        <v>0</v>
      </c>
      <c r="AI65" s="5">
        <v>0</v>
      </c>
    </row>
    <row r="66">
      <c r="A66" s="2" t="str">
        <f>HYPERLINK("https://www.avito.ru/tomsk/bytovaya_elektronika/h2d_laser_10w_eu_3d_printer_s_lazerom_10_vt_8053631068","8053631068")</f>
      </c>
      <c r="B66" t="s">
        <v>169</v>
      </c>
      <c r="C66" t="s">
        <v>170</v>
      </c>
      <c r="D66" t="s">
        <v>171</v>
      </c>
      <c r="E66" t="s">
        <v>38</v>
      </c>
      <c r="F66" t="s">
        <v>39</v>
      </c>
      <c r="G66" t="s">
        <v>40</v>
      </c>
      <c r="H66" s="3" t="str">
        <f>HYPERLINK("https://www.avito.ru/tomsk/bytovaya_elektronika/h2d_laser_10w_eu_3d_printer_s_lazerom_10_vt_8053631068","H2D Laser 10W EU 3D принтер с лазером 10 Вт")</f>
      </c>
      <c r="I66" t="s">
        <v>95</v>
      </c>
      <c r="J66" t="s">
        <v>42</v>
      </c>
      <c r="K66" t="s">
        <v>43</v>
      </c>
      <c r="L66">
        <v>50</v>
      </c>
      <c r="M66">
        <v>356</v>
      </c>
      <c r="N66" s="4">
        <v>0.146</v>
      </c>
      <c r="O66">
        <v>52</v>
      </c>
      <c r="P66" s="5">
        <v>1.07</v>
      </c>
      <c r="Q66" s="4">
        <v>0.0192</v>
      </c>
      <c r="R66">
        <v>1</v>
      </c>
      <c r="S66">
        <v>1</v>
      </c>
      <c r="T66">
        <v>0</v>
      </c>
      <c r="U66">
        <v>0</v>
      </c>
      <c r="V66">
        <v>0</v>
      </c>
      <c r="W66" s="5">
        <v>56</v>
      </c>
      <c r="X66">
        <v>1</v>
      </c>
      <c r="Y66" s="4">
        <v>0</v>
      </c>
      <c r="Z66">
        <v>0</v>
      </c>
      <c r="AA66" s="5">
        <v>0</v>
      </c>
      <c r="AB66">
        <v>0</v>
      </c>
      <c r="AC66" s="5">
        <v>0</v>
      </c>
      <c r="AD66" s="5">
        <v>56</v>
      </c>
      <c r="AE66" s="5">
        <v>0</v>
      </c>
      <c r="AF66" s="5">
        <v>56</v>
      </c>
      <c r="AG66" s="5">
        <v>0</v>
      </c>
      <c r="AH66" s="5">
        <v>0</v>
      </c>
      <c r="AI66" s="5">
        <v>0</v>
      </c>
    </row>
    <row r="67">
      <c r="A67" s="2" t="str">
        <f>HYPERLINK("https://www.avito.ru/ryazan/bytovaya_elektronika/bambu_lab_h2s_combo_ams_2_pro_dlya_profi_i_nachinayuschih_8052926737","8052926737")</f>
      </c>
      <c r="B67" t="s">
        <v>122</v>
      </c>
      <c r="C67" t="s">
        <v>123</v>
      </c>
      <c r="D67" t="s">
        <v>124</v>
      </c>
      <c r="E67" t="s">
        <v>38</v>
      </c>
      <c r="F67" t="s">
        <v>39</v>
      </c>
      <c r="G67" t="s">
        <v>40</v>
      </c>
      <c r="H67" s="3" t="str">
        <f>HYPERLINK("https://www.avito.ru/ryazan/bytovaya_elektronika/bambu_lab_h2s_combo_ams_2_pro_dlya_profi_i_nachinayuschih_8052926737","Bambu Lab H2S Combo AMS 2 PRO для профи и начинающих\")</f>
      </c>
      <c r="I67" t="s">
        <v>48</v>
      </c>
      <c r="J67" t="s">
        <v>115</v>
      </c>
      <c r="K67" t="s">
        <v>116</v>
      </c>
      <c r="L67">
        <v>51</v>
      </c>
      <c r="M67">
        <v>658</v>
      </c>
      <c r="N67" s="4">
        <v>0.0775</v>
      </c>
      <c r="O67">
        <v>51</v>
      </c>
      <c r="P67" s="5">
        <v>1.09</v>
      </c>
      <c r="Q67" s="4">
        <v>0.0196</v>
      </c>
      <c r="R67">
        <v>1</v>
      </c>
      <c r="S67">
        <v>1</v>
      </c>
      <c r="T67">
        <v>0</v>
      </c>
      <c r="U67">
        <v>0</v>
      </c>
      <c r="V67">
        <v>0</v>
      </c>
      <c r="W67" s="5">
        <v>56</v>
      </c>
      <c r="X67">
        <v>3</v>
      </c>
      <c r="Y67" s="4">
        <v>0</v>
      </c>
      <c r="Z67">
        <v>0</v>
      </c>
      <c r="AA67" s="5">
        <v>0</v>
      </c>
      <c r="AB67">
        <v>0</v>
      </c>
      <c r="AC67" s="5">
        <v>0</v>
      </c>
      <c r="AD67" s="5">
        <v>56</v>
      </c>
      <c r="AE67" s="5">
        <v>0</v>
      </c>
      <c r="AF67" s="5">
        <v>56</v>
      </c>
      <c r="AG67" s="5">
        <v>0</v>
      </c>
      <c r="AH67" s="5">
        <v>0</v>
      </c>
      <c r="AI67" s="5">
        <v>0</v>
      </c>
    </row>
    <row r="68">
      <c r="A68" s="2" t="str">
        <f>HYPERLINK("https://www.avito.ru/irkutsk/bytovaya_elektronika/h2d_combo_ams_2_pro_skorostnoy_3d_printer_8052940440","8052940440")</f>
      </c>
      <c r="B68" t="s">
        <v>133</v>
      </c>
      <c r="C68" t="s">
        <v>134</v>
      </c>
      <c r="D68" t="s">
        <v>135</v>
      </c>
      <c r="E68" t="s">
        <v>38</v>
      </c>
      <c r="F68" t="s">
        <v>39</v>
      </c>
      <c r="G68" t="s">
        <v>40</v>
      </c>
      <c r="H68" s="3" t="str">
        <f>HYPERLINK("https://www.avito.ru/irkutsk/bytovaya_elektronika/h2d_combo_ams_2_pro_skorostnoy_3d_printer_8052940440","H2D Combo AMS 2 Pro скоростной 3D принтер")</f>
      </c>
      <c r="I68" t="s">
        <v>91</v>
      </c>
      <c r="J68" t="s">
        <v>42</v>
      </c>
      <c r="K68" t="s">
        <v>43</v>
      </c>
      <c r="L68">
        <v>50</v>
      </c>
      <c r="M68">
        <v>260</v>
      </c>
      <c r="N68" s="4">
        <v>0.1961</v>
      </c>
      <c r="O68">
        <v>51</v>
      </c>
      <c r="P68" s="5">
        <v>1.09</v>
      </c>
      <c r="Q68" s="4">
        <v>0.0196</v>
      </c>
      <c r="R68">
        <v>1</v>
      </c>
      <c r="S68">
        <v>1</v>
      </c>
      <c r="T68">
        <v>0</v>
      </c>
      <c r="U68">
        <v>0</v>
      </c>
      <c r="V68">
        <v>0</v>
      </c>
      <c r="W68" s="5">
        <v>56</v>
      </c>
      <c r="X68">
        <v>7</v>
      </c>
      <c r="Y68" s="4">
        <v>0</v>
      </c>
      <c r="Z68">
        <v>0</v>
      </c>
      <c r="AA68" s="5">
        <v>0</v>
      </c>
      <c r="AB68">
        <v>0</v>
      </c>
      <c r="AC68" s="5">
        <v>0</v>
      </c>
      <c r="AD68" s="5">
        <v>56</v>
      </c>
      <c r="AE68" s="5">
        <v>0</v>
      </c>
      <c r="AF68" s="5">
        <v>56</v>
      </c>
      <c r="AG68" s="5">
        <v>0</v>
      </c>
      <c r="AH68" s="5">
        <v>0</v>
      </c>
      <c r="AI68" s="5">
        <v>0</v>
      </c>
    </row>
    <row r="69">
      <c r="A69" s="2" t="str">
        <f>HYPERLINK("https://www.avito.ru/sankt-peterburg/bytovaya_elektronika/elegoo_giga_storm_3d_printer_dlya_biznesa_8053197416","8053197416")</f>
      </c>
      <c r="B69" t="s">
        <v>35</v>
      </c>
      <c r="C69" t="s">
        <v>81</v>
      </c>
      <c r="D69" t="s">
        <v>82</v>
      </c>
      <c r="E69" t="s">
        <v>38</v>
      </c>
      <c r="F69" t="s">
        <v>39</v>
      </c>
      <c r="G69" t="s">
        <v>40</v>
      </c>
      <c r="H69" s="3" t="str">
        <f>HYPERLINK("https://www.avito.ru/sankt-peterburg/bytovaya_elektronika/elegoo_giga_storm_3d_printer_dlya_biznesa_8053197416","Elegoo Giga Storm 3D принтер для бизнеса")</f>
      </c>
      <c r="I69" t="s">
        <v>64</v>
      </c>
      <c r="J69" t="s">
        <v>42</v>
      </c>
      <c r="K69" t="s">
        <v>43</v>
      </c>
      <c r="L69">
        <v>50</v>
      </c>
      <c r="M69">
        <v>326</v>
      </c>
      <c r="N69" s="4">
        <v>0.1564</v>
      </c>
      <c r="O69">
        <v>51</v>
      </c>
      <c r="P69" s="5">
        <v>1.09</v>
      </c>
      <c r="Q69" s="4">
        <v>0</v>
      </c>
      <c r="R69">
        <v>0</v>
      </c>
      <c r="S69">
        <v>0</v>
      </c>
      <c r="T69">
        <v>0</v>
      </c>
      <c r="U69">
        <v>0</v>
      </c>
      <c r="V69">
        <v>0</v>
      </c>
      <c r="W69" s="5" t="s">
        <v>65</v>
      </c>
      <c r="X69">
        <v>2</v>
      </c>
      <c r="Y69" s="4">
        <v>0</v>
      </c>
      <c r="Z69">
        <v>0</v>
      </c>
      <c r="AA69" s="5">
        <v>0</v>
      </c>
      <c r="AB69">
        <v>0</v>
      </c>
      <c r="AC69" s="5">
        <v>0</v>
      </c>
      <c r="AD69" s="5">
        <v>56</v>
      </c>
      <c r="AE69" s="5">
        <v>0</v>
      </c>
      <c r="AF69" s="5">
        <v>56</v>
      </c>
      <c r="AG69" s="5">
        <v>0</v>
      </c>
      <c r="AH69" s="5">
        <v>0</v>
      </c>
      <c r="AI69" s="5">
        <v>0</v>
      </c>
    </row>
    <row r="70">
      <c r="A70" s="2" t="str">
        <f>HYPERLINK("https://www.avito.ru/omsk/bytovaya_elektronika/bambu_lab_p2s_combo_vysokotochnyy_printer_8053657505","8053657505")</f>
      </c>
      <c r="B70" t="s">
        <v>70</v>
      </c>
      <c r="C70" t="s">
        <v>71</v>
      </c>
      <c r="D70" t="s">
        <v>72</v>
      </c>
      <c r="E70" t="s">
        <v>38</v>
      </c>
      <c r="F70" t="s">
        <v>39</v>
      </c>
      <c r="G70" t="s">
        <v>40</v>
      </c>
      <c r="H70" s="3" t="str">
        <f>HYPERLINK("https://www.avito.ru/omsk/bytovaya_elektronika/bambu_lab_p2s_combo_vysokotochnyy_printer_8053657505","Bambu Lab P2S Combo высокоточный принтер")</f>
      </c>
      <c r="I70" t="s">
        <v>128</v>
      </c>
      <c r="J70" t="s">
        <v>115</v>
      </c>
      <c r="K70" t="s">
        <v>116</v>
      </c>
      <c r="L70">
        <v>51</v>
      </c>
      <c r="M70">
        <v>377</v>
      </c>
      <c r="N70" s="4">
        <v>0.1352</v>
      </c>
      <c r="O70">
        <v>51</v>
      </c>
      <c r="P70" s="5">
        <v>1.09</v>
      </c>
      <c r="Q70" s="4">
        <v>0</v>
      </c>
      <c r="R70">
        <v>0</v>
      </c>
      <c r="S70">
        <v>0</v>
      </c>
      <c r="T70">
        <v>0</v>
      </c>
      <c r="U70">
        <v>0</v>
      </c>
      <c r="V70">
        <v>0</v>
      </c>
      <c r="W70" s="5" t="s">
        <v>65</v>
      </c>
      <c r="X70">
        <v>1</v>
      </c>
      <c r="Y70" s="4">
        <v>0</v>
      </c>
      <c r="Z70">
        <v>0</v>
      </c>
      <c r="AA70" s="5">
        <v>0</v>
      </c>
      <c r="AB70">
        <v>0</v>
      </c>
      <c r="AC70" s="5">
        <v>0</v>
      </c>
      <c r="AD70" s="5">
        <v>56</v>
      </c>
      <c r="AE70" s="5">
        <v>0</v>
      </c>
      <c r="AF70" s="5">
        <v>56</v>
      </c>
      <c r="AG70" s="5">
        <v>0</v>
      </c>
      <c r="AH70" s="5">
        <v>0</v>
      </c>
      <c r="AI70" s="5">
        <v>0</v>
      </c>
    </row>
    <row r="71">
      <c r="A71" s="2" t="str">
        <f>HYPERLINK("https://www.avito.ru/sankt-peterburg/bytovaya_elektronika/h2d_combo_ams_2_pro_3d_printer_cn-versiya_8053064955","8053064955")</f>
      </c>
      <c r="B71" t="s">
        <v>35</v>
      </c>
      <c r="C71" t="s">
        <v>81</v>
      </c>
      <c r="D71" t="s">
        <v>82</v>
      </c>
      <c r="E71" t="s">
        <v>38</v>
      </c>
      <c r="F71" t="s">
        <v>39</v>
      </c>
      <c r="G71" t="s">
        <v>40</v>
      </c>
      <c r="H71" s="3" t="str">
        <f>HYPERLINK("https://www.avito.ru/sankt-peterburg/bytovaya_elektronika/h2d_combo_ams_2_pro_3d_printer_cn-versiya_8053064955","H2D Combo AMS 2 Pro 3D принтер CN-версия")</f>
      </c>
      <c r="I71" t="s">
        <v>41</v>
      </c>
      <c r="J71" t="s">
        <v>42</v>
      </c>
      <c r="K71" t="s">
        <v>43</v>
      </c>
      <c r="L71">
        <v>50</v>
      </c>
      <c r="M71">
        <v>189</v>
      </c>
      <c r="N71" s="4">
        <v>0.2645</v>
      </c>
      <c r="O71">
        <v>50</v>
      </c>
      <c r="P71" s="5">
        <v>1.12</v>
      </c>
      <c r="Q71" s="4">
        <v>0</v>
      </c>
      <c r="R71">
        <v>0</v>
      </c>
      <c r="S71">
        <v>0</v>
      </c>
      <c r="T71">
        <v>0</v>
      </c>
      <c r="U71">
        <v>0</v>
      </c>
      <c r="V71">
        <v>0</v>
      </c>
      <c r="W71" s="5" t="s">
        <v>65</v>
      </c>
      <c r="X71">
        <v>5</v>
      </c>
      <c r="Y71" s="4">
        <v>0</v>
      </c>
      <c r="Z71">
        <v>0</v>
      </c>
      <c r="AA71" s="5">
        <v>0</v>
      </c>
      <c r="AB71">
        <v>0</v>
      </c>
      <c r="AC71" s="5">
        <v>0</v>
      </c>
      <c r="AD71" s="5">
        <v>56</v>
      </c>
      <c r="AE71" s="5">
        <v>0</v>
      </c>
      <c r="AF71" s="5">
        <v>56</v>
      </c>
      <c r="AG71" s="5">
        <v>0</v>
      </c>
      <c r="AH71" s="5">
        <v>0</v>
      </c>
      <c r="AI71" s="5">
        <v>0</v>
      </c>
    </row>
    <row r="72">
      <c r="A72" s="2" t="str">
        <f>HYPERLINK("https://www.avito.ru/izhevsk/bytovaya_elektronika/3d_printer_elegoo_giga_storm_800h800h1000_mm_novyy_8053126558","8053126558")</f>
      </c>
      <c r="B72" t="s">
        <v>149</v>
      </c>
      <c r="C72" t="s">
        <v>150</v>
      </c>
      <c r="D72" t="s">
        <v>151</v>
      </c>
      <c r="E72" t="s">
        <v>38</v>
      </c>
      <c r="F72" t="s">
        <v>39</v>
      </c>
      <c r="G72" t="s">
        <v>40</v>
      </c>
      <c r="H72" s="3" t="str">
        <f>HYPERLINK("https://www.avito.ru/izhevsk/bytovaya_elektronika/3d_printer_elegoo_giga_storm_800h800h1000_mm_novyy_8053126558","3D принтер Elegoo Giga Storm 800х800х1000 мм Новый")</f>
      </c>
      <c r="I72" t="s">
        <v>64</v>
      </c>
      <c r="J72" t="s">
        <v>42</v>
      </c>
      <c r="K72" t="s">
        <v>43</v>
      </c>
      <c r="L72">
        <v>50</v>
      </c>
      <c r="M72">
        <v>816</v>
      </c>
      <c r="N72" s="4">
        <v>0.06</v>
      </c>
      <c r="O72">
        <v>49</v>
      </c>
      <c r="P72" s="5">
        <v>1.14</v>
      </c>
      <c r="Q72" s="4">
        <v>0</v>
      </c>
      <c r="R72">
        <v>0</v>
      </c>
      <c r="S72">
        <v>0</v>
      </c>
      <c r="T72">
        <v>0</v>
      </c>
      <c r="U72">
        <v>0</v>
      </c>
      <c r="V72">
        <v>0</v>
      </c>
      <c r="W72" s="5" t="s">
        <v>65</v>
      </c>
      <c r="X72">
        <v>2</v>
      </c>
      <c r="Y72" s="4">
        <v>0</v>
      </c>
      <c r="Z72">
        <v>0</v>
      </c>
      <c r="AA72" s="5">
        <v>0</v>
      </c>
      <c r="AB72">
        <v>0</v>
      </c>
      <c r="AC72" s="5">
        <v>0</v>
      </c>
      <c r="AD72" s="5">
        <v>56</v>
      </c>
      <c r="AE72" s="5">
        <v>0</v>
      </c>
      <c r="AF72" s="5">
        <v>56</v>
      </c>
      <c r="AG72" s="5">
        <v>0</v>
      </c>
      <c r="AH72" s="5">
        <v>0</v>
      </c>
      <c r="AI72" s="5">
        <v>0</v>
      </c>
    </row>
    <row r="73">
      <c r="A73" s="2" t="str">
        <f>HYPERLINK("https://www.avito.ru/nizhniy_novgorod/bytovaya_elektronika/h2d_combo_ams_2_pro_3d_printer_cn_8053519379","8053519379")</f>
      </c>
      <c r="B73" t="s">
        <v>125</v>
      </c>
      <c r="C73" t="s">
        <v>126</v>
      </c>
      <c r="D73" t="s">
        <v>127</v>
      </c>
      <c r="E73" t="s">
        <v>38</v>
      </c>
      <c r="F73" t="s">
        <v>39</v>
      </c>
      <c r="G73" t="s">
        <v>40</v>
      </c>
      <c r="H73" s="3" t="str">
        <f>HYPERLINK("https://www.avito.ru/nizhniy_novgorod/bytovaya_elektronika/h2d_combo_ams_2_pro_3d_printer_cn_8053519379","H2D Combo AMS 2 Pro 3D принтер CN")</f>
      </c>
      <c r="I73" t="s">
        <v>41</v>
      </c>
      <c r="J73" t="s">
        <v>42</v>
      </c>
      <c r="K73" t="s">
        <v>43</v>
      </c>
      <c r="L73">
        <v>50</v>
      </c>
      <c r="M73">
        <v>203</v>
      </c>
      <c r="N73" s="4">
        <v>0.2413</v>
      </c>
      <c r="O73">
        <v>49</v>
      </c>
      <c r="P73" s="5">
        <v>1.14</v>
      </c>
      <c r="Q73" s="4">
        <v>0.0204</v>
      </c>
      <c r="R73">
        <v>1</v>
      </c>
      <c r="S73">
        <v>1</v>
      </c>
      <c r="T73">
        <v>0</v>
      </c>
      <c r="U73">
        <v>0</v>
      </c>
      <c r="V73">
        <v>0</v>
      </c>
      <c r="W73" s="5">
        <v>56</v>
      </c>
      <c r="X73">
        <v>2</v>
      </c>
      <c r="Y73" s="4">
        <v>0</v>
      </c>
      <c r="Z73">
        <v>0</v>
      </c>
      <c r="AA73" s="5">
        <v>0</v>
      </c>
      <c r="AB73">
        <v>0</v>
      </c>
      <c r="AC73" s="5">
        <v>0</v>
      </c>
      <c r="AD73" s="5">
        <v>56</v>
      </c>
      <c r="AE73" s="5">
        <v>0</v>
      </c>
      <c r="AF73" s="5">
        <v>56</v>
      </c>
      <c r="AG73" s="5">
        <v>0</v>
      </c>
      <c r="AH73" s="5">
        <v>0</v>
      </c>
      <c r="AI73" s="5">
        <v>0</v>
      </c>
    </row>
    <row r="74">
      <c r="A74" s="2" t="str">
        <f>HYPERLINK("https://www.avito.ru/nizhniy_novgorod/bytovaya_elektronika/professionalnyy_3d_printer_h2c_combo_ams_cn_8053867697","8053867697")</f>
      </c>
      <c r="B74" t="s">
        <v>125</v>
      </c>
      <c r="C74" t="s">
        <v>126</v>
      </c>
      <c r="D74" t="s">
        <v>127</v>
      </c>
      <c r="E74" t="s">
        <v>38</v>
      </c>
      <c r="F74" t="s">
        <v>39</v>
      </c>
      <c r="G74" t="s">
        <v>40</v>
      </c>
      <c r="H74" s="3" t="str">
        <f>HYPERLINK("https://www.avito.ru/nizhniy_novgorod/bytovaya_elektronika/professionalnyy_3d_printer_h2c_combo_ams_cn_8053867697","Профессиональный 3D принтер H2C Combo AMS CN")</f>
      </c>
      <c r="I74" t="s">
        <v>163</v>
      </c>
      <c r="J74" t="s">
        <v>115</v>
      </c>
      <c r="K74" t="s">
        <v>116</v>
      </c>
      <c r="L74">
        <v>51</v>
      </c>
      <c r="M74">
        <v>698</v>
      </c>
      <c r="N74" s="4">
        <v>0.0702</v>
      </c>
      <c r="O74">
        <v>49</v>
      </c>
      <c r="P74" s="5">
        <v>1.14</v>
      </c>
      <c r="Q74" s="4">
        <v>0</v>
      </c>
      <c r="R74">
        <v>0</v>
      </c>
      <c r="S74">
        <v>0</v>
      </c>
      <c r="T74">
        <v>0</v>
      </c>
      <c r="U74">
        <v>0</v>
      </c>
      <c r="V74">
        <v>0</v>
      </c>
      <c r="W74" s="5" t="s">
        <v>65</v>
      </c>
      <c r="X74">
        <v>3</v>
      </c>
      <c r="Y74" s="4">
        <v>0</v>
      </c>
      <c r="Z74">
        <v>0</v>
      </c>
      <c r="AA74" s="5">
        <v>0</v>
      </c>
      <c r="AB74">
        <v>0</v>
      </c>
      <c r="AC74" s="5">
        <v>0</v>
      </c>
      <c r="AD74" s="5">
        <v>56</v>
      </c>
      <c r="AE74" s="5">
        <v>0</v>
      </c>
      <c r="AF74" s="5">
        <v>56</v>
      </c>
      <c r="AG74" s="5">
        <v>0</v>
      </c>
      <c r="AH74" s="5">
        <v>0</v>
      </c>
      <c r="AI74" s="5">
        <v>0</v>
      </c>
    </row>
    <row r="75">
      <c r="A75" s="2" t="str">
        <f>HYPERLINK("https://www.avito.ru/kazan/bytovaya_elektronika/3d-printer_bambu_lab_h2s_eu_dlya_biznesa_8052995076","8052995076")</f>
      </c>
      <c r="B75" t="s">
        <v>112</v>
      </c>
      <c r="C75" t="s">
        <v>131</v>
      </c>
      <c r="D75" t="s">
        <v>132</v>
      </c>
      <c r="E75" t="s">
        <v>38</v>
      </c>
      <c r="F75" t="s">
        <v>39</v>
      </c>
      <c r="G75" t="s">
        <v>40</v>
      </c>
      <c r="H75" s="3" t="str">
        <f>HYPERLINK("https://www.avito.ru/kazan/bytovaya_elektronika/3d-printer_bambu_lab_h2s_eu_dlya_biznesa_8052995076","3D-принтер Bambu Lab H2S EU для бизнеса")</f>
      </c>
      <c r="I75" t="s">
        <v>48</v>
      </c>
      <c r="J75" t="s">
        <v>49</v>
      </c>
      <c r="K75" t="s">
        <v>50</v>
      </c>
      <c r="L75">
        <v>52</v>
      </c>
      <c r="M75">
        <v>243</v>
      </c>
      <c r="N75" s="4">
        <v>0.1975</v>
      </c>
      <c r="O75">
        <v>48</v>
      </c>
      <c r="P75" s="5">
        <v>1.16</v>
      </c>
      <c r="Q75" s="4">
        <v>0.0416</v>
      </c>
      <c r="R75">
        <v>2</v>
      </c>
      <c r="S75">
        <v>2</v>
      </c>
      <c r="T75">
        <v>0</v>
      </c>
      <c r="U75">
        <v>0</v>
      </c>
      <c r="V75">
        <v>0</v>
      </c>
      <c r="W75" s="5">
        <v>28</v>
      </c>
      <c r="X75">
        <v>1</v>
      </c>
      <c r="Y75" s="4">
        <v>0</v>
      </c>
      <c r="Z75">
        <v>0</v>
      </c>
      <c r="AA75" s="5">
        <v>0</v>
      </c>
      <c r="AB75">
        <v>0</v>
      </c>
      <c r="AC75" s="5">
        <v>0</v>
      </c>
      <c r="AD75" s="5">
        <v>56</v>
      </c>
      <c r="AE75" s="5">
        <v>0</v>
      </c>
      <c r="AF75" s="5">
        <v>56</v>
      </c>
      <c r="AG75" s="5">
        <v>0</v>
      </c>
      <c r="AH75" s="5">
        <v>0</v>
      </c>
      <c r="AI75" s="5">
        <v>0</v>
      </c>
    </row>
    <row r="76">
      <c r="A76" s="2" t="str">
        <f>HYPERLINK("https://www.avito.ru/kaliningrad/bytovaya_elektronika/h2s_combo_ams_2_pro_printer_3d_skorostnoy_8053734873","8053734873")</f>
      </c>
      <c r="B76" t="s">
        <v>103</v>
      </c>
      <c r="C76" t="s">
        <v>104</v>
      </c>
      <c r="D76" t="s">
        <v>105</v>
      </c>
      <c r="E76" t="s">
        <v>38</v>
      </c>
      <c r="F76" t="s">
        <v>39</v>
      </c>
      <c r="G76" t="s">
        <v>40</v>
      </c>
      <c r="H76" s="3" t="str">
        <f>HYPERLINK("https://www.avito.ru/kaliningrad/bytovaya_elektronika/h2s_combo_ams_2_pro_printer_3d_skorostnoy_8053734873","H2S Combo AMS 2 PRO принтер 3D скоростной")</f>
      </c>
      <c r="I76" t="s">
        <v>48</v>
      </c>
      <c r="J76" t="s">
        <v>115</v>
      </c>
      <c r="K76" t="s">
        <v>116</v>
      </c>
      <c r="L76">
        <v>51</v>
      </c>
      <c r="M76">
        <v>422</v>
      </c>
      <c r="N76" s="4">
        <v>0.1137</v>
      </c>
      <c r="O76">
        <v>48</v>
      </c>
      <c r="P76" s="5">
        <v>1.16</v>
      </c>
      <c r="Q76" s="4">
        <v>0.0208</v>
      </c>
      <c r="R76">
        <v>1</v>
      </c>
      <c r="S76">
        <v>1</v>
      </c>
      <c r="T76">
        <v>0</v>
      </c>
      <c r="U76">
        <v>0</v>
      </c>
      <c r="V76">
        <v>0</v>
      </c>
      <c r="W76" s="5">
        <v>56</v>
      </c>
      <c r="X76">
        <v>3</v>
      </c>
      <c r="Y76" s="4">
        <v>0</v>
      </c>
      <c r="Z76">
        <v>0</v>
      </c>
      <c r="AA76" s="5">
        <v>0</v>
      </c>
      <c r="AB76">
        <v>0</v>
      </c>
      <c r="AC76" s="5">
        <v>0</v>
      </c>
      <c r="AD76" s="5">
        <v>56</v>
      </c>
      <c r="AE76" s="5">
        <v>0</v>
      </c>
      <c r="AF76" s="5">
        <v>56</v>
      </c>
      <c r="AG76" s="5">
        <v>0</v>
      </c>
      <c r="AH76" s="5">
        <v>0</v>
      </c>
      <c r="AI76" s="5">
        <v>0</v>
      </c>
    </row>
    <row r="77">
      <c r="A77" s="2" t="str">
        <f>HYPERLINK("https://www.avito.ru/mahachkala/bytovaya_elektronika/h2d_combo_ams_2_pro_promyshlennyy_3d_printer_8053688972","8053688972")</f>
      </c>
      <c r="B77" t="s">
        <v>106</v>
      </c>
      <c r="C77" t="s">
        <v>107</v>
      </c>
      <c r="D77" t="s">
        <v>108</v>
      </c>
      <c r="E77" t="s">
        <v>38</v>
      </c>
      <c r="F77" t="s">
        <v>39</v>
      </c>
      <c r="G77" t="s">
        <v>40</v>
      </c>
      <c r="H77" s="3" t="str">
        <f>HYPERLINK("https://www.avito.ru/mahachkala/bytovaya_elektronika/h2d_combo_ams_2_pro_promyshlennyy_3d_printer_8053688972","H2D Combo AMS 2 Pro промышленный 3D принтер")</f>
      </c>
      <c r="I77" t="s">
        <v>91</v>
      </c>
      <c r="J77" t="s">
        <v>42</v>
      </c>
      <c r="K77" t="s">
        <v>43</v>
      </c>
      <c r="L77">
        <v>50</v>
      </c>
      <c r="M77">
        <v>417</v>
      </c>
      <c r="N77" s="4">
        <v>0.1127</v>
      </c>
      <c r="O77">
        <v>47</v>
      </c>
      <c r="P77" s="5">
        <v>1.19</v>
      </c>
      <c r="Q77" s="4">
        <v>0.0212</v>
      </c>
      <c r="R77">
        <v>1</v>
      </c>
      <c r="S77">
        <v>1</v>
      </c>
      <c r="T77">
        <v>0</v>
      </c>
      <c r="U77">
        <v>0</v>
      </c>
      <c r="V77">
        <v>0</v>
      </c>
      <c r="W77" s="5">
        <v>56</v>
      </c>
      <c r="X77">
        <v>4</v>
      </c>
      <c r="Y77" s="4">
        <v>0</v>
      </c>
      <c r="Z77">
        <v>0</v>
      </c>
      <c r="AA77" s="5">
        <v>0</v>
      </c>
      <c r="AB77">
        <v>0</v>
      </c>
      <c r="AC77" s="5">
        <v>0</v>
      </c>
      <c r="AD77" s="5">
        <v>56</v>
      </c>
      <c r="AE77" s="5">
        <v>0</v>
      </c>
      <c r="AF77" s="5">
        <v>56</v>
      </c>
      <c r="AG77" s="5">
        <v>0</v>
      </c>
      <c r="AH77" s="5">
        <v>0</v>
      </c>
      <c r="AI77" s="5">
        <v>0</v>
      </c>
    </row>
    <row r="78">
      <c r="A78" s="2" t="str">
        <f>HYPERLINK("https://www.avito.ru/kirovskaya_oblast_kirov/bytovaya_elektronika/skorostnoy_3d_printer_h2d_combo_ams_2_pro_kirov_8053207023","8053207023")</f>
      </c>
      <c r="B78" t="s">
        <v>164</v>
      </c>
      <c r="C78" t="s">
        <v>165</v>
      </c>
      <c r="D78" t="s">
        <v>166</v>
      </c>
      <c r="E78" t="s">
        <v>38</v>
      </c>
      <c r="F78" t="s">
        <v>39</v>
      </c>
      <c r="G78" t="s">
        <v>40</v>
      </c>
      <c r="H78" s="3" t="str">
        <f>HYPERLINK("https://www.avito.ru/kirovskaya_oblast_kirov/bytovaya_elektronika/skorostnoy_3d_printer_h2d_combo_ams_2_pro_kirov_8053207023","Скоростной 3Д принтер H2D Combo AMS 2 Pro Киров")</f>
      </c>
      <c r="I78" t="s">
        <v>91</v>
      </c>
      <c r="J78" t="s">
        <v>42</v>
      </c>
      <c r="K78" t="s">
        <v>43</v>
      </c>
      <c r="L78">
        <v>50</v>
      </c>
      <c r="M78">
        <v>275</v>
      </c>
      <c r="N78" s="4">
        <v>0.1672</v>
      </c>
      <c r="O78">
        <v>46</v>
      </c>
      <c r="P78" s="5">
        <v>1.21</v>
      </c>
      <c r="Q78" s="4">
        <v>0</v>
      </c>
      <c r="R78">
        <v>0</v>
      </c>
      <c r="S78">
        <v>0</v>
      </c>
      <c r="T78">
        <v>0</v>
      </c>
      <c r="U78">
        <v>0</v>
      </c>
      <c r="V78">
        <v>0</v>
      </c>
      <c r="W78" s="5" t="s">
        <v>65</v>
      </c>
      <c r="X78">
        <v>2</v>
      </c>
      <c r="Y78" s="4">
        <v>0</v>
      </c>
      <c r="Z78">
        <v>0</v>
      </c>
      <c r="AA78" s="5">
        <v>0</v>
      </c>
      <c r="AB78">
        <v>0</v>
      </c>
      <c r="AC78" s="5">
        <v>0</v>
      </c>
      <c r="AD78" s="5">
        <v>56</v>
      </c>
      <c r="AE78" s="5">
        <v>0</v>
      </c>
      <c r="AF78" s="5">
        <v>56</v>
      </c>
      <c r="AG78" s="5">
        <v>0</v>
      </c>
      <c r="AH78" s="5">
        <v>0</v>
      </c>
      <c r="AI78" s="5">
        <v>0</v>
      </c>
    </row>
    <row r="79">
      <c r="A79" s="2" t="str">
        <f>HYPERLINK("https://www.avito.ru/perm/bytovaya_elektronika/bambu_lab_p2s_combo_vysokotochnyy_printer_8053750160","8053750160")</f>
      </c>
      <c r="B79" t="s">
        <v>61</v>
      </c>
      <c r="C79" t="s">
        <v>62</v>
      </c>
      <c r="D79" t="s">
        <v>63</v>
      </c>
      <c r="E79" t="s">
        <v>38</v>
      </c>
      <c r="F79" t="s">
        <v>39</v>
      </c>
      <c r="G79" t="s">
        <v>40</v>
      </c>
      <c r="H79" s="3" t="str">
        <f>HYPERLINK("https://www.avito.ru/perm/bytovaya_elektronika/bambu_lab_p2s_combo_vysokotochnyy_printer_8053750160","Bambu Lab P2S Combo высокоточный принтер")</f>
      </c>
      <c r="I79" t="s">
        <v>128</v>
      </c>
      <c r="J79" t="s">
        <v>115</v>
      </c>
      <c r="K79" t="s">
        <v>116</v>
      </c>
      <c r="L79">
        <v>51</v>
      </c>
      <c r="M79">
        <v>441</v>
      </c>
      <c r="N79" s="4">
        <v>0.1043</v>
      </c>
      <c r="O79">
        <v>46</v>
      </c>
      <c r="P79" s="5">
        <v>1.21</v>
      </c>
      <c r="Q79" s="4">
        <v>0</v>
      </c>
      <c r="R79">
        <v>0</v>
      </c>
      <c r="S79">
        <v>0</v>
      </c>
      <c r="T79">
        <v>0</v>
      </c>
      <c r="U79">
        <v>0</v>
      </c>
      <c r="V79">
        <v>0</v>
      </c>
      <c r="W79" s="5" t="s">
        <v>65</v>
      </c>
      <c r="X79">
        <v>1</v>
      </c>
      <c r="Y79" s="4">
        <v>0</v>
      </c>
      <c r="Z79">
        <v>0</v>
      </c>
      <c r="AA79" s="5">
        <v>0</v>
      </c>
      <c r="AB79">
        <v>0</v>
      </c>
      <c r="AC79" s="5">
        <v>0</v>
      </c>
      <c r="AD79" s="5">
        <v>56</v>
      </c>
      <c r="AE79" s="5">
        <v>0</v>
      </c>
      <c r="AF79" s="5">
        <v>56</v>
      </c>
      <c r="AG79" s="5">
        <v>0</v>
      </c>
      <c r="AH79" s="5">
        <v>0</v>
      </c>
      <c r="AI79" s="5">
        <v>0</v>
      </c>
    </row>
    <row r="80">
      <c r="A80" s="2" t="str">
        <f>HYPERLINK("https://www.avito.ru/moskva/bytovaya_elektronika/3d_printer_bambu_lab_h2d_pro_combo_ams_8053886563","8053886563")</f>
      </c>
      <c r="B80" t="s">
        <v>35</v>
      </c>
      <c r="C80" t="s">
        <v>36</v>
      </c>
      <c r="D80" t="s">
        <v>37</v>
      </c>
      <c r="E80" t="s">
        <v>38</v>
      </c>
      <c r="F80" t="s">
        <v>39</v>
      </c>
      <c r="G80" t="s">
        <v>40</v>
      </c>
      <c r="H80" s="3" t="str">
        <f>HYPERLINK("https://www.avito.ru/moskva/bytovaya_elektronika/3d_printer_bambu_lab_h2d_pro_combo_ams_8053886563","3Д принтер Bambu Lab H2D PRO Combo AMS")</f>
      </c>
      <c r="I80" t="s">
        <v>172</v>
      </c>
      <c r="J80" t="s">
        <v>115</v>
      </c>
      <c r="K80" t="s">
        <v>116</v>
      </c>
      <c r="L80">
        <v>51</v>
      </c>
      <c r="M80">
        <v>198</v>
      </c>
      <c r="N80" s="4">
        <v>0.2272</v>
      </c>
      <c r="O80">
        <v>45</v>
      </c>
      <c r="P80" s="5">
        <v>1.88</v>
      </c>
      <c r="Q80" s="4">
        <v>0.0222</v>
      </c>
      <c r="R80">
        <v>1</v>
      </c>
      <c r="S80">
        <v>1</v>
      </c>
      <c r="T80">
        <v>0</v>
      </c>
      <c r="U80">
        <v>0</v>
      </c>
      <c r="V80">
        <v>0</v>
      </c>
      <c r="W80" s="5">
        <v>85</v>
      </c>
      <c r="X80">
        <v>7</v>
      </c>
      <c r="Y80" s="4">
        <v>0</v>
      </c>
      <c r="Z80">
        <v>0</v>
      </c>
      <c r="AA80" s="5">
        <v>0</v>
      </c>
      <c r="AB80">
        <v>0</v>
      </c>
      <c r="AC80" s="5">
        <v>0</v>
      </c>
      <c r="AD80" s="5">
        <v>85</v>
      </c>
      <c r="AE80" s="5">
        <v>0</v>
      </c>
      <c r="AF80" s="5">
        <v>85</v>
      </c>
      <c r="AG80" s="5">
        <v>0</v>
      </c>
      <c r="AH80" s="5">
        <v>0</v>
      </c>
      <c r="AI80" s="5">
        <v>0</v>
      </c>
    </row>
    <row r="81">
      <c r="A81" s="2" t="str">
        <f>HYPERLINK("https://www.avito.ru/samara/bytovaya_elektronika/professionalnyy_3d_printer_h2d_pro_combo_ams_8053338285","8053338285")</f>
      </c>
      <c r="B81" t="s">
        <v>173</v>
      </c>
      <c r="C81" t="s">
        <v>174</v>
      </c>
      <c r="D81" t="s">
        <v>175</v>
      </c>
      <c r="E81" t="s">
        <v>38</v>
      </c>
      <c r="F81" t="s">
        <v>39</v>
      </c>
      <c r="G81" t="s">
        <v>40</v>
      </c>
      <c r="H81" s="3" t="str">
        <f>HYPERLINK("https://www.avito.ru/samara/bytovaya_elektronika/professionalnyy_3d_printer_h2d_pro_combo_ams_8053338285","Профессиональный 3D принтер H2D PRO Combo AMS")</f>
      </c>
      <c r="I81" t="s">
        <v>172</v>
      </c>
      <c r="J81" t="s">
        <v>115</v>
      </c>
      <c r="K81" t="s">
        <v>116</v>
      </c>
      <c r="L81">
        <v>51</v>
      </c>
      <c r="M81">
        <v>515</v>
      </c>
      <c r="N81" s="4">
        <v>0.0854</v>
      </c>
      <c r="O81">
        <v>44</v>
      </c>
      <c r="P81" s="5">
        <v>1.27</v>
      </c>
      <c r="Q81" s="4">
        <v>0</v>
      </c>
      <c r="R81">
        <v>0</v>
      </c>
      <c r="S81">
        <v>0</v>
      </c>
      <c r="T81">
        <v>0</v>
      </c>
      <c r="U81">
        <v>0</v>
      </c>
      <c r="V81">
        <v>0</v>
      </c>
      <c r="W81" s="5" t="s">
        <v>65</v>
      </c>
      <c r="X81">
        <v>3</v>
      </c>
      <c r="Y81" s="4">
        <v>0</v>
      </c>
      <c r="Z81">
        <v>0</v>
      </c>
      <c r="AA81" s="5">
        <v>0</v>
      </c>
      <c r="AB81">
        <v>0</v>
      </c>
      <c r="AC81" s="5">
        <v>0</v>
      </c>
      <c r="AD81" s="5">
        <v>56</v>
      </c>
      <c r="AE81" s="5">
        <v>0</v>
      </c>
      <c r="AF81" s="5">
        <v>56</v>
      </c>
      <c r="AG81" s="5">
        <v>0</v>
      </c>
      <c r="AH81" s="5">
        <v>0</v>
      </c>
      <c r="AI81" s="5">
        <v>0</v>
      </c>
    </row>
    <row r="82">
      <c r="A82" s="2" t="str">
        <f>HYPERLINK("https://www.avito.ru/kazan/bytovaya_elektronika/3d_printer_p2s_combo_s_kameroy_i_ii_8053586379","8053586379")</f>
      </c>
      <c r="B82" t="s">
        <v>112</v>
      </c>
      <c r="C82" t="s">
        <v>131</v>
      </c>
      <c r="D82" t="s">
        <v>132</v>
      </c>
      <c r="E82" t="s">
        <v>38</v>
      </c>
      <c r="F82" t="s">
        <v>39</v>
      </c>
      <c r="G82" t="s">
        <v>40</v>
      </c>
      <c r="H82" s="3" t="str">
        <f>HYPERLINK("https://www.avito.ru/kazan/bytovaya_elektronika/3d_printer_p2s_combo_s_kameroy_i_ii_8053586379","3D принтер P2S Combo с камерой и ии")</f>
      </c>
      <c r="I82" t="s">
        <v>128</v>
      </c>
      <c r="J82" t="s">
        <v>115</v>
      </c>
      <c r="K82" t="s">
        <v>116</v>
      </c>
      <c r="L82">
        <v>51</v>
      </c>
      <c r="M82">
        <v>384</v>
      </c>
      <c r="N82" s="4">
        <v>0.1119</v>
      </c>
      <c r="O82">
        <v>43</v>
      </c>
      <c r="P82" s="5">
        <v>1.3</v>
      </c>
      <c r="Q82" s="4">
        <v>0</v>
      </c>
      <c r="R82">
        <v>0</v>
      </c>
      <c r="S82">
        <v>0</v>
      </c>
      <c r="T82">
        <v>0</v>
      </c>
      <c r="U82">
        <v>0</v>
      </c>
      <c r="V82">
        <v>0</v>
      </c>
      <c r="W82" s="5" t="s">
        <v>65</v>
      </c>
      <c r="X82">
        <v>3</v>
      </c>
      <c r="Y82" s="4">
        <v>0</v>
      </c>
      <c r="Z82">
        <v>0</v>
      </c>
      <c r="AA82" s="5">
        <v>0</v>
      </c>
      <c r="AB82">
        <v>0</v>
      </c>
      <c r="AC82" s="5">
        <v>0</v>
      </c>
      <c r="AD82" s="5">
        <v>56</v>
      </c>
      <c r="AE82" s="5">
        <v>0</v>
      </c>
      <c r="AF82" s="5">
        <v>56</v>
      </c>
      <c r="AG82" s="5">
        <v>0</v>
      </c>
      <c r="AH82" s="5">
        <v>0</v>
      </c>
      <c r="AI82" s="5">
        <v>0</v>
      </c>
    </row>
    <row r="83">
      <c r="A83" s="2" t="str">
        <f>HYPERLINK("https://www.avito.ru/moskva/bytovaya_elektronika/h2d_laser_10w_eu_skorostnoy_3d_printer_8053746408","8053746408")</f>
      </c>
      <c r="B83" t="s">
        <v>35</v>
      </c>
      <c r="C83" t="s">
        <v>36</v>
      </c>
      <c r="D83" t="s">
        <v>37</v>
      </c>
      <c r="E83" t="s">
        <v>38</v>
      </c>
      <c r="F83" t="s">
        <v>39</v>
      </c>
      <c r="G83" t="s">
        <v>40</v>
      </c>
      <c r="H83" s="3" t="str">
        <f>HYPERLINK("https://www.avito.ru/moskva/bytovaya_elektronika/h2d_laser_10w_eu_skorostnoy_3d_printer_8053746408","H2D Laser 10W EU скоростной 3Д принтер")</f>
      </c>
      <c r="I83" t="s">
        <v>95</v>
      </c>
      <c r="J83" t="s">
        <v>42</v>
      </c>
      <c r="K83" t="s">
        <v>43</v>
      </c>
      <c r="L83">
        <v>50</v>
      </c>
      <c r="M83">
        <v>392</v>
      </c>
      <c r="N83" s="4">
        <v>0.1096</v>
      </c>
      <c r="O83">
        <v>43</v>
      </c>
      <c r="P83" s="5">
        <v>1.97</v>
      </c>
      <c r="Q83" s="4">
        <v>0</v>
      </c>
      <c r="R83">
        <v>0</v>
      </c>
      <c r="S83">
        <v>0</v>
      </c>
      <c r="T83">
        <v>0</v>
      </c>
      <c r="U83">
        <v>0</v>
      </c>
      <c r="V83">
        <v>0</v>
      </c>
      <c r="W83" s="5" t="s">
        <v>65</v>
      </c>
      <c r="X83">
        <v>0</v>
      </c>
      <c r="Y83" s="4">
        <v>0</v>
      </c>
      <c r="Z83">
        <v>0</v>
      </c>
      <c r="AA83" s="5">
        <v>0</v>
      </c>
      <c r="AB83">
        <v>0</v>
      </c>
      <c r="AC83" s="5">
        <v>0</v>
      </c>
      <c r="AD83" s="5">
        <v>85</v>
      </c>
      <c r="AE83" s="5">
        <v>0</v>
      </c>
      <c r="AF83" s="5">
        <v>85</v>
      </c>
      <c r="AG83" s="5">
        <v>0</v>
      </c>
      <c r="AH83" s="5">
        <v>0</v>
      </c>
      <c r="AI83" s="5">
        <v>0</v>
      </c>
    </row>
    <row r="84">
      <c r="A84" s="2" t="str">
        <f>HYPERLINK("https://www.avito.ru/kirovskaya_oblast_kirov/bytovaya_elektronika/h2s_combo_ams_2_pro_printer_3d_bambu_lab_8053132957","8053132957")</f>
      </c>
      <c r="B84" t="s">
        <v>164</v>
      </c>
      <c r="C84" t="s">
        <v>165</v>
      </c>
      <c r="D84" t="s">
        <v>166</v>
      </c>
      <c r="E84" t="s">
        <v>38</v>
      </c>
      <c r="F84" t="s">
        <v>39</v>
      </c>
      <c r="G84" t="s">
        <v>40</v>
      </c>
      <c r="H84" s="3" t="str">
        <f>HYPERLINK("https://www.avito.ru/kirovskaya_oblast_kirov/bytovaya_elektronika/h2s_combo_ams_2_pro_printer_3d_bambu_lab_8053132957","H2S Combo AMS 2 PRO принтер 3D Bambu Lab")</f>
      </c>
      <c r="I84" t="s">
        <v>48</v>
      </c>
      <c r="J84" t="s">
        <v>115</v>
      </c>
      <c r="K84" t="s">
        <v>116</v>
      </c>
      <c r="L84">
        <v>51</v>
      </c>
      <c r="M84">
        <v>407</v>
      </c>
      <c r="N84" s="4">
        <v>0.0982</v>
      </c>
      <c r="O84">
        <v>40</v>
      </c>
      <c r="P84" s="5">
        <v>1.4</v>
      </c>
      <c r="Q84" s="4">
        <v>0</v>
      </c>
      <c r="R84">
        <v>0</v>
      </c>
      <c r="S84">
        <v>0</v>
      </c>
      <c r="T84">
        <v>0</v>
      </c>
      <c r="U84">
        <v>0</v>
      </c>
      <c r="V84">
        <v>0</v>
      </c>
      <c r="W84" s="5" t="s">
        <v>65</v>
      </c>
      <c r="X84">
        <v>0</v>
      </c>
      <c r="Y84" s="4">
        <v>0</v>
      </c>
      <c r="Z84">
        <v>0</v>
      </c>
      <c r="AA84" s="5">
        <v>0</v>
      </c>
      <c r="AB84">
        <v>0</v>
      </c>
      <c r="AC84" s="5">
        <v>0</v>
      </c>
      <c r="AD84" s="5">
        <v>56</v>
      </c>
      <c r="AE84" s="5">
        <v>0</v>
      </c>
      <c r="AF84" s="5">
        <v>56</v>
      </c>
      <c r="AG84" s="5">
        <v>0</v>
      </c>
      <c r="AH84" s="5">
        <v>0</v>
      </c>
      <c r="AI84" s="5">
        <v>0</v>
      </c>
    </row>
    <row r="85">
      <c r="A85" s="2" t="str">
        <f>HYPERLINK("https://www.avito.ru/samara/bytovaya_elektronika/3d-printer_bambu_lab_h2c_laser_10w_eu_8053615937","8053615937")</f>
      </c>
      <c r="B85" t="s">
        <v>173</v>
      </c>
      <c r="C85" t="s">
        <v>174</v>
      </c>
      <c r="D85" t="s">
        <v>175</v>
      </c>
      <c r="E85" t="s">
        <v>38</v>
      </c>
      <c r="F85" t="s">
        <v>39</v>
      </c>
      <c r="G85" t="s">
        <v>40</v>
      </c>
      <c r="H85" s="3" t="str">
        <f>HYPERLINK("https://www.avito.ru/samara/bytovaya_elektronika/3d-printer_bambu_lab_h2c_laser_10w_eu_8053615937","3D-принтер Bambu Lab H2C Laser 10W EU")</f>
      </c>
      <c r="I85" t="s">
        <v>69</v>
      </c>
      <c r="J85" t="s">
        <v>49</v>
      </c>
      <c r="K85" t="s">
        <v>50</v>
      </c>
      <c r="L85">
        <v>52</v>
      </c>
      <c r="M85">
        <v>217</v>
      </c>
      <c r="N85" s="4">
        <v>0.1843</v>
      </c>
      <c r="O85">
        <v>40</v>
      </c>
      <c r="P85" s="5">
        <v>1.4</v>
      </c>
      <c r="Q85" s="4">
        <v>0</v>
      </c>
      <c r="R85">
        <v>0</v>
      </c>
      <c r="S85">
        <v>0</v>
      </c>
      <c r="T85">
        <v>0</v>
      </c>
      <c r="U85">
        <v>0</v>
      </c>
      <c r="V85">
        <v>0</v>
      </c>
      <c r="W85" s="5" t="s">
        <v>65</v>
      </c>
      <c r="X85">
        <v>3</v>
      </c>
      <c r="Y85" s="4">
        <v>0</v>
      </c>
      <c r="Z85">
        <v>0</v>
      </c>
      <c r="AA85" s="5">
        <v>0</v>
      </c>
      <c r="AB85">
        <v>0</v>
      </c>
      <c r="AC85" s="5">
        <v>0</v>
      </c>
      <c r="AD85" s="5">
        <v>56</v>
      </c>
      <c r="AE85" s="5">
        <v>0</v>
      </c>
      <c r="AF85" s="5">
        <v>56</v>
      </c>
      <c r="AG85" s="5">
        <v>0</v>
      </c>
      <c r="AH85" s="5">
        <v>0</v>
      </c>
      <c r="AI85" s="5">
        <v>0</v>
      </c>
    </row>
    <row r="86">
      <c r="A86" s="2" t="str">
        <f>HYPERLINK("https://www.avito.ru/yaroslavl/bytovaya_elektronika/bambu_lab_h2d_combo_ams_2_pro_cn_8053513563","8053513563")</f>
      </c>
      <c r="B86" t="s">
        <v>176</v>
      </c>
      <c r="C86" t="s">
        <v>177</v>
      </c>
      <c r="D86" t="s">
        <v>178</v>
      </c>
      <c r="E86" t="s">
        <v>38</v>
      </c>
      <c r="F86" t="s">
        <v>39</v>
      </c>
      <c r="G86" t="s">
        <v>40</v>
      </c>
      <c r="H86" s="3" t="str">
        <f>HYPERLINK("https://www.avito.ru/yaroslavl/bytovaya_elektronika/bambu_lab_h2d_combo_ams_2_pro_cn_8053513563","Bambu Lab H2D Combo AMS 2 Pro CN")</f>
      </c>
      <c r="I86" t="s">
        <v>41</v>
      </c>
      <c r="J86" t="s">
        <v>42</v>
      </c>
      <c r="K86" t="s">
        <v>43</v>
      </c>
      <c r="L86">
        <v>50</v>
      </c>
      <c r="M86">
        <v>267</v>
      </c>
      <c r="N86" s="4">
        <v>0.146</v>
      </c>
      <c r="O86">
        <v>39</v>
      </c>
      <c r="P86" s="5">
        <v>1.43</v>
      </c>
      <c r="Q86" s="4">
        <v>0.0256</v>
      </c>
      <c r="R86">
        <v>1</v>
      </c>
      <c r="S86">
        <v>1</v>
      </c>
      <c r="T86">
        <v>0</v>
      </c>
      <c r="U86">
        <v>0</v>
      </c>
      <c r="V86">
        <v>0</v>
      </c>
      <c r="W86" s="5">
        <v>56</v>
      </c>
      <c r="X86">
        <v>0</v>
      </c>
      <c r="Y86" s="4">
        <v>0</v>
      </c>
      <c r="Z86">
        <v>0</v>
      </c>
      <c r="AA86" s="5">
        <v>0</v>
      </c>
      <c r="AB86">
        <v>0</v>
      </c>
      <c r="AC86" s="5">
        <v>0</v>
      </c>
      <c r="AD86" s="5">
        <v>56</v>
      </c>
      <c r="AE86" s="5">
        <v>0</v>
      </c>
      <c r="AF86" s="5">
        <v>56</v>
      </c>
      <c r="AG86" s="5">
        <v>0</v>
      </c>
      <c r="AH86" s="5">
        <v>0</v>
      </c>
      <c r="AI86" s="5">
        <v>0</v>
      </c>
    </row>
    <row r="87">
      <c r="A87" s="2" t="str">
        <f>HYPERLINK("https://www.avito.ru/krasnodar/bytovaya_elektronika/3d_printer_h2d_laser_10w_eu_bambu_lab_8053842472","8053842472")</f>
      </c>
      <c r="B87" t="s">
        <v>78</v>
      </c>
      <c r="C87" t="s">
        <v>79</v>
      </c>
      <c r="D87" t="s">
        <v>80</v>
      </c>
      <c r="E87" t="s">
        <v>38</v>
      </c>
      <c r="F87" t="s">
        <v>39</v>
      </c>
      <c r="G87" t="s">
        <v>40</v>
      </c>
      <c r="H87" s="3" t="str">
        <f>HYPERLINK("https://www.avito.ru/krasnodar/bytovaya_elektronika/3d_printer_h2d_laser_10w_eu_bambu_lab_8053842472","3Д принтер H2D Laser 10W EU (Bambu Lab)")</f>
      </c>
      <c r="I87" t="s">
        <v>95</v>
      </c>
      <c r="J87" t="s">
        <v>42</v>
      </c>
      <c r="K87" t="s">
        <v>43</v>
      </c>
      <c r="L87">
        <v>50</v>
      </c>
      <c r="M87">
        <v>218</v>
      </c>
      <c r="N87" s="4">
        <v>0.1788</v>
      </c>
      <c r="O87">
        <v>39</v>
      </c>
      <c r="P87" s="5">
        <v>1.43</v>
      </c>
      <c r="Q87" s="4">
        <v>0</v>
      </c>
      <c r="R87">
        <v>0</v>
      </c>
      <c r="S87">
        <v>0</v>
      </c>
      <c r="T87">
        <v>0</v>
      </c>
      <c r="U87">
        <v>0</v>
      </c>
      <c r="V87">
        <v>0</v>
      </c>
      <c r="W87" s="5" t="s">
        <v>65</v>
      </c>
      <c r="X87">
        <v>0</v>
      </c>
      <c r="Y87" s="4">
        <v>0</v>
      </c>
      <c r="Z87">
        <v>0</v>
      </c>
      <c r="AA87" s="5">
        <v>0</v>
      </c>
      <c r="AB87">
        <v>0</v>
      </c>
      <c r="AC87" s="5">
        <v>0</v>
      </c>
      <c r="AD87" s="5">
        <v>56</v>
      </c>
      <c r="AE87" s="5">
        <v>0</v>
      </c>
      <c r="AF87" s="5">
        <v>56</v>
      </c>
      <c r="AG87" s="5">
        <v>0</v>
      </c>
      <c r="AH87" s="5">
        <v>0</v>
      </c>
      <c r="AI87" s="5">
        <v>0</v>
      </c>
    </row>
    <row r="88">
      <c r="A88" s="2" t="str">
        <f>HYPERLINK("https://www.avito.ru/ufa/bytovaya_elektronika/bambu_lab_p2s_combo_3d_printer_256x256x256_8053883010","8053883010")</f>
      </c>
      <c r="B88" t="s">
        <v>179</v>
      </c>
      <c r="C88" t="s">
        <v>180</v>
      </c>
      <c r="D88" t="s">
        <v>181</v>
      </c>
      <c r="E88" t="s">
        <v>38</v>
      </c>
      <c r="F88" t="s">
        <v>39</v>
      </c>
      <c r="G88" t="s">
        <v>40</v>
      </c>
      <c r="H88" s="3" t="str">
        <f>HYPERLINK("https://www.avito.ru/ufa/bytovaya_elektronika/bambu_lab_p2s_combo_3d_printer_256x256x256_8053883010","Bambu Lab P2S Combo 3D принтер 256x256x256")</f>
      </c>
      <c r="I88" t="s">
        <v>128</v>
      </c>
      <c r="J88" t="s">
        <v>115</v>
      </c>
      <c r="K88" t="s">
        <v>116</v>
      </c>
      <c r="L88">
        <v>51</v>
      </c>
      <c r="M88">
        <v>254</v>
      </c>
      <c r="N88" s="4">
        <v>0.1535</v>
      </c>
      <c r="O88">
        <v>39</v>
      </c>
      <c r="P88" s="5">
        <v>1.43</v>
      </c>
      <c r="Q88" s="4">
        <v>0.0256</v>
      </c>
      <c r="R88">
        <v>1</v>
      </c>
      <c r="S88">
        <v>0</v>
      </c>
      <c r="T88">
        <v>1</v>
      </c>
      <c r="U88">
        <v>0</v>
      </c>
      <c r="V88">
        <v>0</v>
      </c>
      <c r="W88" s="5">
        <v>56</v>
      </c>
      <c r="X88">
        <v>3</v>
      </c>
      <c r="Y88" s="4">
        <v>0</v>
      </c>
      <c r="Z88">
        <v>0</v>
      </c>
      <c r="AA88" s="5">
        <v>0</v>
      </c>
      <c r="AB88">
        <v>0</v>
      </c>
      <c r="AC88" s="5">
        <v>0</v>
      </c>
      <c r="AD88" s="5">
        <v>56</v>
      </c>
      <c r="AE88" s="5">
        <v>0</v>
      </c>
      <c r="AF88" s="5">
        <v>56</v>
      </c>
      <c r="AG88" s="5">
        <v>0</v>
      </c>
      <c r="AH88" s="5">
        <v>0</v>
      </c>
      <c r="AI88" s="5">
        <v>0</v>
      </c>
    </row>
    <row r="89">
      <c r="A89" s="2" t="str">
        <f>HYPERLINK("https://www.avito.ru/moskva/bytovaya_elektronika/3d-_printer_eu_bambu_lab_p2s_combo_7861506000","7861506000")</f>
      </c>
      <c r="B89" t="s">
        <v>35</v>
      </c>
      <c r="C89" t="s">
        <v>36</v>
      </c>
      <c r="D89" t="s">
        <v>44</v>
      </c>
      <c r="E89" t="s">
        <v>38</v>
      </c>
      <c r="F89" t="s">
        <v>39</v>
      </c>
      <c r="G89" t="s">
        <v>40</v>
      </c>
      <c r="H89" s="3" t="str">
        <f>HYPERLINK("https://www.avito.ru/moskva/bytovaya_elektronika/3d-_printer_eu_bambu_lab_p2s_combo_7861506000","3Д- принтер EU Bambu Lab P2S Combo")</f>
      </c>
      <c r="I89" t="s">
        <v>182</v>
      </c>
      <c r="J89" t="s">
        <v>75</v>
      </c>
      <c r="K89" t="s">
        <v>183</v>
      </c>
      <c r="L89">
        <v>164</v>
      </c>
      <c r="M89">
        <v>336</v>
      </c>
      <c r="N89" s="4">
        <v>0.113</v>
      </c>
      <c r="O89">
        <v>38</v>
      </c>
      <c r="P89" s="5">
        <v>1.56</v>
      </c>
      <c r="Q89" s="4">
        <v>0</v>
      </c>
      <c r="R89">
        <v>0</v>
      </c>
      <c r="S89">
        <v>0</v>
      </c>
      <c r="T89">
        <v>0</v>
      </c>
      <c r="U89">
        <v>0</v>
      </c>
      <c r="V89">
        <v>0</v>
      </c>
      <c r="W89" s="5" t="s">
        <v>65</v>
      </c>
      <c r="X89">
        <v>2</v>
      </c>
      <c r="Y89" s="4">
        <v>0</v>
      </c>
      <c r="Z89">
        <v>0</v>
      </c>
      <c r="AA89" s="5">
        <v>0</v>
      </c>
      <c r="AB89">
        <v>0</v>
      </c>
      <c r="AC89" s="5">
        <v>0</v>
      </c>
      <c r="AD89" s="5">
        <v>59.47</v>
      </c>
      <c r="AE89" s="5">
        <v>0</v>
      </c>
      <c r="AF89" s="5">
        <v>59.47</v>
      </c>
      <c r="AG89" s="5">
        <v>0</v>
      </c>
      <c r="AH89" s="5">
        <v>0</v>
      </c>
      <c r="AI89" s="5">
        <v>0</v>
      </c>
    </row>
    <row r="90">
      <c r="A90" s="2" t="str">
        <f>HYPERLINK("https://www.avito.ru/barnaul/bytovaya_elektronika/elegoo_giga_storm_3d_printer_dlya_reklamy_8052905020","8052905020")</f>
      </c>
      <c r="B90" t="s">
        <v>158</v>
      </c>
      <c r="C90" t="s">
        <v>159</v>
      </c>
      <c r="D90" t="s">
        <v>160</v>
      </c>
      <c r="E90" t="s">
        <v>38</v>
      </c>
      <c r="F90" t="s">
        <v>39</v>
      </c>
      <c r="G90" t="s">
        <v>40</v>
      </c>
      <c r="H90" s="3" t="str">
        <f>HYPERLINK("https://www.avito.ru/barnaul/bytovaya_elektronika/elegoo_giga_storm_3d_printer_dlya_reklamy_8052905020","Elegoo Giga Storm 3Д принтер для рекламы")</f>
      </c>
      <c r="I90" t="s">
        <v>64</v>
      </c>
      <c r="J90" t="s">
        <v>42</v>
      </c>
      <c r="K90" t="s">
        <v>43</v>
      </c>
      <c r="L90">
        <v>50</v>
      </c>
      <c r="M90">
        <v>329</v>
      </c>
      <c r="N90" s="4">
        <v>0.1155</v>
      </c>
      <c r="O90">
        <v>38</v>
      </c>
      <c r="P90" s="5">
        <v>1.47</v>
      </c>
      <c r="Q90" s="4">
        <v>0</v>
      </c>
      <c r="R90">
        <v>0</v>
      </c>
      <c r="S90">
        <v>0</v>
      </c>
      <c r="T90">
        <v>0</v>
      </c>
      <c r="U90">
        <v>0</v>
      </c>
      <c r="V90">
        <v>0</v>
      </c>
      <c r="W90" s="5" t="s">
        <v>65</v>
      </c>
      <c r="X90">
        <v>1</v>
      </c>
      <c r="Y90" s="4">
        <v>0</v>
      </c>
      <c r="Z90">
        <v>0</v>
      </c>
      <c r="AA90" s="5">
        <v>0</v>
      </c>
      <c r="AB90">
        <v>0</v>
      </c>
      <c r="AC90" s="5">
        <v>0</v>
      </c>
      <c r="AD90" s="5">
        <v>56</v>
      </c>
      <c r="AE90" s="5">
        <v>0</v>
      </c>
      <c r="AF90" s="5">
        <v>56</v>
      </c>
      <c r="AG90" s="5">
        <v>0</v>
      </c>
      <c r="AH90" s="5">
        <v>0</v>
      </c>
      <c r="AI90" s="5">
        <v>0</v>
      </c>
    </row>
    <row r="91">
      <c r="A91" s="2" t="str">
        <f>HYPERLINK("https://www.avito.ru/krasnodar/bytovaya_elektronika/elegoo_giga_storm_stantsiya_3d_pechati_dlya_proizvodstva_8053751487","8053751487")</f>
      </c>
      <c r="B91" t="s">
        <v>78</v>
      </c>
      <c r="C91" t="s">
        <v>79</v>
      </c>
      <c r="D91" t="s">
        <v>80</v>
      </c>
      <c r="E91" t="s">
        <v>38</v>
      </c>
      <c r="F91" t="s">
        <v>39</v>
      </c>
      <c r="G91" t="s">
        <v>40</v>
      </c>
      <c r="H91" s="3" t="str">
        <f>HYPERLINK("https://www.avito.ru/krasnodar/bytovaya_elektronika/elegoo_giga_storm_stantsiya_3d_pechati_dlya_proizvodstva_8053751487","Elegoo Giga Storm станция 3D печати для производства")</f>
      </c>
      <c r="I91" t="s">
        <v>64</v>
      </c>
      <c r="J91" t="s">
        <v>42</v>
      </c>
      <c r="K91" t="s">
        <v>43</v>
      </c>
      <c r="L91">
        <v>50</v>
      </c>
      <c r="M91">
        <v>308</v>
      </c>
      <c r="N91" s="4">
        <v>0.1233</v>
      </c>
      <c r="O91">
        <v>38</v>
      </c>
      <c r="P91" s="5">
        <v>1.47</v>
      </c>
      <c r="Q91" s="4">
        <v>0</v>
      </c>
      <c r="R91">
        <v>0</v>
      </c>
      <c r="S91">
        <v>0</v>
      </c>
      <c r="T91">
        <v>0</v>
      </c>
      <c r="U91">
        <v>0</v>
      </c>
      <c r="V91">
        <v>0</v>
      </c>
      <c r="W91" s="5" t="s">
        <v>65</v>
      </c>
      <c r="X91">
        <v>3</v>
      </c>
      <c r="Y91" s="4">
        <v>0</v>
      </c>
      <c r="Z91">
        <v>0</v>
      </c>
      <c r="AA91" s="5">
        <v>0</v>
      </c>
      <c r="AB91">
        <v>0</v>
      </c>
      <c r="AC91" s="5">
        <v>0</v>
      </c>
      <c r="AD91" s="5">
        <v>56</v>
      </c>
      <c r="AE91" s="5">
        <v>0</v>
      </c>
      <c r="AF91" s="5">
        <v>56</v>
      </c>
      <c r="AG91" s="5">
        <v>0</v>
      </c>
      <c r="AH91" s="5">
        <v>0</v>
      </c>
      <c r="AI91" s="5">
        <v>0</v>
      </c>
    </row>
    <row r="92">
      <c r="A92" s="2" t="str">
        <f>HYPERLINK("https://www.avito.ru/irkutsk/bytovaya_elektronika/3d_printer_h2d_laser_10w_eu_s_videokameroy_8053010275","8053010275")</f>
      </c>
      <c r="B92" t="s">
        <v>133</v>
      </c>
      <c r="C92" t="s">
        <v>134</v>
      </c>
      <c r="D92" t="s">
        <v>135</v>
      </c>
      <c r="E92" t="s">
        <v>38</v>
      </c>
      <c r="F92" t="s">
        <v>39</v>
      </c>
      <c r="G92" t="s">
        <v>40</v>
      </c>
      <c r="H92" s="3" t="str">
        <f>HYPERLINK("https://www.avito.ru/irkutsk/bytovaya_elektronika/3d_printer_h2d_laser_10w_eu_s_videokameroy_8053010275","3D принтер H2D Laser 10W EU с видеокамерой")</f>
      </c>
      <c r="I92" t="s">
        <v>95</v>
      </c>
      <c r="J92" t="s">
        <v>42</v>
      </c>
      <c r="K92" t="s">
        <v>43</v>
      </c>
      <c r="L92">
        <v>50</v>
      </c>
      <c r="M92">
        <v>427</v>
      </c>
      <c r="N92" s="4">
        <v>0.0866</v>
      </c>
      <c r="O92">
        <v>37</v>
      </c>
      <c r="P92" s="5">
        <v>1.51</v>
      </c>
      <c r="Q92" s="4">
        <v>0</v>
      </c>
      <c r="R92">
        <v>0</v>
      </c>
      <c r="S92">
        <v>0</v>
      </c>
      <c r="T92">
        <v>0</v>
      </c>
      <c r="U92">
        <v>0</v>
      </c>
      <c r="V92">
        <v>0</v>
      </c>
      <c r="W92" s="5" t="s">
        <v>65</v>
      </c>
      <c r="X92">
        <v>1</v>
      </c>
      <c r="Y92" s="4">
        <v>0</v>
      </c>
      <c r="Z92">
        <v>0</v>
      </c>
      <c r="AA92" s="5">
        <v>0</v>
      </c>
      <c r="AB92">
        <v>0</v>
      </c>
      <c r="AC92" s="5">
        <v>0</v>
      </c>
      <c r="AD92" s="5">
        <v>56</v>
      </c>
      <c r="AE92" s="5">
        <v>0</v>
      </c>
      <c r="AF92" s="5">
        <v>56</v>
      </c>
      <c r="AG92" s="5">
        <v>0</v>
      </c>
      <c r="AH92" s="5">
        <v>0</v>
      </c>
      <c r="AI92" s="5">
        <v>0</v>
      </c>
    </row>
    <row r="93">
      <c r="A93" s="2" t="str">
        <f>HYPERLINK("https://www.avito.ru/ekaterinburg/bytovaya_elektronika/h2d_combo_ams_2_pro_3d_printer_cn_8053251361","8053251361")</f>
      </c>
      <c r="B93" t="s">
        <v>136</v>
      </c>
      <c r="C93" t="s">
        <v>137</v>
      </c>
      <c r="D93" t="s">
        <v>138</v>
      </c>
      <c r="E93" t="s">
        <v>38</v>
      </c>
      <c r="F93" t="s">
        <v>39</v>
      </c>
      <c r="G93" t="s">
        <v>40</v>
      </c>
      <c r="H93" s="3" t="str">
        <f>HYPERLINK("https://www.avito.ru/ekaterinburg/bytovaya_elektronika/h2d_combo_ams_2_pro_3d_printer_cn_8053251361","H2D Combo AMS 2 Pro 3D принтер CN")</f>
      </c>
      <c r="I93" t="s">
        <v>41</v>
      </c>
      <c r="J93" t="s">
        <v>42</v>
      </c>
      <c r="K93" t="s">
        <v>43</v>
      </c>
      <c r="L93">
        <v>50</v>
      </c>
      <c r="M93">
        <v>249</v>
      </c>
      <c r="N93" s="4">
        <v>0.1485</v>
      </c>
      <c r="O93">
        <v>37</v>
      </c>
      <c r="P93" s="5">
        <v>1.51</v>
      </c>
      <c r="Q93" s="4">
        <v>0</v>
      </c>
      <c r="R93">
        <v>0</v>
      </c>
      <c r="S93">
        <v>0</v>
      </c>
      <c r="T93">
        <v>0</v>
      </c>
      <c r="U93">
        <v>0</v>
      </c>
      <c r="V93">
        <v>0</v>
      </c>
      <c r="W93" s="5" t="s">
        <v>65</v>
      </c>
      <c r="X93">
        <v>0</v>
      </c>
      <c r="Y93" s="4">
        <v>0</v>
      </c>
      <c r="Z93">
        <v>0</v>
      </c>
      <c r="AA93" s="5">
        <v>0</v>
      </c>
      <c r="AB93">
        <v>0</v>
      </c>
      <c r="AC93" s="5">
        <v>0</v>
      </c>
      <c r="AD93" s="5">
        <v>56</v>
      </c>
      <c r="AE93" s="5">
        <v>0</v>
      </c>
      <c r="AF93" s="5">
        <v>56</v>
      </c>
      <c r="AG93" s="5">
        <v>0</v>
      </c>
      <c r="AH93" s="5">
        <v>0</v>
      </c>
      <c r="AI93" s="5">
        <v>0</v>
      </c>
    </row>
    <row r="94">
      <c r="A94" s="2" t="str">
        <f>HYPERLINK("https://www.avito.ru/moskva/bytovaya_elektronika/3d_printer_bambu_lab_h2d_combo_nalichie_8021296504","8021296504")</f>
      </c>
      <c r="B94" t="s">
        <v>35</v>
      </c>
      <c r="C94" t="s">
        <v>36</v>
      </c>
      <c r="D94" t="s">
        <v>184</v>
      </c>
      <c r="E94" t="s">
        <v>38</v>
      </c>
      <c r="F94" t="s">
        <v>39</v>
      </c>
      <c r="G94" t="s">
        <v>40</v>
      </c>
      <c r="H94" s="3" t="str">
        <f>HYPERLINK("https://www.avito.ru/moskva/bytovaya_elektronika/3d_printer_bambu_lab_h2d_combo_nalichie_8021296504","3D принтер Bambu Lab H2D Combo наличие")</f>
      </c>
      <c r="I94" t="s">
        <v>91</v>
      </c>
      <c r="J94" t="s">
        <v>185</v>
      </c>
      <c r="K94" t="s">
        <v>186</v>
      </c>
      <c r="L94">
        <v>70</v>
      </c>
      <c r="M94">
        <v>102</v>
      </c>
      <c r="N94" s="4">
        <v>0.3529</v>
      </c>
      <c r="O94">
        <v>36</v>
      </c>
      <c r="P94" s="5">
        <v>1.39</v>
      </c>
      <c r="Q94" s="4">
        <v>0.0833</v>
      </c>
      <c r="R94">
        <v>3</v>
      </c>
      <c r="S94">
        <v>3</v>
      </c>
      <c r="T94">
        <v>0</v>
      </c>
      <c r="U94">
        <v>0</v>
      </c>
      <c r="V94">
        <v>0</v>
      </c>
      <c r="W94" s="5">
        <v>16.69</v>
      </c>
      <c r="X94">
        <v>6</v>
      </c>
      <c r="Y94" s="4">
        <v>0</v>
      </c>
      <c r="Z94">
        <v>0</v>
      </c>
      <c r="AA94" s="5">
        <v>0</v>
      </c>
      <c r="AB94">
        <v>0</v>
      </c>
      <c r="AC94" s="5">
        <v>0</v>
      </c>
      <c r="AD94" s="5">
        <v>50.08</v>
      </c>
      <c r="AE94" s="5">
        <v>0</v>
      </c>
      <c r="AF94" s="5">
        <v>50.08</v>
      </c>
      <c r="AG94" s="5">
        <v>0</v>
      </c>
      <c r="AH94" s="5">
        <v>0</v>
      </c>
      <c r="AI94" s="5">
        <v>0</v>
      </c>
    </row>
    <row r="95">
      <c r="A95" s="2" t="str">
        <f>HYPERLINK("https://www.avito.ru/samara/bytovaya_elektronika/h2d_combo_ams_2_pro_3d_printer_dlya_biznesa_cn_8053230134","8053230134")</f>
      </c>
      <c r="B95" t="s">
        <v>173</v>
      </c>
      <c r="C95" t="s">
        <v>174</v>
      </c>
      <c r="D95" t="s">
        <v>175</v>
      </c>
      <c r="E95" t="s">
        <v>38</v>
      </c>
      <c r="F95" t="s">
        <v>39</v>
      </c>
      <c r="G95" t="s">
        <v>40</v>
      </c>
      <c r="H95" s="3" t="str">
        <f>HYPERLINK("https://www.avito.ru/samara/bytovaya_elektronika/h2d_combo_ams_2_pro_3d_printer_dlya_biznesa_cn_8053230134","H2D Combo AMS 2 Pro 3D принтер для бизнеса CN")</f>
      </c>
      <c r="I95" t="s">
        <v>41</v>
      </c>
      <c r="J95" t="s">
        <v>42</v>
      </c>
      <c r="K95" t="s">
        <v>43</v>
      </c>
      <c r="L95">
        <v>50</v>
      </c>
      <c r="M95">
        <v>144</v>
      </c>
      <c r="N95" s="4">
        <v>0.25</v>
      </c>
      <c r="O95">
        <v>36</v>
      </c>
      <c r="P95" s="5">
        <v>1.55</v>
      </c>
      <c r="Q95" s="4">
        <v>0.0555</v>
      </c>
      <c r="R95">
        <v>2</v>
      </c>
      <c r="S95">
        <v>2</v>
      </c>
      <c r="T95">
        <v>0</v>
      </c>
      <c r="U95">
        <v>0</v>
      </c>
      <c r="V95">
        <v>0</v>
      </c>
      <c r="W95" s="5">
        <v>28</v>
      </c>
      <c r="X95">
        <v>3</v>
      </c>
      <c r="Y95" s="4">
        <v>0</v>
      </c>
      <c r="Z95">
        <v>0</v>
      </c>
      <c r="AA95" s="5">
        <v>0</v>
      </c>
      <c r="AB95">
        <v>0</v>
      </c>
      <c r="AC95" s="5">
        <v>0</v>
      </c>
      <c r="AD95" s="5">
        <v>56</v>
      </c>
      <c r="AE95" s="5">
        <v>0</v>
      </c>
      <c r="AF95" s="5">
        <v>56</v>
      </c>
      <c r="AG95" s="5">
        <v>0</v>
      </c>
      <c r="AH95" s="5">
        <v>0</v>
      </c>
      <c r="AI95" s="5">
        <v>0</v>
      </c>
    </row>
    <row r="96">
      <c r="A96" s="2" t="str">
        <f>HYPERLINK("https://www.avito.ru/irkutsk/bytovaya_elektronika/p2s_combo_3d_printer_corexy_600mms_8053249547","8053249547")</f>
      </c>
      <c r="B96" t="s">
        <v>133</v>
      </c>
      <c r="C96" t="s">
        <v>134</v>
      </c>
      <c r="D96" t="s">
        <v>135</v>
      </c>
      <c r="E96" t="s">
        <v>38</v>
      </c>
      <c r="F96" t="s">
        <v>39</v>
      </c>
      <c r="G96" t="s">
        <v>40</v>
      </c>
      <c r="H96" s="3" t="str">
        <f>HYPERLINK("https://www.avito.ru/irkutsk/bytovaya_elektronika/p2s_combo_3d_printer_corexy_600mms_8053249547","P2S Combo 3D принтер CoreXY 600мм/с")</f>
      </c>
      <c r="I96" t="s">
        <v>128</v>
      </c>
      <c r="J96" t="s">
        <v>115</v>
      </c>
      <c r="K96" t="s">
        <v>116</v>
      </c>
      <c r="L96">
        <v>51</v>
      </c>
      <c r="M96">
        <v>560</v>
      </c>
      <c r="N96" s="4">
        <v>0.0642</v>
      </c>
      <c r="O96">
        <v>36</v>
      </c>
      <c r="P96" s="5">
        <v>1.55</v>
      </c>
      <c r="Q96" s="4">
        <v>0</v>
      </c>
      <c r="R96">
        <v>0</v>
      </c>
      <c r="S96">
        <v>0</v>
      </c>
      <c r="T96">
        <v>0</v>
      </c>
      <c r="U96">
        <v>0</v>
      </c>
      <c r="V96">
        <v>0</v>
      </c>
      <c r="W96" s="5" t="s">
        <v>65</v>
      </c>
      <c r="X96">
        <v>2</v>
      </c>
      <c r="Y96" s="4">
        <v>0</v>
      </c>
      <c r="Z96">
        <v>0</v>
      </c>
      <c r="AA96" s="5">
        <v>0</v>
      </c>
      <c r="AB96">
        <v>0</v>
      </c>
      <c r="AC96" s="5">
        <v>0</v>
      </c>
      <c r="AD96" s="5">
        <v>56</v>
      </c>
      <c r="AE96" s="5">
        <v>0</v>
      </c>
      <c r="AF96" s="5">
        <v>56</v>
      </c>
      <c r="AG96" s="5">
        <v>0</v>
      </c>
      <c r="AH96" s="5">
        <v>0</v>
      </c>
      <c r="AI96" s="5">
        <v>0</v>
      </c>
    </row>
    <row r="97">
      <c r="A97" s="2" t="str">
        <f>HYPERLINK("https://www.avito.ru/lipetsk/bytovaya_elektronika/bambu_lab_h2d_combo_ams_2_pro_dlya_biznesa_cn_versiya_8053390013","8053390013")</f>
      </c>
      <c r="B97" t="s">
        <v>187</v>
      </c>
      <c r="C97" t="s">
        <v>188</v>
      </c>
      <c r="D97" t="s">
        <v>189</v>
      </c>
      <c r="E97" t="s">
        <v>38</v>
      </c>
      <c r="F97" t="s">
        <v>39</v>
      </c>
      <c r="G97" t="s">
        <v>40</v>
      </c>
      <c r="H97" s="3" t="str">
        <f>HYPERLINK("https://www.avito.ru/lipetsk/bytovaya_elektronika/bambu_lab_h2d_combo_ams_2_pro_dlya_biznesa_cn_versiya_8053390013","Bambu Lab H2D Combo AMS 2 Pro для бизнеса CN версия")</f>
      </c>
      <c r="I97" t="s">
        <v>41</v>
      </c>
      <c r="J97" t="s">
        <v>42</v>
      </c>
      <c r="K97" t="s">
        <v>43</v>
      </c>
      <c r="L97">
        <v>50</v>
      </c>
      <c r="M97">
        <v>349</v>
      </c>
      <c r="N97" s="4">
        <v>0.1031</v>
      </c>
      <c r="O97">
        <v>36</v>
      </c>
      <c r="P97" s="5">
        <v>1.55</v>
      </c>
      <c r="Q97" s="4">
        <v>0</v>
      </c>
      <c r="R97">
        <v>0</v>
      </c>
      <c r="S97">
        <v>0</v>
      </c>
      <c r="T97">
        <v>0</v>
      </c>
      <c r="U97">
        <v>0</v>
      </c>
      <c r="V97">
        <v>0</v>
      </c>
      <c r="W97" s="5" t="s">
        <v>65</v>
      </c>
      <c r="X97">
        <v>0</v>
      </c>
      <c r="Y97" s="4">
        <v>0</v>
      </c>
      <c r="Z97">
        <v>0</v>
      </c>
      <c r="AA97" s="5">
        <v>0</v>
      </c>
      <c r="AB97">
        <v>0</v>
      </c>
      <c r="AC97" s="5">
        <v>0</v>
      </c>
      <c r="AD97" s="5">
        <v>56</v>
      </c>
      <c r="AE97" s="5">
        <v>0</v>
      </c>
      <c r="AF97" s="5">
        <v>56</v>
      </c>
      <c r="AG97" s="5">
        <v>0</v>
      </c>
      <c r="AH97" s="5">
        <v>0</v>
      </c>
      <c r="AI97" s="5">
        <v>0</v>
      </c>
    </row>
    <row r="98">
      <c r="A98" s="2" t="str">
        <f>HYPERLINK("https://www.avito.ru/novosibirsk/bytovaya_elektronika/bambu_lab_h2s_combo_ams_2_pro_8053432213","8053432213")</f>
      </c>
      <c r="B98" t="s">
        <v>142</v>
      </c>
      <c r="C98" t="s">
        <v>143</v>
      </c>
      <c r="D98" t="s">
        <v>144</v>
      </c>
      <c r="E98" t="s">
        <v>38</v>
      </c>
      <c r="F98" t="s">
        <v>39</v>
      </c>
      <c r="G98" t="s">
        <v>40</v>
      </c>
      <c r="H98" s="3" t="str">
        <f>HYPERLINK("https://www.avito.ru/novosibirsk/bytovaya_elektronika/bambu_lab_h2s_combo_ams_2_pro_8053432213","Bambu Lab H2S Combo AMS 2 PRO")</f>
      </c>
      <c r="I98" t="s">
        <v>48</v>
      </c>
      <c r="J98" t="s">
        <v>49</v>
      </c>
      <c r="K98" t="s">
        <v>50</v>
      </c>
      <c r="L98">
        <v>52</v>
      </c>
      <c r="M98">
        <v>170</v>
      </c>
      <c r="N98" s="4">
        <v>0.2117</v>
      </c>
      <c r="O98">
        <v>36</v>
      </c>
      <c r="P98" s="5">
        <v>1.55</v>
      </c>
      <c r="Q98" s="4">
        <v>0.0555</v>
      </c>
      <c r="R98">
        <v>2</v>
      </c>
      <c r="S98">
        <v>1</v>
      </c>
      <c r="T98">
        <v>1</v>
      </c>
      <c r="U98">
        <v>0</v>
      </c>
      <c r="V98">
        <v>0</v>
      </c>
      <c r="W98" s="5">
        <v>28</v>
      </c>
      <c r="X98">
        <v>3</v>
      </c>
      <c r="Y98" s="4">
        <v>0</v>
      </c>
      <c r="Z98">
        <v>0</v>
      </c>
      <c r="AA98" s="5">
        <v>0</v>
      </c>
      <c r="AB98">
        <v>0</v>
      </c>
      <c r="AC98" s="5">
        <v>0</v>
      </c>
      <c r="AD98" s="5">
        <v>56</v>
      </c>
      <c r="AE98" s="5">
        <v>0</v>
      </c>
      <c r="AF98" s="5">
        <v>56</v>
      </c>
      <c r="AG98" s="5">
        <v>0</v>
      </c>
      <c r="AH98" s="5">
        <v>0</v>
      </c>
      <c r="AI98" s="5">
        <v>0</v>
      </c>
    </row>
    <row r="99">
      <c r="A99" s="2" t="str">
        <f>HYPERLINK("https://www.avito.ru/moskva/bytovaya_elektronika/3d_printer_bambu_lab_h2d_pro_combo_eu_7893214302","7893214302")</f>
      </c>
      <c r="B99" t="s">
        <v>35</v>
      </c>
      <c r="C99" t="s">
        <v>36</v>
      </c>
      <c r="D99" t="s">
        <v>44</v>
      </c>
      <c r="E99" t="s">
        <v>38</v>
      </c>
      <c r="F99" t="s">
        <v>39</v>
      </c>
      <c r="G99" t="s">
        <v>40</v>
      </c>
      <c r="H99" s="3" t="str">
        <f>HYPERLINK("https://www.avito.ru/moskva/bytovaya_elektronika/3d_printer_bambu_lab_h2d_pro_combo_eu_7893214302","3Д принтер Bambu Lab H2D PRO Combo EU")</f>
      </c>
      <c r="I99" t="s">
        <v>172</v>
      </c>
      <c r="J99" t="s">
        <v>84</v>
      </c>
      <c r="K99" t="s">
        <v>53</v>
      </c>
      <c r="L99">
        <v>135</v>
      </c>
      <c r="M99">
        <v>99</v>
      </c>
      <c r="N99" s="4">
        <v>0.3535</v>
      </c>
      <c r="O99">
        <v>35</v>
      </c>
      <c r="P99" s="5">
        <v>1.34</v>
      </c>
      <c r="Q99" s="4">
        <v>0</v>
      </c>
      <c r="R99">
        <v>0</v>
      </c>
      <c r="S99">
        <v>0</v>
      </c>
      <c r="T99">
        <v>0</v>
      </c>
      <c r="U99">
        <v>0</v>
      </c>
      <c r="V99">
        <v>0</v>
      </c>
      <c r="W99" s="5" t="s">
        <v>65</v>
      </c>
      <c r="X99">
        <v>2</v>
      </c>
      <c r="Y99" s="4">
        <v>0</v>
      </c>
      <c r="Z99">
        <v>0</v>
      </c>
      <c r="AA99" s="5">
        <v>0</v>
      </c>
      <c r="AB99">
        <v>0</v>
      </c>
      <c r="AC99" s="5">
        <v>0</v>
      </c>
      <c r="AD99" s="5">
        <v>46.95</v>
      </c>
      <c r="AE99" s="5">
        <v>0</v>
      </c>
      <c r="AF99" s="5">
        <v>46.95</v>
      </c>
      <c r="AG99" s="5">
        <v>0</v>
      </c>
      <c r="AH99" s="5">
        <v>0</v>
      </c>
      <c r="AI99" s="5">
        <v>0</v>
      </c>
    </row>
    <row r="100">
      <c r="A100" s="2" t="str">
        <f>HYPERLINK("https://www.avito.ru/nizhniy_novgorod/bytovaya_elektronika/bambu_lab_h2d_laser_10w_eu_dlya_gravirovki_8053143698","8053143698")</f>
      </c>
      <c r="B100" t="s">
        <v>125</v>
      </c>
      <c r="C100" t="s">
        <v>126</v>
      </c>
      <c r="D100" t="s">
        <v>127</v>
      </c>
      <c r="E100" t="s">
        <v>38</v>
      </c>
      <c r="F100" t="s">
        <v>39</v>
      </c>
      <c r="G100" t="s">
        <v>40</v>
      </c>
      <c r="H100" s="3" t="str">
        <f>HYPERLINK("https://www.avito.ru/nizhniy_novgorod/bytovaya_elektronika/bambu_lab_h2d_laser_10w_eu_dlya_gravirovki_8053143698","Bambu Lab H2D Laser 10W EU для гравировки")</f>
      </c>
      <c r="I100" t="s">
        <v>95</v>
      </c>
      <c r="J100" t="s">
        <v>42</v>
      </c>
      <c r="K100" t="s">
        <v>43</v>
      </c>
      <c r="L100">
        <v>50</v>
      </c>
      <c r="M100">
        <v>316</v>
      </c>
      <c r="N100" s="4">
        <v>0.1107</v>
      </c>
      <c r="O100">
        <v>35</v>
      </c>
      <c r="P100" s="5">
        <v>1.6</v>
      </c>
      <c r="Q100" s="4">
        <v>0</v>
      </c>
      <c r="R100">
        <v>0</v>
      </c>
      <c r="S100">
        <v>0</v>
      </c>
      <c r="T100">
        <v>0</v>
      </c>
      <c r="U100">
        <v>0</v>
      </c>
      <c r="V100">
        <v>0</v>
      </c>
      <c r="W100" s="5" t="s">
        <v>65</v>
      </c>
      <c r="X100">
        <v>2</v>
      </c>
      <c r="Y100" s="4">
        <v>0</v>
      </c>
      <c r="Z100">
        <v>0</v>
      </c>
      <c r="AA100" s="5">
        <v>0</v>
      </c>
      <c r="AB100">
        <v>0</v>
      </c>
      <c r="AC100" s="5">
        <v>0</v>
      </c>
      <c r="AD100" s="5">
        <v>56</v>
      </c>
      <c r="AE100" s="5">
        <v>0</v>
      </c>
      <c r="AF100" s="5">
        <v>56</v>
      </c>
      <c r="AG100" s="5">
        <v>0</v>
      </c>
      <c r="AH100" s="5">
        <v>0</v>
      </c>
      <c r="AI100" s="5">
        <v>0</v>
      </c>
    </row>
    <row r="101">
      <c r="A101" s="2" t="str">
        <f>HYPERLINK("https://www.avito.ru/moskva/bytovaya_elektronika/3d_printer_bambu_lab_h2d_combo_ams_2_pro_eu_8053242734","8053242734")</f>
      </c>
      <c r="B101" t="s">
        <v>35</v>
      </c>
      <c r="C101" t="s">
        <v>36</v>
      </c>
      <c r="D101" t="s">
        <v>37</v>
      </c>
      <c r="E101" t="s">
        <v>38</v>
      </c>
      <c r="F101" t="s">
        <v>39</v>
      </c>
      <c r="G101" t="s">
        <v>40</v>
      </c>
      <c r="H101" s="3" t="str">
        <f>HYPERLINK("https://www.avito.ru/moskva/bytovaya_elektronika/3d_printer_bambu_lab_h2d_combo_ams_2_pro_eu_8053242734","3D принтер Bambu Lab H2D Combo AMS 2 Pro EU")</f>
      </c>
      <c r="I101" t="s">
        <v>91</v>
      </c>
      <c r="J101" t="s">
        <v>42</v>
      </c>
      <c r="K101" t="s">
        <v>43</v>
      </c>
      <c r="L101">
        <v>50</v>
      </c>
      <c r="M101">
        <v>270</v>
      </c>
      <c r="N101" s="4">
        <v>0.1296</v>
      </c>
      <c r="O101">
        <v>35</v>
      </c>
      <c r="P101" s="5">
        <v>2.42</v>
      </c>
      <c r="Q101" s="4">
        <v>0.0285</v>
      </c>
      <c r="R101">
        <v>1</v>
      </c>
      <c r="S101">
        <v>1</v>
      </c>
      <c r="T101">
        <v>0</v>
      </c>
      <c r="U101">
        <v>0</v>
      </c>
      <c r="V101">
        <v>0</v>
      </c>
      <c r="W101" s="5">
        <v>85</v>
      </c>
      <c r="X101">
        <v>6</v>
      </c>
      <c r="Y101" s="4">
        <v>0</v>
      </c>
      <c r="Z101">
        <v>0</v>
      </c>
      <c r="AA101" s="5">
        <v>0</v>
      </c>
      <c r="AB101">
        <v>0</v>
      </c>
      <c r="AC101" s="5">
        <v>0</v>
      </c>
      <c r="AD101" s="5">
        <v>85</v>
      </c>
      <c r="AE101" s="5">
        <v>0</v>
      </c>
      <c r="AF101" s="5">
        <v>85</v>
      </c>
      <c r="AG101" s="5">
        <v>0</v>
      </c>
      <c r="AH101" s="5">
        <v>0</v>
      </c>
      <c r="AI101" s="5">
        <v>0</v>
      </c>
    </row>
    <row r="102">
      <c r="A102" s="2" t="str">
        <f>HYPERLINK("https://www.avito.ru/kazan/bytovaya_elektronika/3d_printer_elegoo_giga_storm_giga-format_8053304613","8053304613")</f>
      </c>
      <c r="B102" t="s">
        <v>112</v>
      </c>
      <c r="C102" t="s">
        <v>131</v>
      </c>
      <c r="D102" t="s">
        <v>132</v>
      </c>
      <c r="E102" t="s">
        <v>38</v>
      </c>
      <c r="F102" t="s">
        <v>39</v>
      </c>
      <c r="G102" t="s">
        <v>40</v>
      </c>
      <c r="H102" s="3" t="str">
        <f>HYPERLINK("https://www.avito.ru/kazan/bytovaya_elektronika/3d_printer_elegoo_giga_storm_giga-format_8053304613","3Д принтер Elegoo Giga Storm (Giga-формат)")</f>
      </c>
      <c r="I102" t="s">
        <v>64</v>
      </c>
      <c r="J102" t="s">
        <v>42</v>
      </c>
      <c r="K102" t="s">
        <v>43</v>
      </c>
      <c r="L102">
        <v>50</v>
      </c>
      <c r="M102">
        <v>340</v>
      </c>
      <c r="N102" s="4">
        <v>0.1029</v>
      </c>
      <c r="O102">
        <v>35</v>
      </c>
      <c r="P102" s="5">
        <v>1.6</v>
      </c>
      <c r="Q102" s="4">
        <v>0</v>
      </c>
      <c r="R102">
        <v>0</v>
      </c>
      <c r="S102">
        <v>0</v>
      </c>
      <c r="T102">
        <v>0</v>
      </c>
      <c r="U102">
        <v>0</v>
      </c>
      <c r="V102">
        <v>0</v>
      </c>
      <c r="W102" s="5" t="s">
        <v>65</v>
      </c>
      <c r="X102">
        <v>3</v>
      </c>
      <c r="Y102" s="4">
        <v>0</v>
      </c>
      <c r="Z102">
        <v>0</v>
      </c>
      <c r="AA102" s="5">
        <v>0</v>
      </c>
      <c r="AB102">
        <v>0</v>
      </c>
      <c r="AC102" s="5">
        <v>0</v>
      </c>
      <c r="AD102" s="5">
        <v>56</v>
      </c>
      <c r="AE102" s="5">
        <v>0</v>
      </c>
      <c r="AF102" s="5">
        <v>56</v>
      </c>
      <c r="AG102" s="5">
        <v>0</v>
      </c>
      <c r="AH102" s="5">
        <v>0</v>
      </c>
      <c r="AI102" s="5">
        <v>0</v>
      </c>
    </row>
    <row r="103">
      <c r="A103" s="2" t="str">
        <f>HYPERLINK("https://www.avito.ru/kazan/bytovaya_elektronika/bambu_lab_h2c_combo_eu_novyy_printer_s_ams_8053428238","8053428238")</f>
      </c>
      <c r="B103" t="s">
        <v>112</v>
      </c>
      <c r="C103" t="s">
        <v>131</v>
      </c>
      <c r="D103" t="s">
        <v>132</v>
      </c>
      <c r="E103" t="s">
        <v>38</v>
      </c>
      <c r="F103" t="s">
        <v>39</v>
      </c>
      <c r="G103" t="s">
        <v>40</v>
      </c>
      <c r="H103" s="3" t="str">
        <f>HYPERLINK("https://www.avito.ru/kazan/bytovaya_elektronika/bambu_lab_h2c_combo_eu_novyy_printer_s_ams_8053428238","Bambu Lab H2C Combo EU новый принтер с AMS")</f>
      </c>
      <c r="I103" t="s">
        <v>83</v>
      </c>
      <c r="J103" t="s">
        <v>115</v>
      </c>
      <c r="K103" t="s">
        <v>116</v>
      </c>
      <c r="L103">
        <v>51</v>
      </c>
      <c r="M103">
        <v>179</v>
      </c>
      <c r="N103" s="4">
        <v>0.1955</v>
      </c>
      <c r="O103">
        <v>35</v>
      </c>
      <c r="P103" s="5">
        <v>1.6</v>
      </c>
      <c r="Q103" s="4">
        <v>0.0285</v>
      </c>
      <c r="R103">
        <v>1</v>
      </c>
      <c r="S103">
        <v>1</v>
      </c>
      <c r="T103">
        <v>0</v>
      </c>
      <c r="U103">
        <v>0</v>
      </c>
      <c r="V103">
        <v>0</v>
      </c>
      <c r="W103" s="5">
        <v>56</v>
      </c>
      <c r="X103">
        <v>1</v>
      </c>
      <c r="Y103" s="4">
        <v>0</v>
      </c>
      <c r="Z103">
        <v>0</v>
      </c>
      <c r="AA103" s="5">
        <v>0</v>
      </c>
      <c r="AB103">
        <v>0</v>
      </c>
      <c r="AC103" s="5">
        <v>0</v>
      </c>
      <c r="AD103" s="5">
        <v>56</v>
      </c>
      <c r="AE103" s="5">
        <v>0</v>
      </c>
      <c r="AF103" s="5">
        <v>56</v>
      </c>
      <c r="AG103" s="5">
        <v>0</v>
      </c>
      <c r="AH103" s="5">
        <v>0</v>
      </c>
      <c r="AI103" s="5">
        <v>0</v>
      </c>
    </row>
    <row r="104">
      <c r="A104" s="2" t="str">
        <f>HYPERLINK("https://www.avito.ru/rostov-na-donu/bytovaya_elektronika/bambu_lab_h2d_combo_ams_2_pro_1000_mms_8053896639","8053896639")</f>
      </c>
      <c r="B104" t="s">
        <v>88</v>
      </c>
      <c r="C104" t="s">
        <v>89</v>
      </c>
      <c r="D104" t="s">
        <v>90</v>
      </c>
      <c r="E104" t="s">
        <v>38</v>
      </c>
      <c r="F104" t="s">
        <v>39</v>
      </c>
      <c r="G104" t="s">
        <v>40</v>
      </c>
      <c r="H104" s="3" t="str">
        <f>HYPERLINK("https://www.avito.ru/rostov-na-donu/bytovaya_elektronika/bambu_lab_h2d_combo_ams_2_pro_1000_mms_8053896639","Bambu Lab H2D Combo AMS 2 Pro 1000 мм/с")</f>
      </c>
      <c r="I104" t="s">
        <v>91</v>
      </c>
      <c r="J104" t="s">
        <v>42</v>
      </c>
      <c r="K104" t="s">
        <v>43</v>
      </c>
      <c r="L104">
        <v>50</v>
      </c>
      <c r="M104">
        <v>280</v>
      </c>
      <c r="N104" s="4">
        <v>0.125</v>
      </c>
      <c r="O104">
        <v>35</v>
      </c>
      <c r="P104" s="5">
        <v>1.6</v>
      </c>
      <c r="Q104" s="4">
        <v>0.0285</v>
      </c>
      <c r="R104">
        <v>1</v>
      </c>
      <c r="S104">
        <v>0</v>
      </c>
      <c r="T104">
        <v>0</v>
      </c>
      <c r="U104">
        <v>1</v>
      </c>
      <c r="V104">
        <v>0</v>
      </c>
      <c r="W104" s="5">
        <v>56</v>
      </c>
      <c r="X104">
        <v>0</v>
      </c>
      <c r="Y104" s="4">
        <v>0</v>
      </c>
      <c r="Z104">
        <v>0</v>
      </c>
      <c r="AA104" s="5">
        <v>0</v>
      </c>
      <c r="AB104">
        <v>0</v>
      </c>
      <c r="AC104" s="5">
        <v>0</v>
      </c>
      <c r="AD104" s="5">
        <v>56</v>
      </c>
      <c r="AE104" s="5">
        <v>0</v>
      </c>
      <c r="AF104" s="5">
        <v>56</v>
      </c>
      <c r="AG104" s="5">
        <v>0</v>
      </c>
      <c r="AH104" s="5">
        <v>0</v>
      </c>
      <c r="AI104" s="5">
        <v>0</v>
      </c>
    </row>
    <row r="105">
      <c r="A105" s="2" t="str">
        <f>HYPERLINK("https://www.avito.ru/vladivostok/bytovaya_elektronika/3d_printer_bambu_lab_h2d_laser_40w_cn_8053326326","8053326326")</f>
      </c>
      <c r="B105" t="s">
        <v>190</v>
      </c>
      <c r="C105" t="s">
        <v>191</v>
      </c>
      <c r="D105" t="s">
        <v>192</v>
      </c>
      <c r="E105" t="s">
        <v>38</v>
      </c>
      <c r="F105" t="s">
        <v>39</v>
      </c>
      <c r="G105" t="s">
        <v>40</v>
      </c>
      <c r="H105" s="3" t="str">
        <f>HYPERLINK("https://www.avito.ru/vladivostok/bytovaya_elektronika/3d_printer_bambu_lab_h2d_laser_40w_cn_8053326326","3Д принтер Bambu Lab H2D Laser 40W CN")</f>
      </c>
      <c r="I105" t="s">
        <v>148</v>
      </c>
      <c r="J105" t="s">
        <v>42</v>
      </c>
      <c r="K105" t="s">
        <v>43</v>
      </c>
      <c r="L105">
        <v>50</v>
      </c>
      <c r="M105">
        <v>228</v>
      </c>
      <c r="N105" s="4">
        <v>0.1491</v>
      </c>
      <c r="O105">
        <v>34</v>
      </c>
      <c r="P105" s="5">
        <v>1.64</v>
      </c>
      <c r="Q105" s="4">
        <v>0</v>
      </c>
      <c r="R105">
        <v>0</v>
      </c>
      <c r="S105">
        <v>0</v>
      </c>
      <c r="T105">
        <v>0</v>
      </c>
      <c r="U105">
        <v>0</v>
      </c>
      <c r="V105">
        <v>0</v>
      </c>
      <c r="W105" s="5" t="s">
        <v>65</v>
      </c>
      <c r="X105">
        <v>0</v>
      </c>
      <c r="Y105" s="4">
        <v>0</v>
      </c>
      <c r="Z105">
        <v>0</v>
      </c>
      <c r="AA105" s="5">
        <v>0</v>
      </c>
      <c r="AB105">
        <v>0</v>
      </c>
      <c r="AC105" s="5">
        <v>0</v>
      </c>
      <c r="AD105" s="5">
        <v>56</v>
      </c>
      <c r="AE105" s="5">
        <v>0</v>
      </c>
      <c r="AF105" s="5">
        <v>56</v>
      </c>
      <c r="AG105" s="5">
        <v>0</v>
      </c>
      <c r="AH105" s="5">
        <v>0</v>
      </c>
      <c r="AI105" s="5">
        <v>0</v>
      </c>
    </row>
    <row r="106">
      <c r="A106" s="2" t="str">
        <f>HYPERLINK("https://www.avito.ru/kazan/bytovaya_elektronika/3d_printer_h2d_combo_ams_2_pro_350h320_cn_8053441372","8053441372")</f>
      </c>
      <c r="B106" t="s">
        <v>112</v>
      </c>
      <c r="C106" t="s">
        <v>131</v>
      </c>
      <c r="D106" t="s">
        <v>132</v>
      </c>
      <c r="E106" t="s">
        <v>38</v>
      </c>
      <c r="F106" t="s">
        <v>39</v>
      </c>
      <c r="G106" t="s">
        <v>40</v>
      </c>
      <c r="H106" s="3" t="str">
        <f>HYPERLINK("https://www.avito.ru/kazan/bytovaya_elektronika/3d_printer_h2d_combo_ams_2_pro_350h320_cn_8053441372","3D принтер H2D Combo AMS 2 Pro 350х320 CN")</f>
      </c>
      <c r="I106" t="s">
        <v>41</v>
      </c>
      <c r="J106" t="s">
        <v>42</v>
      </c>
      <c r="K106" t="s">
        <v>43</v>
      </c>
      <c r="L106">
        <v>50</v>
      </c>
      <c r="M106">
        <v>286</v>
      </c>
      <c r="N106" s="4">
        <v>0.1188</v>
      </c>
      <c r="O106">
        <v>34</v>
      </c>
      <c r="P106" s="5">
        <v>1.64</v>
      </c>
      <c r="Q106" s="4">
        <v>0</v>
      </c>
      <c r="R106">
        <v>0</v>
      </c>
      <c r="S106">
        <v>0</v>
      </c>
      <c r="T106">
        <v>0</v>
      </c>
      <c r="U106">
        <v>0</v>
      </c>
      <c r="V106">
        <v>0</v>
      </c>
      <c r="W106" s="5" t="s">
        <v>65</v>
      </c>
      <c r="X106">
        <v>0</v>
      </c>
      <c r="Y106" s="4">
        <v>0</v>
      </c>
      <c r="Z106">
        <v>0</v>
      </c>
      <c r="AA106" s="5">
        <v>0</v>
      </c>
      <c r="AB106">
        <v>0</v>
      </c>
      <c r="AC106" s="5">
        <v>0</v>
      </c>
      <c r="AD106" s="5">
        <v>56</v>
      </c>
      <c r="AE106" s="5">
        <v>0</v>
      </c>
      <c r="AF106" s="5">
        <v>56</v>
      </c>
      <c r="AG106" s="5">
        <v>0</v>
      </c>
      <c r="AH106" s="5">
        <v>0</v>
      </c>
      <c r="AI106" s="5">
        <v>0</v>
      </c>
    </row>
    <row r="107">
      <c r="A107" s="2" t="str">
        <f>HYPERLINK("https://www.avito.ru/orenburg/bytovaya_elektronika/h2d_laser_10w_eu_3d_printer_dlya_proizvodstva_8053697513","8053697513")</f>
      </c>
      <c r="B107" t="s">
        <v>193</v>
      </c>
      <c r="C107" t="s">
        <v>194</v>
      </c>
      <c r="D107" t="s">
        <v>195</v>
      </c>
      <c r="E107" t="s">
        <v>38</v>
      </c>
      <c r="F107" t="s">
        <v>39</v>
      </c>
      <c r="G107" t="s">
        <v>40</v>
      </c>
      <c r="H107" s="3" t="str">
        <f>HYPERLINK("https://www.avito.ru/orenburg/bytovaya_elektronika/h2d_laser_10w_eu_3d_printer_dlya_proizvodstva_8053697513","H2D Laser 10W EU 3D принтер для производства")</f>
      </c>
      <c r="I107" t="s">
        <v>95</v>
      </c>
      <c r="J107" t="s">
        <v>42</v>
      </c>
      <c r="K107" t="s">
        <v>43</v>
      </c>
      <c r="L107">
        <v>50</v>
      </c>
      <c r="M107">
        <v>499</v>
      </c>
      <c r="N107" s="4">
        <v>0.0661</v>
      </c>
      <c r="O107">
        <v>33</v>
      </c>
      <c r="P107" s="5">
        <v>1.69</v>
      </c>
      <c r="Q107" s="4">
        <v>0</v>
      </c>
      <c r="R107">
        <v>0</v>
      </c>
      <c r="S107">
        <v>0</v>
      </c>
      <c r="T107">
        <v>0</v>
      </c>
      <c r="U107">
        <v>0</v>
      </c>
      <c r="V107">
        <v>0</v>
      </c>
      <c r="W107" s="5" t="s">
        <v>65</v>
      </c>
      <c r="X107">
        <v>2</v>
      </c>
      <c r="Y107" s="4">
        <v>0</v>
      </c>
      <c r="Z107">
        <v>0</v>
      </c>
      <c r="AA107" s="5">
        <v>0</v>
      </c>
      <c r="AB107">
        <v>0</v>
      </c>
      <c r="AC107" s="5">
        <v>0</v>
      </c>
      <c r="AD107" s="5">
        <v>56</v>
      </c>
      <c r="AE107" s="5">
        <v>0</v>
      </c>
      <c r="AF107" s="5">
        <v>56</v>
      </c>
      <c r="AG107" s="5">
        <v>0</v>
      </c>
      <c r="AH107" s="5">
        <v>0</v>
      </c>
      <c r="AI107" s="5">
        <v>0</v>
      </c>
    </row>
    <row r="108">
      <c r="A108" s="2" t="str">
        <f>HYPERLINK("https://www.avito.ru/kazan/bytovaya_elektronika/bambu_lab_h2d_pro_combo_ams_1000mms_8053729670","8053729670")</f>
      </c>
      <c r="B108" t="s">
        <v>112</v>
      </c>
      <c r="C108" t="s">
        <v>131</v>
      </c>
      <c r="D108" t="s">
        <v>132</v>
      </c>
      <c r="E108" t="s">
        <v>38</v>
      </c>
      <c r="F108" t="s">
        <v>39</v>
      </c>
      <c r="G108" t="s">
        <v>40</v>
      </c>
      <c r="H108" s="3" t="str">
        <f>HYPERLINK("https://www.avito.ru/kazan/bytovaya_elektronika/bambu_lab_h2d_pro_combo_ams_1000mms_8053729670","Bambu Lab H2D PRO Combo AMS 1000mm/s")</f>
      </c>
      <c r="I108" t="s">
        <v>172</v>
      </c>
      <c r="J108" t="s">
        <v>115</v>
      </c>
      <c r="K108" t="s">
        <v>116</v>
      </c>
      <c r="L108">
        <v>51</v>
      </c>
      <c r="M108">
        <v>363</v>
      </c>
      <c r="N108" s="4">
        <v>0.0909</v>
      </c>
      <c r="O108">
        <v>33</v>
      </c>
      <c r="P108" s="5">
        <v>1.69</v>
      </c>
      <c r="Q108" s="4">
        <v>0.0303</v>
      </c>
      <c r="R108">
        <v>1</v>
      </c>
      <c r="S108">
        <v>1</v>
      </c>
      <c r="T108">
        <v>0</v>
      </c>
      <c r="U108">
        <v>0</v>
      </c>
      <c r="V108">
        <v>0</v>
      </c>
      <c r="W108" s="5">
        <v>56</v>
      </c>
      <c r="X108">
        <v>2</v>
      </c>
      <c r="Y108" s="4">
        <v>0</v>
      </c>
      <c r="Z108">
        <v>0</v>
      </c>
      <c r="AA108" s="5">
        <v>0</v>
      </c>
      <c r="AB108">
        <v>0</v>
      </c>
      <c r="AC108" s="5">
        <v>0</v>
      </c>
      <c r="AD108" s="5">
        <v>56</v>
      </c>
      <c r="AE108" s="5">
        <v>0</v>
      </c>
      <c r="AF108" s="5">
        <v>56</v>
      </c>
      <c r="AG108" s="5">
        <v>0</v>
      </c>
      <c r="AH108" s="5">
        <v>0</v>
      </c>
      <c r="AI108" s="5">
        <v>0</v>
      </c>
    </row>
    <row r="109">
      <c r="A109" s="2" t="str">
        <f>HYPERLINK("https://www.avito.ru/irkutsk/bytovaya_elektronika/3d_printer_h2d_combo_ams_2_pro_s_wi-fi_8052935134","8052935134")</f>
      </c>
      <c r="B109" t="s">
        <v>133</v>
      </c>
      <c r="C109" t="s">
        <v>134</v>
      </c>
      <c r="D109" t="s">
        <v>135</v>
      </c>
      <c r="E109" t="s">
        <v>38</v>
      </c>
      <c r="F109" t="s">
        <v>39</v>
      </c>
      <c r="G109" t="s">
        <v>40</v>
      </c>
      <c r="H109" s="3" t="str">
        <f>HYPERLINK("https://www.avito.ru/irkutsk/bytovaya_elektronika/3d_printer_h2d_combo_ams_2_pro_s_wi-fi_8052935134","3D принтер H2D Combo AMS 2 Pro с Wi-Fi")</f>
      </c>
      <c r="I109" t="s">
        <v>41</v>
      </c>
      <c r="J109" t="s">
        <v>42</v>
      </c>
      <c r="K109" t="s">
        <v>43</v>
      </c>
      <c r="L109">
        <v>50</v>
      </c>
      <c r="M109">
        <v>240</v>
      </c>
      <c r="N109" s="4">
        <v>0.1333</v>
      </c>
      <c r="O109">
        <v>32</v>
      </c>
      <c r="P109" s="5">
        <v>1.75</v>
      </c>
      <c r="Q109" s="4">
        <v>0</v>
      </c>
      <c r="R109">
        <v>0</v>
      </c>
      <c r="S109">
        <v>0</v>
      </c>
      <c r="T109">
        <v>0</v>
      </c>
      <c r="U109">
        <v>0</v>
      </c>
      <c r="V109">
        <v>0</v>
      </c>
      <c r="W109" s="5" t="s">
        <v>65</v>
      </c>
      <c r="X109">
        <v>3</v>
      </c>
      <c r="Y109" s="4">
        <v>0</v>
      </c>
      <c r="Z109">
        <v>0</v>
      </c>
      <c r="AA109" s="5">
        <v>0</v>
      </c>
      <c r="AB109">
        <v>0</v>
      </c>
      <c r="AC109" s="5">
        <v>0</v>
      </c>
      <c r="AD109" s="5">
        <v>56</v>
      </c>
      <c r="AE109" s="5">
        <v>0</v>
      </c>
      <c r="AF109" s="5">
        <v>56</v>
      </c>
      <c r="AG109" s="5">
        <v>0</v>
      </c>
      <c r="AH109" s="5">
        <v>0</v>
      </c>
      <c r="AI109" s="5">
        <v>0</v>
      </c>
    </row>
    <row r="110">
      <c r="A110" s="2" t="str">
        <f>HYPERLINK("https://www.avito.ru/novosibirsk/bytovaya_elektronika/h2d_pro_combo_ams_stantsiya_3d_pechati_pod_zakaz_8053204594","8053204594")</f>
      </c>
      <c r="B110" t="s">
        <v>142</v>
      </c>
      <c r="C110" t="s">
        <v>143</v>
      </c>
      <c r="D110" t="s">
        <v>144</v>
      </c>
      <c r="E110" t="s">
        <v>38</v>
      </c>
      <c r="F110" t="s">
        <v>39</v>
      </c>
      <c r="G110" t="s">
        <v>40</v>
      </c>
      <c r="H110" s="3" t="str">
        <f>HYPERLINK("https://www.avito.ru/novosibirsk/bytovaya_elektronika/h2d_pro_combo_ams_stantsiya_3d_pechati_pod_zakaz_8053204594","H2D PRO Combo AMS станция 3D печати под заказ")</f>
      </c>
      <c r="I110" t="s">
        <v>172</v>
      </c>
      <c r="J110" t="s">
        <v>115</v>
      </c>
      <c r="K110" t="s">
        <v>116</v>
      </c>
      <c r="L110">
        <v>51</v>
      </c>
      <c r="M110">
        <v>404</v>
      </c>
      <c r="N110" s="4">
        <v>0.0792</v>
      </c>
      <c r="O110">
        <v>32</v>
      </c>
      <c r="P110" s="5">
        <v>1.75</v>
      </c>
      <c r="Q110" s="4">
        <v>0</v>
      </c>
      <c r="R110">
        <v>0</v>
      </c>
      <c r="S110">
        <v>0</v>
      </c>
      <c r="T110">
        <v>0</v>
      </c>
      <c r="U110">
        <v>0</v>
      </c>
      <c r="V110">
        <v>0</v>
      </c>
      <c r="W110" s="5" t="s">
        <v>65</v>
      </c>
      <c r="X110">
        <v>1</v>
      </c>
      <c r="Y110" s="4">
        <v>0</v>
      </c>
      <c r="Z110">
        <v>0</v>
      </c>
      <c r="AA110" s="5">
        <v>0</v>
      </c>
      <c r="AB110">
        <v>0</v>
      </c>
      <c r="AC110" s="5">
        <v>0</v>
      </c>
      <c r="AD110" s="5">
        <v>56</v>
      </c>
      <c r="AE110" s="5">
        <v>0</v>
      </c>
      <c r="AF110" s="5">
        <v>56</v>
      </c>
      <c r="AG110" s="5">
        <v>0</v>
      </c>
      <c r="AH110" s="5">
        <v>0</v>
      </c>
      <c r="AI110" s="5">
        <v>0</v>
      </c>
    </row>
    <row r="111">
      <c r="A111" s="2" t="str">
        <f>HYPERLINK("https://www.avito.ru/moskva/bytovaya_elektronika/3d_printer_elegoo_giga_storm_original_8053209326","8053209326")</f>
      </c>
      <c r="B111" t="s">
        <v>35</v>
      </c>
      <c r="C111" t="s">
        <v>36</v>
      </c>
      <c r="D111" t="s">
        <v>37</v>
      </c>
      <c r="E111" t="s">
        <v>38</v>
      </c>
      <c r="F111" t="s">
        <v>39</v>
      </c>
      <c r="G111" t="s">
        <v>40</v>
      </c>
      <c r="H111" s="3" t="str">
        <f>HYPERLINK("https://www.avito.ru/moskva/bytovaya_elektronika/3d_printer_elegoo_giga_storm_original_8053209326","3Д принтер Elegoo Giga Storm оригинал")</f>
      </c>
      <c r="I111" t="s">
        <v>64</v>
      </c>
      <c r="J111" t="s">
        <v>42</v>
      </c>
      <c r="K111" t="s">
        <v>43</v>
      </c>
      <c r="L111">
        <v>50</v>
      </c>
      <c r="M111">
        <v>255</v>
      </c>
      <c r="N111" s="4">
        <v>0.1254</v>
      </c>
      <c r="O111">
        <v>32</v>
      </c>
      <c r="P111" s="5">
        <v>2.65</v>
      </c>
      <c r="Q111" s="4">
        <v>0.0625</v>
      </c>
      <c r="R111">
        <v>2</v>
      </c>
      <c r="S111">
        <v>1</v>
      </c>
      <c r="T111">
        <v>0</v>
      </c>
      <c r="U111">
        <v>1</v>
      </c>
      <c r="V111">
        <v>0</v>
      </c>
      <c r="W111" s="5">
        <v>42.5</v>
      </c>
      <c r="X111">
        <v>4</v>
      </c>
      <c r="Y111" s="4">
        <v>0</v>
      </c>
      <c r="Z111">
        <v>0</v>
      </c>
      <c r="AA111" s="5">
        <v>0</v>
      </c>
      <c r="AB111">
        <v>0</v>
      </c>
      <c r="AC111" s="5">
        <v>0</v>
      </c>
      <c r="AD111" s="5">
        <v>85</v>
      </c>
      <c r="AE111" s="5">
        <v>0</v>
      </c>
      <c r="AF111" s="5">
        <v>85</v>
      </c>
      <c r="AG111" s="5">
        <v>0</v>
      </c>
      <c r="AH111" s="5">
        <v>0</v>
      </c>
      <c r="AI111" s="5">
        <v>0</v>
      </c>
    </row>
    <row r="112">
      <c r="A112" s="2" t="str">
        <f>HYPERLINK("https://www.avito.ru/volgograd/bytovaya_elektronika/p2s_combo_3d_printer_bambu_lab_8053520608","8053520608")</f>
      </c>
      <c r="B112" t="s">
        <v>196</v>
      </c>
      <c r="C112" t="s">
        <v>197</v>
      </c>
      <c r="D112" t="s">
        <v>198</v>
      </c>
      <c r="E112" t="s">
        <v>38</v>
      </c>
      <c r="F112" t="s">
        <v>39</v>
      </c>
      <c r="G112" t="s">
        <v>40</v>
      </c>
      <c r="H112" s="3" t="str">
        <f>HYPERLINK("https://www.avito.ru/volgograd/bytovaya_elektronika/p2s_combo_3d_printer_bambu_lab_8053520608","P2S Combo 3D принтер Bambu Lab")</f>
      </c>
      <c r="I112" t="s">
        <v>128</v>
      </c>
      <c r="J112" t="s">
        <v>115</v>
      </c>
      <c r="K112" t="s">
        <v>116</v>
      </c>
      <c r="L112">
        <v>51</v>
      </c>
      <c r="M112">
        <v>619</v>
      </c>
      <c r="N112" s="4">
        <v>0.0516</v>
      </c>
      <c r="O112">
        <v>32</v>
      </c>
      <c r="P112" s="5">
        <v>1.75</v>
      </c>
      <c r="Q112" s="4">
        <v>0</v>
      </c>
      <c r="R112">
        <v>0</v>
      </c>
      <c r="S112">
        <v>0</v>
      </c>
      <c r="T112">
        <v>0</v>
      </c>
      <c r="U112">
        <v>0</v>
      </c>
      <c r="V112">
        <v>0</v>
      </c>
      <c r="W112" s="5" t="s">
        <v>65</v>
      </c>
      <c r="X112">
        <v>1</v>
      </c>
      <c r="Y112" s="4">
        <v>0</v>
      </c>
      <c r="Z112">
        <v>0</v>
      </c>
      <c r="AA112" s="5">
        <v>0</v>
      </c>
      <c r="AB112">
        <v>0</v>
      </c>
      <c r="AC112" s="5">
        <v>0</v>
      </c>
      <c r="AD112" s="5">
        <v>56</v>
      </c>
      <c r="AE112" s="5">
        <v>0</v>
      </c>
      <c r="AF112" s="5">
        <v>56</v>
      </c>
      <c r="AG112" s="5">
        <v>0</v>
      </c>
      <c r="AH112" s="5">
        <v>0</v>
      </c>
      <c r="AI112" s="5">
        <v>0</v>
      </c>
    </row>
    <row r="113">
      <c r="A113" s="2" t="str">
        <f>HYPERLINK("https://www.avito.ru/volgograd/bytovaya_elektronika/bambu_lab_h2s_laser_10w_novyy_eu_8052953934","8052953934")</f>
      </c>
      <c r="B113" t="s">
        <v>196</v>
      </c>
      <c r="C113" t="s">
        <v>197</v>
      </c>
      <c r="D113" t="s">
        <v>198</v>
      </c>
      <c r="E113" t="s">
        <v>38</v>
      </c>
      <c r="F113" t="s">
        <v>39</v>
      </c>
      <c r="G113" t="s">
        <v>40</v>
      </c>
      <c r="H113" s="3" t="str">
        <f>HYPERLINK("https://www.avito.ru/volgograd/bytovaya_elektronika/bambu_lab_h2s_laser_10w_novyy_eu_8052953934","Bambu Lab H2S Laser 10W новый EU")</f>
      </c>
      <c r="I113" t="s">
        <v>129</v>
      </c>
      <c r="J113" t="s">
        <v>115</v>
      </c>
      <c r="K113" t="s">
        <v>116</v>
      </c>
      <c r="L113">
        <v>51</v>
      </c>
      <c r="M113">
        <v>545</v>
      </c>
      <c r="N113" s="4">
        <v>0.0568</v>
      </c>
      <c r="O113">
        <v>31</v>
      </c>
      <c r="P113" s="5">
        <v>1.8</v>
      </c>
      <c r="Q113" s="4">
        <v>0</v>
      </c>
      <c r="R113">
        <v>0</v>
      </c>
      <c r="S113">
        <v>0</v>
      </c>
      <c r="T113">
        <v>0</v>
      </c>
      <c r="U113">
        <v>0</v>
      </c>
      <c r="V113">
        <v>0</v>
      </c>
      <c r="W113" s="5" t="s">
        <v>65</v>
      </c>
      <c r="X113">
        <v>1</v>
      </c>
      <c r="Y113" s="4">
        <v>0</v>
      </c>
      <c r="Z113">
        <v>0</v>
      </c>
      <c r="AA113" s="5">
        <v>0</v>
      </c>
      <c r="AB113">
        <v>0</v>
      </c>
      <c r="AC113" s="5">
        <v>0</v>
      </c>
      <c r="AD113" s="5">
        <v>56</v>
      </c>
      <c r="AE113" s="5">
        <v>0</v>
      </c>
      <c r="AF113" s="5">
        <v>56</v>
      </c>
      <c r="AG113" s="5">
        <v>0</v>
      </c>
      <c r="AH113" s="5">
        <v>0</v>
      </c>
      <c r="AI113" s="5">
        <v>0</v>
      </c>
    </row>
    <row r="114">
      <c r="A114" s="2" t="str">
        <f>HYPERLINK("https://www.avito.ru/sankt-peterburg/bytovaya_elektronika/bambu_lab_p2s_combo_dlya_kb_i_studiy_8053110462","8053110462")</f>
      </c>
      <c r="B114" t="s">
        <v>35</v>
      </c>
      <c r="C114" t="s">
        <v>81</v>
      </c>
      <c r="D114" t="s">
        <v>82</v>
      </c>
      <c r="E114" t="s">
        <v>38</v>
      </c>
      <c r="F114" t="s">
        <v>39</v>
      </c>
      <c r="G114" t="s">
        <v>40</v>
      </c>
      <c r="H114" s="3" t="str">
        <f>HYPERLINK("https://www.avito.ru/sankt-peterburg/bytovaya_elektronika/bambu_lab_p2s_combo_dlya_kb_i_studiy_8053110462","Bambu Lab P2S Combo для кб и студий")</f>
      </c>
      <c r="I114" t="s">
        <v>128</v>
      </c>
      <c r="J114" t="s">
        <v>115</v>
      </c>
      <c r="K114" t="s">
        <v>116</v>
      </c>
      <c r="L114">
        <v>51</v>
      </c>
      <c r="M114">
        <v>255</v>
      </c>
      <c r="N114" s="4">
        <v>0.1215</v>
      </c>
      <c r="O114">
        <v>31</v>
      </c>
      <c r="P114" s="5">
        <v>1.8</v>
      </c>
      <c r="Q114" s="4">
        <v>0</v>
      </c>
      <c r="R114">
        <v>0</v>
      </c>
      <c r="S114">
        <v>0</v>
      </c>
      <c r="T114">
        <v>0</v>
      </c>
      <c r="U114">
        <v>0</v>
      </c>
      <c r="V114">
        <v>0</v>
      </c>
      <c r="W114" s="5" t="s">
        <v>65</v>
      </c>
      <c r="X114">
        <v>1</v>
      </c>
      <c r="Y114" s="4">
        <v>0</v>
      </c>
      <c r="Z114">
        <v>0</v>
      </c>
      <c r="AA114" s="5">
        <v>0</v>
      </c>
      <c r="AB114">
        <v>0</v>
      </c>
      <c r="AC114" s="5">
        <v>0</v>
      </c>
      <c r="AD114" s="5">
        <v>56</v>
      </c>
      <c r="AE114" s="5">
        <v>0</v>
      </c>
      <c r="AF114" s="5">
        <v>56</v>
      </c>
      <c r="AG114" s="5">
        <v>0</v>
      </c>
      <c r="AH114" s="5">
        <v>0</v>
      </c>
      <c r="AI114" s="5">
        <v>0</v>
      </c>
    </row>
    <row r="115">
      <c r="A115" s="2" t="str">
        <f>HYPERLINK("https://www.avito.ru/voronezh/bytovaya_elektronika/bambu_lab_p2s_combo_novyy_v_upakovke_8053532231","8053532231")</f>
      </c>
      <c r="B115" t="s">
        <v>109</v>
      </c>
      <c r="C115" t="s">
        <v>110</v>
      </c>
      <c r="D115" t="s">
        <v>111</v>
      </c>
      <c r="E115" t="s">
        <v>38</v>
      </c>
      <c r="F115" t="s">
        <v>39</v>
      </c>
      <c r="G115" t="s">
        <v>40</v>
      </c>
      <c r="H115" s="3" t="str">
        <f>HYPERLINK("https://www.avito.ru/voronezh/bytovaya_elektronika/bambu_lab_p2s_combo_novyy_v_upakovke_8053532231","Bambu Lab P2S Combo новый в упаковке")</f>
      </c>
      <c r="I115" t="s">
        <v>128</v>
      </c>
      <c r="J115" t="s">
        <v>115</v>
      </c>
      <c r="K115" t="s">
        <v>116</v>
      </c>
      <c r="L115">
        <v>51</v>
      </c>
      <c r="M115">
        <v>200</v>
      </c>
      <c r="N115" s="4">
        <v>0.155</v>
      </c>
      <c r="O115">
        <v>31</v>
      </c>
      <c r="P115" s="5">
        <v>1.8</v>
      </c>
      <c r="Q115" s="4">
        <v>0.0322</v>
      </c>
      <c r="R115">
        <v>1</v>
      </c>
      <c r="S115">
        <v>0</v>
      </c>
      <c r="T115">
        <v>0</v>
      </c>
      <c r="U115">
        <v>1</v>
      </c>
      <c r="V115">
        <v>0</v>
      </c>
      <c r="W115" s="5">
        <v>56</v>
      </c>
      <c r="X115">
        <v>1</v>
      </c>
      <c r="Y115" s="4">
        <v>0</v>
      </c>
      <c r="Z115">
        <v>0</v>
      </c>
      <c r="AA115" s="5">
        <v>0</v>
      </c>
      <c r="AB115">
        <v>0</v>
      </c>
      <c r="AC115" s="5">
        <v>0</v>
      </c>
      <c r="AD115" s="5">
        <v>56</v>
      </c>
      <c r="AE115" s="5">
        <v>0</v>
      </c>
      <c r="AF115" s="5">
        <v>56</v>
      </c>
      <c r="AG115" s="5">
        <v>0</v>
      </c>
      <c r="AH115" s="5">
        <v>0</v>
      </c>
      <c r="AI115" s="5">
        <v>0</v>
      </c>
    </row>
    <row r="116">
      <c r="A116" s="2" t="str">
        <f>HYPERLINK("https://www.avito.ru/novosibirsk/bytovaya_elektronika/3d_printer_bambu_lab_h2c_combo_ams_cn_8053554282","8053554282")</f>
      </c>
      <c r="B116" t="s">
        <v>142</v>
      </c>
      <c r="C116" t="s">
        <v>143</v>
      </c>
      <c r="D116" t="s">
        <v>144</v>
      </c>
      <c r="E116" t="s">
        <v>38</v>
      </c>
      <c r="F116" t="s">
        <v>39</v>
      </c>
      <c r="G116" t="s">
        <v>40</v>
      </c>
      <c r="H116" s="3" t="str">
        <f>HYPERLINK("https://www.avito.ru/novosibirsk/bytovaya_elektronika/3d_printer_bambu_lab_h2c_combo_ams_cn_8053554282","3Д принтер Bambu Lab H2C Combo AMS CN")</f>
      </c>
      <c r="I116" t="s">
        <v>163</v>
      </c>
      <c r="J116" t="s">
        <v>115</v>
      </c>
      <c r="K116" t="s">
        <v>116</v>
      </c>
      <c r="L116">
        <v>51</v>
      </c>
      <c r="M116">
        <v>144</v>
      </c>
      <c r="N116" s="4">
        <v>0.2152</v>
      </c>
      <c r="O116">
        <v>31</v>
      </c>
      <c r="P116" s="5">
        <v>1.8</v>
      </c>
      <c r="Q116" s="4">
        <v>0.0322</v>
      </c>
      <c r="R116">
        <v>1</v>
      </c>
      <c r="S116">
        <v>1</v>
      </c>
      <c r="T116">
        <v>0</v>
      </c>
      <c r="U116">
        <v>0</v>
      </c>
      <c r="V116">
        <v>0</v>
      </c>
      <c r="W116" s="5">
        <v>56</v>
      </c>
      <c r="X116">
        <v>2</v>
      </c>
      <c r="Y116" s="4">
        <v>0</v>
      </c>
      <c r="Z116">
        <v>0</v>
      </c>
      <c r="AA116" s="5">
        <v>0</v>
      </c>
      <c r="AB116">
        <v>0</v>
      </c>
      <c r="AC116" s="5">
        <v>0</v>
      </c>
      <c r="AD116" s="5">
        <v>56</v>
      </c>
      <c r="AE116" s="5">
        <v>0</v>
      </c>
      <c r="AF116" s="5">
        <v>56</v>
      </c>
      <c r="AG116" s="5">
        <v>0</v>
      </c>
      <c r="AH116" s="5">
        <v>0</v>
      </c>
      <c r="AI116" s="5">
        <v>0</v>
      </c>
    </row>
    <row r="117">
      <c r="A117" s="2" t="str">
        <f>HYPERLINK("https://www.avito.ru/naberezhnye_chelny/bytovaya_elektronika/3d_printer_h2d_combo_ams_2_pro_350h320_cn_versiya_8053603036","8053603036")</f>
      </c>
      <c r="B117" t="s">
        <v>112</v>
      </c>
      <c r="C117" t="s">
        <v>113</v>
      </c>
      <c r="D117" t="s">
        <v>114</v>
      </c>
      <c r="E117" t="s">
        <v>38</v>
      </c>
      <c r="F117" t="s">
        <v>39</v>
      </c>
      <c r="G117" t="s">
        <v>40</v>
      </c>
      <c r="H117" s="3" t="str">
        <f>HYPERLINK("https://www.avito.ru/naberezhnye_chelny/bytovaya_elektronika/3d_printer_h2d_combo_ams_2_pro_350h320_cn_versiya_8053603036","3D принтер H2D Combo AMS 2 Pro 350х320 CN версия")</f>
      </c>
      <c r="I117" t="s">
        <v>41</v>
      </c>
      <c r="J117" t="s">
        <v>42</v>
      </c>
      <c r="K117" t="s">
        <v>43</v>
      </c>
      <c r="L117">
        <v>50</v>
      </c>
      <c r="M117">
        <v>463</v>
      </c>
      <c r="N117" s="4">
        <v>0.0669</v>
      </c>
      <c r="O117">
        <v>31</v>
      </c>
      <c r="P117" s="5">
        <v>1.8</v>
      </c>
      <c r="Q117" s="4">
        <v>0</v>
      </c>
      <c r="R117">
        <v>0</v>
      </c>
      <c r="S117">
        <v>0</v>
      </c>
      <c r="T117">
        <v>0</v>
      </c>
      <c r="U117">
        <v>0</v>
      </c>
      <c r="V117">
        <v>0</v>
      </c>
      <c r="W117" s="5" t="s">
        <v>65</v>
      </c>
      <c r="X117">
        <v>0</v>
      </c>
      <c r="Y117" s="4">
        <v>0</v>
      </c>
      <c r="Z117">
        <v>0</v>
      </c>
      <c r="AA117" s="5">
        <v>0</v>
      </c>
      <c r="AB117">
        <v>0</v>
      </c>
      <c r="AC117" s="5">
        <v>0</v>
      </c>
      <c r="AD117" s="5">
        <v>56</v>
      </c>
      <c r="AE117" s="5">
        <v>0</v>
      </c>
      <c r="AF117" s="5">
        <v>56</v>
      </c>
      <c r="AG117" s="5">
        <v>0</v>
      </c>
      <c r="AH117" s="5">
        <v>0</v>
      </c>
      <c r="AI117" s="5">
        <v>0</v>
      </c>
    </row>
    <row r="118">
      <c r="A118" s="2" t="str">
        <f>HYPERLINK("https://www.avito.ru/kazan/bytovaya_elektronika/3d_printer_bambu_lab_h2c_combo_ams_cn_8053603157","8053603157")</f>
      </c>
      <c r="B118" t="s">
        <v>112</v>
      </c>
      <c r="C118" t="s">
        <v>131</v>
      </c>
      <c r="D118" t="s">
        <v>132</v>
      </c>
      <c r="E118" t="s">
        <v>38</v>
      </c>
      <c r="F118" t="s">
        <v>39</v>
      </c>
      <c r="G118" t="s">
        <v>40</v>
      </c>
      <c r="H118" s="3" t="str">
        <f>HYPERLINK("https://www.avito.ru/kazan/bytovaya_elektronika/3d_printer_bambu_lab_h2c_combo_ams_cn_8053603157","3D принтер Bambu Lab H2C Combo AMS CN")</f>
      </c>
      <c r="I118" t="s">
        <v>163</v>
      </c>
      <c r="J118" t="s">
        <v>115</v>
      </c>
      <c r="K118" t="s">
        <v>116</v>
      </c>
      <c r="L118">
        <v>51</v>
      </c>
      <c r="M118">
        <v>303</v>
      </c>
      <c r="N118" s="4">
        <v>0.1023</v>
      </c>
      <c r="O118">
        <v>31</v>
      </c>
      <c r="P118" s="5">
        <v>1.8</v>
      </c>
      <c r="Q118" s="4">
        <v>0.0645</v>
      </c>
      <c r="R118">
        <v>2</v>
      </c>
      <c r="S118">
        <v>2</v>
      </c>
      <c r="T118">
        <v>0</v>
      </c>
      <c r="U118">
        <v>0</v>
      </c>
      <c r="V118">
        <v>0</v>
      </c>
      <c r="W118" s="5">
        <v>28</v>
      </c>
      <c r="X118">
        <v>0</v>
      </c>
      <c r="Y118" s="4">
        <v>0</v>
      </c>
      <c r="Z118">
        <v>0</v>
      </c>
      <c r="AA118" s="5">
        <v>0</v>
      </c>
      <c r="AB118">
        <v>0</v>
      </c>
      <c r="AC118" s="5">
        <v>0</v>
      </c>
      <c r="AD118" s="5">
        <v>56</v>
      </c>
      <c r="AE118" s="5">
        <v>0</v>
      </c>
      <c r="AF118" s="5">
        <v>56</v>
      </c>
      <c r="AG118" s="5">
        <v>0</v>
      </c>
      <c r="AH118" s="5">
        <v>0</v>
      </c>
      <c r="AI118" s="5">
        <v>0</v>
      </c>
    </row>
    <row r="119">
      <c r="A119" s="2" t="str">
        <f>HYPERLINK("https://www.avito.ru/tyumen/bytovaya_elektronika/bambu_lab_h2d_laser_40w_eu_350h320h325_mm_8053345764","8053345764")</f>
      </c>
      <c r="B119" t="s">
        <v>145</v>
      </c>
      <c r="C119" t="s">
        <v>146</v>
      </c>
      <c r="D119" t="s">
        <v>147</v>
      </c>
      <c r="E119" t="s">
        <v>38</v>
      </c>
      <c r="F119" t="s">
        <v>39</v>
      </c>
      <c r="G119" t="s">
        <v>40</v>
      </c>
      <c r="H119" s="3" t="str">
        <f>HYPERLINK("https://www.avito.ru/tyumen/bytovaya_elektronika/bambu_lab_h2d_laser_40w_eu_350h320h325_mm_8053345764","Bambu Lab H2D Laser 40W EU 350х320х325 мм")</f>
      </c>
      <c r="I119" t="s">
        <v>57</v>
      </c>
      <c r="J119" t="s">
        <v>42</v>
      </c>
      <c r="K119" t="s">
        <v>43</v>
      </c>
      <c r="L119">
        <v>50</v>
      </c>
      <c r="M119">
        <v>265</v>
      </c>
      <c r="N119" s="4">
        <v>0.1132</v>
      </c>
      <c r="O119">
        <v>30</v>
      </c>
      <c r="P119" s="5">
        <v>1.86</v>
      </c>
      <c r="Q119" s="4">
        <v>0</v>
      </c>
      <c r="R119">
        <v>0</v>
      </c>
      <c r="S119">
        <v>0</v>
      </c>
      <c r="T119">
        <v>0</v>
      </c>
      <c r="U119">
        <v>0</v>
      </c>
      <c r="V119">
        <v>0</v>
      </c>
      <c r="W119" s="5" t="s">
        <v>65</v>
      </c>
      <c r="X119">
        <v>1</v>
      </c>
      <c r="Y119" s="4">
        <v>0</v>
      </c>
      <c r="Z119">
        <v>0</v>
      </c>
      <c r="AA119" s="5">
        <v>0</v>
      </c>
      <c r="AB119">
        <v>0</v>
      </c>
      <c r="AC119" s="5">
        <v>0</v>
      </c>
      <c r="AD119" s="5">
        <v>56</v>
      </c>
      <c r="AE119" s="5">
        <v>0</v>
      </c>
      <c r="AF119" s="5">
        <v>56</v>
      </c>
      <c r="AG119" s="5">
        <v>0</v>
      </c>
      <c r="AH119" s="5">
        <v>0</v>
      </c>
      <c r="AI119" s="5">
        <v>0</v>
      </c>
    </row>
    <row r="120">
      <c r="A120" s="2" t="str">
        <f>HYPERLINK("https://www.avito.ru/krasnoyarsk/bytovaya_elektronika/3d-printer_bambu_lab_h2c_laser_eu_dlya_biznesa_8053444513","8053444513")</f>
      </c>
      <c r="B120" t="s">
        <v>139</v>
      </c>
      <c r="C120" t="s">
        <v>140</v>
      </c>
      <c r="D120" t="s">
        <v>141</v>
      </c>
      <c r="E120" t="s">
        <v>38</v>
      </c>
      <c r="F120" t="s">
        <v>39</v>
      </c>
      <c r="G120" t="s">
        <v>40</v>
      </c>
      <c r="H120" s="3" t="str">
        <f>HYPERLINK("https://www.avito.ru/krasnoyarsk/bytovaya_elektronika/3d-printer_bambu_lab_h2c_laser_eu_dlya_biznesa_8053444513","3D-принтер Bambu Lab H2C Laser EU для бизнеса")</f>
      </c>
      <c r="I120" t="s">
        <v>69</v>
      </c>
      <c r="J120" t="s">
        <v>49</v>
      </c>
      <c r="K120" t="s">
        <v>50</v>
      </c>
      <c r="L120">
        <v>52</v>
      </c>
      <c r="M120">
        <v>149</v>
      </c>
      <c r="N120" s="4">
        <v>0.2013</v>
      </c>
      <c r="O120">
        <v>30</v>
      </c>
      <c r="P120" s="5">
        <v>1.86</v>
      </c>
      <c r="Q120" s="4">
        <v>0.0333</v>
      </c>
      <c r="R120">
        <v>1</v>
      </c>
      <c r="S120">
        <v>1</v>
      </c>
      <c r="T120">
        <v>0</v>
      </c>
      <c r="U120">
        <v>0</v>
      </c>
      <c r="V120">
        <v>0</v>
      </c>
      <c r="W120" s="5">
        <v>56</v>
      </c>
      <c r="X120">
        <v>2</v>
      </c>
      <c r="Y120" s="4">
        <v>0</v>
      </c>
      <c r="Z120">
        <v>0</v>
      </c>
      <c r="AA120" s="5">
        <v>0</v>
      </c>
      <c r="AB120">
        <v>0</v>
      </c>
      <c r="AC120" s="5">
        <v>0</v>
      </c>
      <c r="AD120" s="5">
        <v>56</v>
      </c>
      <c r="AE120" s="5">
        <v>0</v>
      </c>
      <c r="AF120" s="5">
        <v>56</v>
      </c>
      <c r="AG120" s="5">
        <v>0</v>
      </c>
      <c r="AH120" s="5">
        <v>0</v>
      </c>
      <c r="AI120" s="5">
        <v>0</v>
      </c>
    </row>
    <row r="121">
      <c r="A121" s="2" t="str">
        <f>HYPERLINK("https://www.avito.ru/volgograd/bytovaya_elektronika/3d_printer_h2d_combo_ams_2_pro_350h320_cn_8053471634","8053471634")</f>
      </c>
      <c r="B121" t="s">
        <v>196</v>
      </c>
      <c r="C121" t="s">
        <v>197</v>
      </c>
      <c r="D121" t="s">
        <v>198</v>
      </c>
      <c r="E121" t="s">
        <v>38</v>
      </c>
      <c r="F121" t="s">
        <v>39</v>
      </c>
      <c r="G121" t="s">
        <v>40</v>
      </c>
      <c r="H121" s="3" t="str">
        <f>HYPERLINK("https://www.avito.ru/volgograd/bytovaya_elektronika/3d_printer_h2d_combo_ams_2_pro_350h320_cn_8053471634","3D принтер H2D Combo AMS 2 Pro 350х320 CN")</f>
      </c>
      <c r="I121" t="s">
        <v>41</v>
      </c>
      <c r="J121" t="s">
        <v>42</v>
      </c>
      <c r="K121" t="s">
        <v>43</v>
      </c>
      <c r="L121">
        <v>50</v>
      </c>
      <c r="M121">
        <v>286</v>
      </c>
      <c r="N121" s="4">
        <v>0.1048</v>
      </c>
      <c r="O121">
        <v>30</v>
      </c>
      <c r="P121" s="5">
        <v>1.86</v>
      </c>
      <c r="Q121" s="4">
        <v>0</v>
      </c>
      <c r="R121">
        <v>0</v>
      </c>
      <c r="S121">
        <v>0</v>
      </c>
      <c r="T121">
        <v>0</v>
      </c>
      <c r="U121">
        <v>0</v>
      </c>
      <c r="V121">
        <v>0</v>
      </c>
      <c r="W121" s="5" t="s">
        <v>65</v>
      </c>
      <c r="X121">
        <v>1</v>
      </c>
      <c r="Y121" s="4">
        <v>0</v>
      </c>
      <c r="Z121">
        <v>0</v>
      </c>
      <c r="AA121" s="5">
        <v>0</v>
      </c>
      <c r="AB121">
        <v>0</v>
      </c>
      <c r="AC121" s="5">
        <v>0</v>
      </c>
      <c r="AD121" s="5">
        <v>56</v>
      </c>
      <c r="AE121" s="5">
        <v>0</v>
      </c>
      <c r="AF121" s="5">
        <v>56</v>
      </c>
      <c r="AG121" s="5">
        <v>0</v>
      </c>
      <c r="AH121" s="5">
        <v>0</v>
      </c>
      <c r="AI121" s="5">
        <v>0</v>
      </c>
    </row>
    <row r="122">
      <c r="A122" s="2" t="str">
        <f>HYPERLINK("https://www.avito.ru/kazan/bytovaya_elektronika/bambu_lab_h2d_combo_eu_novyy_printer_s_ams_8053580061","8053580061")</f>
      </c>
      <c r="B122" t="s">
        <v>112</v>
      </c>
      <c r="C122" t="s">
        <v>131</v>
      </c>
      <c r="D122" t="s">
        <v>132</v>
      </c>
      <c r="E122" t="s">
        <v>38</v>
      </c>
      <c r="F122" t="s">
        <v>39</v>
      </c>
      <c r="G122" t="s">
        <v>40</v>
      </c>
      <c r="H122" s="3" t="str">
        <f>HYPERLINK("https://www.avito.ru/kazan/bytovaya_elektronika/bambu_lab_h2d_combo_eu_novyy_printer_s_ams_8053580061","Bambu Lab H2D Combo EU новый принтер с AMS")</f>
      </c>
      <c r="I122" t="s">
        <v>91</v>
      </c>
      <c r="J122" t="s">
        <v>115</v>
      </c>
      <c r="K122" t="s">
        <v>116</v>
      </c>
      <c r="L122">
        <v>51</v>
      </c>
      <c r="M122">
        <v>282</v>
      </c>
      <c r="N122" s="4">
        <v>0.1063</v>
      </c>
      <c r="O122">
        <v>30</v>
      </c>
      <c r="P122" s="5">
        <v>1.86</v>
      </c>
      <c r="Q122" s="4">
        <v>0</v>
      </c>
      <c r="R122">
        <v>0</v>
      </c>
      <c r="S122">
        <v>0</v>
      </c>
      <c r="T122">
        <v>0</v>
      </c>
      <c r="U122">
        <v>0</v>
      </c>
      <c r="V122">
        <v>0</v>
      </c>
      <c r="W122" s="5" t="s">
        <v>65</v>
      </c>
      <c r="X122">
        <v>1</v>
      </c>
      <c r="Y122" s="4">
        <v>0</v>
      </c>
      <c r="Z122">
        <v>0</v>
      </c>
      <c r="AA122" s="5">
        <v>0</v>
      </c>
      <c r="AB122">
        <v>0</v>
      </c>
      <c r="AC122" s="5">
        <v>0</v>
      </c>
      <c r="AD122" s="5">
        <v>56</v>
      </c>
      <c r="AE122" s="5">
        <v>0</v>
      </c>
      <c r="AF122" s="5">
        <v>56</v>
      </c>
      <c r="AG122" s="5">
        <v>0</v>
      </c>
      <c r="AH122" s="5">
        <v>0</v>
      </c>
      <c r="AI122" s="5">
        <v>0</v>
      </c>
    </row>
    <row r="123">
      <c r="A123" s="2" t="str">
        <f>HYPERLINK("https://www.avito.ru/omsk/bytovaya_elektronika/bambu_lab_h2d_laser_10w_eu_3d-printer_2_sopla_8053648098","8053648098")</f>
      </c>
      <c r="B123" t="s">
        <v>70</v>
      </c>
      <c r="C123" t="s">
        <v>71</v>
      </c>
      <c r="D123" t="s">
        <v>72</v>
      </c>
      <c r="E123" t="s">
        <v>38</v>
      </c>
      <c r="F123" t="s">
        <v>39</v>
      </c>
      <c r="G123" t="s">
        <v>40</v>
      </c>
      <c r="H123" s="3" t="str">
        <f>HYPERLINK("https://www.avito.ru/omsk/bytovaya_elektronika/bambu_lab_h2d_laser_10w_eu_3d-printer_2_sopla_8053648098","Bambu Lab H2D Laser 10W EU 3D-принтер 2 сопла")</f>
      </c>
      <c r="I123" t="s">
        <v>95</v>
      </c>
      <c r="J123" t="s">
        <v>42</v>
      </c>
      <c r="K123" t="s">
        <v>43</v>
      </c>
      <c r="L123">
        <v>50</v>
      </c>
      <c r="M123">
        <v>352</v>
      </c>
      <c r="N123" s="4">
        <v>0.0852</v>
      </c>
      <c r="O123">
        <v>30</v>
      </c>
      <c r="P123" s="5">
        <v>1.86</v>
      </c>
      <c r="Q123" s="4">
        <v>0</v>
      </c>
      <c r="R123">
        <v>0</v>
      </c>
      <c r="S123">
        <v>0</v>
      </c>
      <c r="T123">
        <v>0</v>
      </c>
      <c r="U123">
        <v>0</v>
      </c>
      <c r="V123">
        <v>0</v>
      </c>
      <c r="W123" s="5" t="s">
        <v>65</v>
      </c>
      <c r="X123">
        <v>0</v>
      </c>
      <c r="Y123" s="4">
        <v>0</v>
      </c>
      <c r="Z123">
        <v>0</v>
      </c>
      <c r="AA123" s="5">
        <v>0</v>
      </c>
      <c r="AB123">
        <v>0</v>
      </c>
      <c r="AC123" s="5">
        <v>0</v>
      </c>
      <c r="AD123" s="5">
        <v>56</v>
      </c>
      <c r="AE123" s="5">
        <v>0</v>
      </c>
      <c r="AF123" s="5">
        <v>56</v>
      </c>
      <c r="AG123" s="5">
        <v>0</v>
      </c>
      <c r="AH123" s="5">
        <v>0</v>
      </c>
      <c r="AI123" s="5">
        <v>0</v>
      </c>
    </row>
    <row r="124">
      <c r="A124" s="2" t="str">
        <f>HYPERLINK("https://www.avito.ru/belgorod/bytovaya_elektronika/bambu_lab_h2d_combo_ams2_pro_eu_global_versiya_8053756072","8053756072")</f>
      </c>
      <c r="B124" t="s">
        <v>199</v>
      </c>
      <c r="C124" t="s">
        <v>200</v>
      </c>
      <c r="D124" t="s">
        <v>201</v>
      </c>
      <c r="E124" t="s">
        <v>38</v>
      </c>
      <c r="F124" t="s">
        <v>39</v>
      </c>
      <c r="G124" t="s">
        <v>40</v>
      </c>
      <c r="H124" s="3" t="str">
        <f>HYPERLINK("https://www.avito.ru/belgorod/bytovaya_elektronika/bambu_lab_h2d_combo_ams2_pro_eu_global_versiya_8053756072","Bambu Lab H2D Combo AMS2 Pro EU Global версия")</f>
      </c>
      <c r="I124" t="s">
        <v>91</v>
      </c>
      <c r="J124" t="s">
        <v>49</v>
      </c>
      <c r="K124" t="s">
        <v>50</v>
      </c>
      <c r="L124">
        <v>52</v>
      </c>
      <c r="M124">
        <v>123</v>
      </c>
      <c r="N124" s="4">
        <v>0.2439</v>
      </c>
      <c r="O124">
        <v>30</v>
      </c>
      <c r="P124" s="5">
        <v>1.86</v>
      </c>
      <c r="Q124" s="4">
        <v>0.0333</v>
      </c>
      <c r="R124">
        <v>1</v>
      </c>
      <c r="S124">
        <v>1</v>
      </c>
      <c r="T124">
        <v>0</v>
      </c>
      <c r="U124">
        <v>0</v>
      </c>
      <c r="V124">
        <v>0</v>
      </c>
      <c r="W124" s="5">
        <v>56</v>
      </c>
      <c r="X124">
        <v>0</v>
      </c>
      <c r="Y124" s="4">
        <v>0</v>
      </c>
      <c r="Z124">
        <v>0</v>
      </c>
      <c r="AA124" s="5">
        <v>0</v>
      </c>
      <c r="AB124">
        <v>0</v>
      </c>
      <c r="AC124" s="5">
        <v>0</v>
      </c>
      <c r="AD124" s="5">
        <v>56</v>
      </c>
      <c r="AE124" s="5">
        <v>0</v>
      </c>
      <c r="AF124" s="5">
        <v>56</v>
      </c>
      <c r="AG124" s="5">
        <v>0</v>
      </c>
      <c r="AH124" s="5">
        <v>0</v>
      </c>
      <c r="AI124" s="5">
        <v>0</v>
      </c>
    </row>
    <row r="125">
      <c r="A125" s="2" t="str">
        <f>HYPERLINK("https://www.avito.ru/moskva/bytovaya_elektronika/3d_printer_cn_bambu_lab_h2d_laser_full_combo_10_vt_7861372585","7861372585")</f>
      </c>
      <c r="B125" t="s">
        <v>35</v>
      </c>
      <c r="C125" t="s">
        <v>36</v>
      </c>
      <c r="D125" t="s">
        <v>202</v>
      </c>
      <c r="E125" t="s">
        <v>38</v>
      </c>
      <c r="F125" t="s">
        <v>39</v>
      </c>
      <c r="G125" t="s">
        <v>40</v>
      </c>
      <c r="H125" s="3" t="str">
        <f>HYPERLINK("https://www.avito.ru/moskva/bytovaya_elektronika/3d_printer_cn_bambu_lab_h2d_laser_full_combo_10_vt_7861372585","3D принтер CN Bambu Lab H2D Laser Full Combo 10 Вт")</f>
      </c>
      <c r="I125" t="s">
        <v>203</v>
      </c>
      <c r="J125" t="s">
        <v>60</v>
      </c>
      <c r="K125" t="s">
        <v>47</v>
      </c>
      <c r="L125">
        <v>156</v>
      </c>
      <c r="M125">
        <v>83</v>
      </c>
      <c r="N125" s="4">
        <v>0.3493</v>
      </c>
      <c r="O125">
        <v>29</v>
      </c>
      <c r="P125" s="5">
        <v>2.7</v>
      </c>
      <c r="Q125" s="4">
        <v>0.0344</v>
      </c>
      <c r="R125">
        <v>1</v>
      </c>
      <c r="S125">
        <v>1</v>
      </c>
      <c r="T125">
        <v>0</v>
      </c>
      <c r="U125">
        <v>0</v>
      </c>
      <c r="V125">
        <v>0</v>
      </c>
      <c r="W125" s="5">
        <v>78.4</v>
      </c>
      <c r="X125">
        <v>4</v>
      </c>
      <c r="Y125" s="4">
        <v>0</v>
      </c>
      <c r="Z125">
        <v>0</v>
      </c>
      <c r="AA125" s="5">
        <v>0</v>
      </c>
      <c r="AB125">
        <v>0</v>
      </c>
      <c r="AC125" s="5">
        <v>0</v>
      </c>
      <c r="AD125" s="5">
        <v>78.4</v>
      </c>
      <c r="AE125" s="5">
        <v>0</v>
      </c>
      <c r="AF125" s="5">
        <v>78.4</v>
      </c>
      <c r="AG125" s="5">
        <v>0</v>
      </c>
      <c r="AH125" s="5">
        <v>0</v>
      </c>
      <c r="AI125" s="5">
        <v>0</v>
      </c>
    </row>
    <row r="126">
      <c r="A126" s="2" t="str">
        <f>HYPERLINK("https://www.avito.ru/sankt-peterburg/bytovaya_elektronika/bambu_lab_h2d_laser_40w_eu_sankt-peterburg_8053538127","8053538127")</f>
      </c>
      <c r="B126" t="s">
        <v>35</v>
      </c>
      <c r="C126" t="s">
        <v>81</v>
      </c>
      <c r="D126" t="s">
        <v>82</v>
      </c>
      <c r="E126" t="s">
        <v>38</v>
      </c>
      <c r="F126" t="s">
        <v>39</v>
      </c>
      <c r="G126" t="s">
        <v>40</v>
      </c>
      <c r="H126" s="3" t="str">
        <f>HYPERLINK("https://www.avito.ru/sankt-peterburg/bytovaya_elektronika/bambu_lab_h2d_laser_40w_eu_sankt-peterburg_8053538127","Bambu Lab H2D Laser 40W EU Санкт-Петербург")</f>
      </c>
      <c r="I126" t="s">
        <v>57</v>
      </c>
      <c r="J126" t="s">
        <v>42</v>
      </c>
      <c r="K126" t="s">
        <v>43</v>
      </c>
      <c r="L126">
        <v>50</v>
      </c>
      <c r="M126">
        <v>194</v>
      </c>
      <c r="N126" s="4">
        <v>0.1494</v>
      </c>
      <c r="O126">
        <v>29</v>
      </c>
      <c r="P126" s="5">
        <v>1.93</v>
      </c>
      <c r="Q126" s="4">
        <v>0.0344</v>
      </c>
      <c r="R126">
        <v>1</v>
      </c>
      <c r="S126">
        <v>1</v>
      </c>
      <c r="T126">
        <v>0</v>
      </c>
      <c r="U126">
        <v>0</v>
      </c>
      <c r="V126">
        <v>0</v>
      </c>
      <c r="W126" s="5">
        <v>56</v>
      </c>
      <c r="X126">
        <v>2</v>
      </c>
      <c r="Y126" s="4">
        <v>0</v>
      </c>
      <c r="Z126">
        <v>0</v>
      </c>
      <c r="AA126" s="5">
        <v>0</v>
      </c>
      <c r="AB126">
        <v>0</v>
      </c>
      <c r="AC126" s="5">
        <v>0</v>
      </c>
      <c r="AD126" s="5">
        <v>56</v>
      </c>
      <c r="AE126" s="5">
        <v>0</v>
      </c>
      <c r="AF126" s="5">
        <v>56</v>
      </c>
      <c r="AG126" s="5">
        <v>0</v>
      </c>
      <c r="AH126" s="5">
        <v>0</v>
      </c>
      <c r="AI126" s="5">
        <v>0</v>
      </c>
    </row>
    <row r="127">
      <c r="A127" s="2" t="str">
        <f>HYPERLINK("https://www.avito.ru/sankt-peterburg/bytovaya_elektronika/bambu_lab_h2d_laser_10w_eu_3d-printer_2_sopla_8053609584","8053609584")</f>
      </c>
      <c r="B127" t="s">
        <v>35</v>
      </c>
      <c r="C127" t="s">
        <v>81</v>
      </c>
      <c r="D127" t="s">
        <v>82</v>
      </c>
      <c r="E127" t="s">
        <v>38</v>
      </c>
      <c r="F127" t="s">
        <v>39</v>
      </c>
      <c r="G127" t="s">
        <v>40</v>
      </c>
      <c r="H127" s="3" t="str">
        <f>HYPERLINK("https://www.avito.ru/sankt-peterburg/bytovaya_elektronika/bambu_lab_h2d_laser_10w_eu_3d-printer_2_sopla_8053609584","Bambu Lab H2D Laser 10W EU 3D-принтер 2 сопла")</f>
      </c>
      <c r="I127" t="s">
        <v>95</v>
      </c>
      <c r="J127" t="s">
        <v>42</v>
      </c>
      <c r="K127" t="s">
        <v>43</v>
      </c>
      <c r="L127">
        <v>50</v>
      </c>
      <c r="M127">
        <v>133</v>
      </c>
      <c r="N127" s="4">
        <v>0.218</v>
      </c>
      <c r="O127">
        <v>29</v>
      </c>
      <c r="P127" s="5">
        <v>1.93</v>
      </c>
      <c r="Q127" s="4">
        <v>0.0344</v>
      </c>
      <c r="R127">
        <v>1</v>
      </c>
      <c r="S127">
        <v>1</v>
      </c>
      <c r="T127">
        <v>0</v>
      </c>
      <c r="U127">
        <v>0</v>
      </c>
      <c r="V127">
        <v>0</v>
      </c>
      <c r="W127" s="5">
        <v>56</v>
      </c>
      <c r="X127">
        <v>3</v>
      </c>
      <c r="Y127" s="4">
        <v>0</v>
      </c>
      <c r="Z127">
        <v>0</v>
      </c>
      <c r="AA127" s="5">
        <v>0</v>
      </c>
      <c r="AB127">
        <v>0</v>
      </c>
      <c r="AC127" s="5">
        <v>0</v>
      </c>
      <c r="AD127" s="5">
        <v>56</v>
      </c>
      <c r="AE127" s="5">
        <v>0</v>
      </c>
      <c r="AF127" s="5">
        <v>56</v>
      </c>
      <c r="AG127" s="5">
        <v>0</v>
      </c>
      <c r="AH127" s="5">
        <v>0</v>
      </c>
      <c r="AI127" s="5">
        <v>0</v>
      </c>
    </row>
    <row r="128">
      <c r="A128" s="2" t="str">
        <f>HYPERLINK("https://www.avito.ru/sankt-peterburg/bytovaya_elektronika/3d_printer_h2d_combo_ams2_pro_eu_dlya_proizvodstva_8053786447","8053786447")</f>
      </c>
      <c r="B128" t="s">
        <v>35</v>
      </c>
      <c r="C128" t="s">
        <v>81</v>
      </c>
      <c r="D128" t="s">
        <v>82</v>
      </c>
      <c r="E128" t="s">
        <v>38</v>
      </c>
      <c r="F128" t="s">
        <v>39</v>
      </c>
      <c r="G128" t="s">
        <v>40</v>
      </c>
      <c r="H128" s="3" t="str">
        <f>HYPERLINK("https://www.avito.ru/sankt-peterburg/bytovaya_elektronika/3d_printer_h2d_combo_ams2_pro_eu_dlya_proizvodstva_8053786447","3Д принтер H2D Combo AMS2 Pro EU для производства")</f>
      </c>
      <c r="I128" t="s">
        <v>91</v>
      </c>
      <c r="J128" t="s">
        <v>49</v>
      </c>
      <c r="K128" t="s">
        <v>50</v>
      </c>
      <c r="L128">
        <v>52</v>
      </c>
      <c r="M128">
        <v>160</v>
      </c>
      <c r="N128" s="4">
        <v>0.1812</v>
      </c>
      <c r="O128">
        <v>29</v>
      </c>
      <c r="P128" s="5">
        <v>1.93</v>
      </c>
      <c r="Q128" s="4">
        <v>0.0344</v>
      </c>
      <c r="R128">
        <v>1</v>
      </c>
      <c r="S128">
        <v>1</v>
      </c>
      <c r="T128">
        <v>0</v>
      </c>
      <c r="U128">
        <v>0</v>
      </c>
      <c r="V128">
        <v>0</v>
      </c>
      <c r="W128" s="5">
        <v>56</v>
      </c>
      <c r="X128">
        <v>3</v>
      </c>
      <c r="Y128" s="4">
        <v>0</v>
      </c>
      <c r="Z128">
        <v>0</v>
      </c>
      <c r="AA128" s="5">
        <v>0</v>
      </c>
      <c r="AB128">
        <v>0</v>
      </c>
      <c r="AC128" s="5">
        <v>0</v>
      </c>
      <c r="AD128" s="5">
        <v>56</v>
      </c>
      <c r="AE128" s="5">
        <v>0</v>
      </c>
      <c r="AF128" s="5">
        <v>56</v>
      </c>
      <c r="AG128" s="5">
        <v>0</v>
      </c>
      <c r="AH128" s="5">
        <v>0</v>
      </c>
      <c r="AI128" s="5">
        <v>0</v>
      </c>
    </row>
    <row r="129">
      <c r="A129" s="2" t="str">
        <f>HYPERLINK("https://www.avito.ru/penza/bytovaya_elektronika/skorostnoy_3d_printer_h2d_combo_ams_2_pro_8053893315","8053893315")</f>
      </c>
      <c r="B129" t="s">
        <v>204</v>
      </c>
      <c r="C129" t="s">
        <v>205</v>
      </c>
      <c r="D129" t="s">
        <v>206</v>
      </c>
      <c r="E129" t="s">
        <v>38</v>
      </c>
      <c r="F129" t="s">
        <v>39</v>
      </c>
      <c r="G129" t="s">
        <v>40</v>
      </c>
      <c r="H129" s="3" t="str">
        <f>HYPERLINK("https://www.avito.ru/penza/bytovaya_elektronika/skorostnoy_3d_printer_h2d_combo_ams_2_pro_8053893315","Скоростной 3Д принтер H2D Combo AMS 2 Pro")</f>
      </c>
      <c r="I129" t="s">
        <v>91</v>
      </c>
      <c r="J129" t="s">
        <v>42</v>
      </c>
      <c r="K129" t="s">
        <v>43</v>
      </c>
      <c r="L129">
        <v>50</v>
      </c>
      <c r="M129">
        <v>231</v>
      </c>
      <c r="N129" s="4">
        <v>0.1255</v>
      </c>
      <c r="O129">
        <v>29</v>
      </c>
      <c r="P129" s="5">
        <v>1.93</v>
      </c>
      <c r="Q129" s="4">
        <v>0</v>
      </c>
      <c r="R129">
        <v>0</v>
      </c>
      <c r="S129">
        <v>0</v>
      </c>
      <c r="T129">
        <v>0</v>
      </c>
      <c r="U129">
        <v>0</v>
      </c>
      <c r="V129">
        <v>0</v>
      </c>
      <c r="W129" s="5" t="s">
        <v>65</v>
      </c>
      <c r="X129">
        <v>0</v>
      </c>
      <c r="Y129" s="4">
        <v>0</v>
      </c>
      <c r="Z129">
        <v>0</v>
      </c>
      <c r="AA129" s="5">
        <v>0</v>
      </c>
      <c r="AB129">
        <v>0</v>
      </c>
      <c r="AC129" s="5">
        <v>0</v>
      </c>
      <c r="AD129" s="5">
        <v>56</v>
      </c>
      <c r="AE129" s="5">
        <v>0</v>
      </c>
      <c r="AF129" s="5">
        <v>56</v>
      </c>
      <c r="AG129" s="5">
        <v>0</v>
      </c>
      <c r="AH129" s="5">
        <v>0</v>
      </c>
      <c r="AI129" s="5">
        <v>0</v>
      </c>
    </row>
    <row r="130">
      <c r="A130" s="2" t="str">
        <f>HYPERLINK("https://www.avito.ru/ufa/bytovaya_elektronika/h2d_pro_combo_ams_stantsiya_3d_pechati_pod_zakaz_8053221102","8053221102")</f>
      </c>
      <c r="B130" t="s">
        <v>179</v>
      </c>
      <c r="C130" t="s">
        <v>180</v>
      </c>
      <c r="D130" t="s">
        <v>181</v>
      </c>
      <c r="E130" t="s">
        <v>38</v>
      </c>
      <c r="F130" t="s">
        <v>39</v>
      </c>
      <c r="G130" t="s">
        <v>40</v>
      </c>
      <c r="H130" s="3" t="str">
        <f>HYPERLINK("https://www.avito.ru/ufa/bytovaya_elektronika/h2d_pro_combo_ams_stantsiya_3d_pechati_pod_zakaz_8053221102","H2D PRO Combo AMS станция 3D печати под заказ")</f>
      </c>
      <c r="I130" t="s">
        <v>172</v>
      </c>
      <c r="J130" t="s">
        <v>115</v>
      </c>
      <c r="K130" t="s">
        <v>116</v>
      </c>
      <c r="L130">
        <v>51</v>
      </c>
      <c r="M130">
        <v>422</v>
      </c>
      <c r="N130" s="4">
        <v>0.0663</v>
      </c>
      <c r="O130">
        <v>28</v>
      </c>
      <c r="P130" s="5">
        <v>2</v>
      </c>
      <c r="Q130" s="4">
        <v>0</v>
      </c>
      <c r="R130">
        <v>0</v>
      </c>
      <c r="S130">
        <v>0</v>
      </c>
      <c r="T130">
        <v>0</v>
      </c>
      <c r="U130">
        <v>0</v>
      </c>
      <c r="V130">
        <v>0</v>
      </c>
      <c r="W130" s="5" t="s">
        <v>65</v>
      </c>
      <c r="X130">
        <v>0</v>
      </c>
      <c r="Y130" s="4">
        <v>0</v>
      </c>
      <c r="Z130">
        <v>0</v>
      </c>
      <c r="AA130" s="5">
        <v>0</v>
      </c>
      <c r="AB130">
        <v>0</v>
      </c>
      <c r="AC130" s="5">
        <v>0</v>
      </c>
      <c r="AD130" s="5">
        <v>56</v>
      </c>
      <c r="AE130" s="5">
        <v>0</v>
      </c>
      <c r="AF130" s="5">
        <v>56</v>
      </c>
      <c r="AG130" s="5">
        <v>0</v>
      </c>
      <c r="AH130" s="5">
        <v>0</v>
      </c>
      <c r="AI130" s="5">
        <v>0</v>
      </c>
    </row>
    <row r="131">
      <c r="A131" s="2" t="str">
        <f>HYPERLINK("https://www.avito.ru/penza/bytovaya_elektronika/h2d_combo_ams_2_pro_3d_printer_s_videokameroy_cn_versiya_8053269160","8053269160")</f>
      </c>
      <c r="B131" t="s">
        <v>204</v>
      </c>
      <c r="C131" t="s">
        <v>205</v>
      </c>
      <c r="D131" t="s">
        <v>206</v>
      </c>
      <c r="E131" t="s">
        <v>38</v>
      </c>
      <c r="F131" t="s">
        <v>39</v>
      </c>
      <c r="G131" t="s">
        <v>40</v>
      </c>
      <c r="H131" s="3" t="str">
        <f>HYPERLINK("https://www.avito.ru/penza/bytovaya_elektronika/h2d_combo_ams_2_pro_3d_printer_s_videokameroy_cn_versiya_8053269160","H2D Combo AMS 2 Pro 3D принтер с видеокамерой CN версия")</f>
      </c>
      <c r="I131" t="s">
        <v>41</v>
      </c>
      <c r="J131" t="s">
        <v>42</v>
      </c>
      <c r="K131" t="s">
        <v>43</v>
      </c>
      <c r="L131">
        <v>50</v>
      </c>
      <c r="M131">
        <v>342</v>
      </c>
      <c r="N131" s="4">
        <v>0.0818</v>
      </c>
      <c r="O131">
        <v>28</v>
      </c>
      <c r="P131" s="5">
        <v>2</v>
      </c>
      <c r="Q131" s="4">
        <v>0</v>
      </c>
      <c r="R131">
        <v>0</v>
      </c>
      <c r="S131">
        <v>0</v>
      </c>
      <c r="T131">
        <v>0</v>
      </c>
      <c r="U131">
        <v>0</v>
      </c>
      <c r="V131">
        <v>0</v>
      </c>
      <c r="W131" s="5" t="s">
        <v>65</v>
      </c>
      <c r="X131">
        <v>1</v>
      </c>
      <c r="Y131" s="4">
        <v>0</v>
      </c>
      <c r="Z131">
        <v>0</v>
      </c>
      <c r="AA131" s="5">
        <v>0</v>
      </c>
      <c r="AB131">
        <v>0</v>
      </c>
      <c r="AC131" s="5">
        <v>0</v>
      </c>
      <c r="AD131" s="5">
        <v>56</v>
      </c>
      <c r="AE131" s="5">
        <v>0</v>
      </c>
      <c r="AF131" s="5">
        <v>56</v>
      </c>
      <c r="AG131" s="5">
        <v>0</v>
      </c>
      <c r="AH131" s="5">
        <v>0</v>
      </c>
      <c r="AI131" s="5">
        <v>0</v>
      </c>
    </row>
    <row r="132">
      <c r="A132">
        <v>8053364417</v>
      </c>
      <c r="B132" t="s">
        <v>70</v>
      </c>
      <c r="C132" t="s">
        <v>71</v>
      </c>
      <c r="D132" t="s">
        <v>72</v>
      </c>
      <c r="E132" t="s">
        <v>38</v>
      </c>
      <c r="F132" t="s">
        <v>39</v>
      </c>
      <c r="G132" t="s">
        <v>40</v>
      </c>
      <c r="H132" t="s">
        <v>207</v>
      </c>
      <c r="I132" t="s">
        <v>65</v>
      </c>
      <c r="J132" t="s">
        <v>42</v>
      </c>
      <c r="K132" t="s">
        <v>43</v>
      </c>
      <c r="L132">
        <v>50</v>
      </c>
      <c r="M132">
        <v>213</v>
      </c>
      <c r="N132" s="4">
        <v>0.1314</v>
      </c>
      <c r="O132">
        <v>28</v>
      </c>
      <c r="P132" s="5">
        <v>2</v>
      </c>
      <c r="Q132" s="4">
        <v>0</v>
      </c>
      <c r="R132">
        <v>0</v>
      </c>
      <c r="S132">
        <v>0</v>
      </c>
      <c r="T132">
        <v>0</v>
      </c>
      <c r="U132">
        <v>0</v>
      </c>
      <c r="V132">
        <v>0</v>
      </c>
      <c r="W132" s="5" t="s">
        <v>65</v>
      </c>
      <c r="X132">
        <v>0</v>
      </c>
      <c r="Y132" s="4">
        <v>0</v>
      </c>
      <c r="Z132">
        <v>0</v>
      </c>
      <c r="AA132" s="5">
        <v>0</v>
      </c>
      <c r="AB132">
        <v>0</v>
      </c>
      <c r="AC132" s="5">
        <v>0</v>
      </c>
      <c r="AD132" s="5">
        <v>56</v>
      </c>
      <c r="AE132" s="5">
        <v>0</v>
      </c>
      <c r="AF132" s="5">
        <v>56</v>
      </c>
      <c r="AG132" s="5">
        <v>0</v>
      </c>
      <c r="AH132" s="5">
        <v>0</v>
      </c>
      <c r="AI132" s="5">
        <v>0</v>
      </c>
    </row>
    <row r="133">
      <c r="A133" s="2" t="str">
        <f>HYPERLINK("https://www.avito.ru/nizhniy_novgorod/bytovaya_elektronika/bambu_lab_h2c_full_combo_eu_novyy_3d-printer_8053593401","8053593401")</f>
      </c>
      <c r="B133" t="s">
        <v>125</v>
      </c>
      <c r="C133" t="s">
        <v>126</v>
      </c>
      <c r="D133" t="s">
        <v>127</v>
      </c>
      <c r="E133" t="s">
        <v>38</v>
      </c>
      <c r="F133" t="s">
        <v>39</v>
      </c>
      <c r="G133" t="s">
        <v>40</v>
      </c>
      <c r="H133" s="3" t="str">
        <f>HYPERLINK("https://www.avito.ru/nizhniy_novgorod/bytovaya_elektronika/bambu_lab_h2c_full_combo_eu_novyy_3d-printer_8053593401","Bambu Lab H2C Full Combo EU новый 3D-принтер")</f>
      </c>
      <c r="I133" t="s">
        <v>69</v>
      </c>
      <c r="J133" t="s">
        <v>49</v>
      </c>
      <c r="K133" t="s">
        <v>50</v>
      </c>
      <c r="L133">
        <v>52</v>
      </c>
      <c r="M133">
        <v>164</v>
      </c>
      <c r="N133" s="4">
        <v>0.1707</v>
      </c>
      <c r="O133">
        <v>28</v>
      </c>
      <c r="P133" s="5">
        <v>2</v>
      </c>
      <c r="Q133" s="4">
        <v>0</v>
      </c>
      <c r="R133">
        <v>0</v>
      </c>
      <c r="S133">
        <v>0</v>
      </c>
      <c r="T133">
        <v>0</v>
      </c>
      <c r="U133">
        <v>0</v>
      </c>
      <c r="V133">
        <v>0</v>
      </c>
      <c r="W133" s="5" t="s">
        <v>65</v>
      </c>
      <c r="X133">
        <v>2</v>
      </c>
      <c r="Y133" s="4">
        <v>0</v>
      </c>
      <c r="Z133">
        <v>0</v>
      </c>
      <c r="AA133" s="5">
        <v>0</v>
      </c>
      <c r="AB133">
        <v>0</v>
      </c>
      <c r="AC133" s="5">
        <v>0</v>
      </c>
      <c r="AD133" s="5">
        <v>56</v>
      </c>
      <c r="AE133" s="5">
        <v>0</v>
      </c>
      <c r="AF133" s="5">
        <v>56</v>
      </c>
      <c r="AG133" s="5">
        <v>0</v>
      </c>
      <c r="AH133" s="5">
        <v>0</v>
      </c>
      <c r="AI133" s="5">
        <v>0</v>
      </c>
    </row>
    <row r="134">
      <c r="A134" s="2" t="str">
        <f>HYPERLINK("https://www.avito.ru/tyumen/bytovaya_elektronika/sverhbystryy_3d_printer_h2s_combo_ams_2_pro_8052957536","8052957536")</f>
      </c>
      <c r="B134" t="s">
        <v>145</v>
      </c>
      <c r="C134" t="s">
        <v>146</v>
      </c>
      <c r="D134" t="s">
        <v>147</v>
      </c>
      <c r="E134" t="s">
        <v>38</v>
      </c>
      <c r="F134" t="s">
        <v>39</v>
      </c>
      <c r="G134" t="s">
        <v>40</v>
      </c>
      <c r="H134" s="3" t="str">
        <f>HYPERLINK("https://www.avito.ru/tyumen/bytovaya_elektronika/sverhbystryy_3d_printer_h2s_combo_ams_2_pro_8052957536","Сверхбыстрый 3D принтер H2S Combo AMS 2 PRO")</f>
      </c>
      <c r="I134" t="s">
        <v>48</v>
      </c>
      <c r="J134" t="s">
        <v>115</v>
      </c>
      <c r="K134" t="s">
        <v>116</v>
      </c>
      <c r="L134">
        <v>51</v>
      </c>
      <c r="M134">
        <v>387</v>
      </c>
      <c r="N134" s="4">
        <v>0.0697</v>
      </c>
      <c r="O134">
        <v>27</v>
      </c>
      <c r="P134" s="5">
        <v>2.07</v>
      </c>
      <c r="Q134" s="4">
        <v>0</v>
      </c>
      <c r="R134">
        <v>0</v>
      </c>
      <c r="S134">
        <v>0</v>
      </c>
      <c r="T134">
        <v>0</v>
      </c>
      <c r="U134">
        <v>0</v>
      </c>
      <c r="V134">
        <v>0</v>
      </c>
      <c r="W134" s="5" t="s">
        <v>65</v>
      </c>
      <c r="X134">
        <v>1</v>
      </c>
      <c r="Y134" s="4">
        <v>0</v>
      </c>
      <c r="Z134">
        <v>0</v>
      </c>
      <c r="AA134" s="5">
        <v>0</v>
      </c>
      <c r="AB134">
        <v>0</v>
      </c>
      <c r="AC134" s="5">
        <v>0</v>
      </c>
      <c r="AD134" s="5">
        <v>56</v>
      </c>
      <c r="AE134" s="5">
        <v>0</v>
      </c>
      <c r="AF134" s="5">
        <v>56</v>
      </c>
      <c r="AG134" s="5">
        <v>0</v>
      </c>
      <c r="AH134" s="5">
        <v>0</v>
      </c>
      <c r="AI134" s="5">
        <v>0</v>
      </c>
    </row>
    <row r="135">
      <c r="A135" s="2" t="str">
        <f>HYPERLINK("https://www.avito.ru/perm/bytovaya_elektronika/bambu_lab_h2d_combo_ams_2_pro_stantsiya_pechati_8052961849","8052961849")</f>
      </c>
      <c r="B135" t="s">
        <v>61</v>
      </c>
      <c r="C135" t="s">
        <v>62</v>
      </c>
      <c r="D135" t="s">
        <v>63</v>
      </c>
      <c r="E135" t="s">
        <v>38</v>
      </c>
      <c r="F135" t="s">
        <v>39</v>
      </c>
      <c r="G135" t="s">
        <v>40</v>
      </c>
      <c r="H135" s="3" t="str">
        <f>HYPERLINK("https://www.avito.ru/perm/bytovaya_elektronika/bambu_lab_h2d_combo_ams_2_pro_stantsiya_pechati_8052961849","Bambu Lab H2D Combo AMS 2 Pro станция печати")</f>
      </c>
      <c r="I135" t="s">
        <v>91</v>
      </c>
      <c r="J135" t="s">
        <v>42</v>
      </c>
      <c r="K135" t="s">
        <v>43</v>
      </c>
      <c r="L135">
        <v>50</v>
      </c>
      <c r="M135">
        <v>251</v>
      </c>
      <c r="N135" s="4">
        <v>0.1075</v>
      </c>
      <c r="O135">
        <v>27</v>
      </c>
      <c r="P135" s="5">
        <v>2.07</v>
      </c>
      <c r="Q135" s="4">
        <v>0</v>
      </c>
      <c r="R135">
        <v>0</v>
      </c>
      <c r="S135">
        <v>0</v>
      </c>
      <c r="T135">
        <v>0</v>
      </c>
      <c r="U135">
        <v>0</v>
      </c>
      <c r="V135">
        <v>0</v>
      </c>
      <c r="W135" s="5" t="s">
        <v>65</v>
      </c>
      <c r="X135">
        <v>2</v>
      </c>
      <c r="Y135" s="4">
        <v>0</v>
      </c>
      <c r="Z135">
        <v>0</v>
      </c>
      <c r="AA135" s="5">
        <v>0</v>
      </c>
      <c r="AB135">
        <v>0</v>
      </c>
      <c r="AC135" s="5">
        <v>0</v>
      </c>
      <c r="AD135" s="5">
        <v>56</v>
      </c>
      <c r="AE135" s="5">
        <v>0</v>
      </c>
      <c r="AF135" s="5">
        <v>56</v>
      </c>
      <c r="AG135" s="5">
        <v>0</v>
      </c>
      <c r="AH135" s="5">
        <v>0</v>
      </c>
      <c r="AI135" s="5">
        <v>0</v>
      </c>
    </row>
    <row r="136">
      <c r="A136" s="2" t="str">
        <f>HYPERLINK("https://www.avito.ru/moskva/bytovaya_elektronika/professionalnyy_3d_printer_h2c_combo_ams_cn_8053138852","8053138852")</f>
      </c>
      <c r="B136" t="s">
        <v>35</v>
      </c>
      <c r="C136" t="s">
        <v>36</v>
      </c>
      <c r="D136" t="s">
        <v>37</v>
      </c>
      <c r="E136" t="s">
        <v>38</v>
      </c>
      <c r="F136" t="s">
        <v>39</v>
      </c>
      <c r="G136" t="s">
        <v>40</v>
      </c>
      <c r="H136" s="3" t="str">
        <f>HYPERLINK("https://www.avito.ru/moskva/bytovaya_elektronika/professionalnyy_3d_printer_h2c_combo_ams_cn_8053138852","Профессиональный 3D принтер H2C Combo AMS CN")</f>
      </c>
      <c r="I136" t="s">
        <v>163</v>
      </c>
      <c r="J136" t="s">
        <v>115</v>
      </c>
      <c r="K136" t="s">
        <v>116</v>
      </c>
      <c r="L136">
        <v>51</v>
      </c>
      <c r="M136">
        <v>138</v>
      </c>
      <c r="N136" s="4">
        <v>0.1956</v>
      </c>
      <c r="O136">
        <v>27</v>
      </c>
      <c r="P136" s="5">
        <v>3.14</v>
      </c>
      <c r="Q136" s="4">
        <v>0</v>
      </c>
      <c r="R136">
        <v>0</v>
      </c>
      <c r="S136">
        <v>0</v>
      </c>
      <c r="T136">
        <v>0</v>
      </c>
      <c r="U136">
        <v>0</v>
      </c>
      <c r="V136">
        <v>0</v>
      </c>
      <c r="W136" s="5" t="s">
        <v>65</v>
      </c>
      <c r="X136">
        <v>0</v>
      </c>
      <c r="Y136" s="4">
        <v>0</v>
      </c>
      <c r="Z136">
        <v>0</v>
      </c>
      <c r="AA136" s="5">
        <v>0</v>
      </c>
      <c r="AB136">
        <v>0</v>
      </c>
      <c r="AC136" s="5">
        <v>0</v>
      </c>
      <c r="AD136" s="5">
        <v>85</v>
      </c>
      <c r="AE136" s="5">
        <v>0</v>
      </c>
      <c r="AF136" s="5">
        <v>85</v>
      </c>
      <c r="AG136" s="5">
        <v>0</v>
      </c>
      <c r="AH136" s="5">
        <v>0</v>
      </c>
      <c r="AI136" s="5">
        <v>0</v>
      </c>
    </row>
    <row r="137">
      <c r="A137" s="2" t="str">
        <f>HYPERLINK("https://www.avito.ru/samara/bytovaya_elektronika/bambu_lab_h2d_combo_ams_2_pro_1000_speed_8053149193","8053149193")</f>
      </c>
      <c r="B137" t="s">
        <v>173</v>
      </c>
      <c r="C137" t="s">
        <v>174</v>
      </c>
      <c r="D137" t="s">
        <v>175</v>
      </c>
      <c r="E137" t="s">
        <v>38</v>
      </c>
      <c r="F137" t="s">
        <v>39</v>
      </c>
      <c r="G137" t="s">
        <v>40</v>
      </c>
      <c r="H137" s="3" t="str">
        <f>HYPERLINK("https://www.avito.ru/samara/bytovaya_elektronika/bambu_lab_h2d_combo_ams_2_pro_1000_speed_8053149193","Bambu Lab H2D Combo AMS 2 Pro 1000 speed")</f>
      </c>
      <c r="I137" t="s">
        <v>91</v>
      </c>
      <c r="J137" t="s">
        <v>42</v>
      </c>
      <c r="K137" t="s">
        <v>43</v>
      </c>
      <c r="L137">
        <v>50</v>
      </c>
      <c r="M137">
        <v>287</v>
      </c>
      <c r="N137" s="4">
        <v>0.094</v>
      </c>
      <c r="O137">
        <v>27</v>
      </c>
      <c r="P137" s="5">
        <v>2.07</v>
      </c>
      <c r="Q137" s="4">
        <v>0</v>
      </c>
      <c r="R137">
        <v>0</v>
      </c>
      <c r="S137">
        <v>0</v>
      </c>
      <c r="T137">
        <v>0</v>
      </c>
      <c r="U137">
        <v>0</v>
      </c>
      <c r="V137">
        <v>0</v>
      </c>
      <c r="W137" s="5" t="s">
        <v>65</v>
      </c>
      <c r="X137">
        <v>3</v>
      </c>
      <c r="Y137" s="4">
        <v>0</v>
      </c>
      <c r="Z137">
        <v>0</v>
      </c>
      <c r="AA137" s="5">
        <v>0</v>
      </c>
      <c r="AB137">
        <v>0</v>
      </c>
      <c r="AC137" s="5">
        <v>0</v>
      </c>
      <c r="AD137" s="5">
        <v>56</v>
      </c>
      <c r="AE137" s="5">
        <v>0</v>
      </c>
      <c r="AF137" s="5">
        <v>56</v>
      </c>
      <c r="AG137" s="5">
        <v>0</v>
      </c>
      <c r="AH137" s="5">
        <v>0</v>
      </c>
      <c r="AI137" s="5">
        <v>0</v>
      </c>
    </row>
    <row r="138">
      <c r="A138" s="2" t="str">
        <f>HYPERLINK("https://www.avito.ru/saratov/bytovaya_elektronika/h2d_laser_40w_eu_zakrytyy_3d_printer_8053185843","8053185843")</f>
      </c>
      <c r="B138" t="s">
        <v>208</v>
      </c>
      <c r="C138" t="s">
        <v>209</v>
      </c>
      <c r="D138" t="s">
        <v>210</v>
      </c>
      <c r="E138" t="s">
        <v>38</v>
      </c>
      <c r="F138" t="s">
        <v>39</v>
      </c>
      <c r="G138" t="s">
        <v>40</v>
      </c>
      <c r="H138" s="3" t="str">
        <f>HYPERLINK("https://www.avito.ru/saratov/bytovaya_elektronika/h2d_laser_40w_eu_zakrytyy_3d_printer_8053185843","H2D Laser 40W EU закрытый 3D принтер")</f>
      </c>
      <c r="I138" t="s">
        <v>57</v>
      </c>
      <c r="J138" t="s">
        <v>42</v>
      </c>
      <c r="K138" t="s">
        <v>43</v>
      </c>
      <c r="L138">
        <v>50</v>
      </c>
      <c r="M138">
        <v>180</v>
      </c>
      <c r="N138" s="4">
        <v>0.15</v>
      </c>
      <c r="O138">
        <v>27</v>
      </c>
      <c r="P138" s="5">
        <v>2.07</v>
      </c>
      <c r="Q138" s="4">
        <v>0</v>
      </c>
      <c r="R138">
        <v>0</v>
      </c>
      <c r="S138">
        <v>0</v>
      </c>
      <c r="T138">
        <v>0</v>
      </c>
      <c r="U138">
        <v>0</v>
      </c>
      <c r="V138">
        <v>0</v>
      </c>
      <c r="W138" s="5" t="s">
        <v>65</v>
      </c>
      <c r="X138">
        <v>1</v>
      </c>
      <c r="Y138" s="4">
        <v>0</v>
      </c>
      <c r="Z138">
        <v>0</v>
      </c>
      <c r="AA138" s="5">
        <v>0</v>
      </c>
      <c r="AB138">
        <v>0</v>
      </c>
      <c r="AC138" s="5">
        <v>0</v>
      </c>
      <c r="AD138" s="5">
        <v>56</v>
      </c>
      <c r="AE138" s="5">
        <v>0</v>
      </c>
      <c r="AF138" s="5">
        <v>56</v>
      </c>
      <c r="AG138" s="5">
        <v>0</v>
      </c>
      <c r="AH138" s="5">
        <v>0</v>
      </c>
      <c r="AI138" s="5">
        <v>0</v>
      </c>
    </row>
    <row r="139">
      <c r="A139" s="2" t="str">
        <f>HYPERLINK("https://www.avito.ru/krasnodar/bytovaya_elektronika/h2d_combo_ams_2_pro_vysokotochnyy_3d_printer_8053195058","8053195058")</f>
      </c>
      <c r="B139" t="s">
        <v>78</v>
      </c>
      <c r="C139" t="s">
        <v>79</v>
      </c>
      <c r="D139" t="s">
        <v>80</v>
      </c>
      <c r="E139" t="s">
        <v>38</v>
      </c>
      <c r="F139" t="s">
        <v>39</v>
      </c>
      <c r="G139" t="s">
        <v>40</v>
      </c>
      <c r="H139" s="3" t="str">
        <f>HYPERLINK("https://www.avito.ru/krasnodar/bytovaya_elektronika/h2d_combo_ams_2_pro_vysokotochnyy_3d_printer_8053195058","H2D Combo AMS 2 Pro высокоточный 3D принтер")</f>
      </c>
      <c r="I139" t="s">
        <v>91</v>
      </c>
      <c r="J139" t="s">
        <v>42</v>
      </c>
      <c r="K139" t="s">
        <v>43</v>
      </c>
      <c r="L139">
        <v>50</v>
      </c>
      <c r="M139">
        <v>252</v>
      </c>
      <c r="N139" s="4">
        <v>0.1071</v>
      </c>
      <c r="O139">
        <v>27</v>
      </c>
      <c r="P139" s="5">
        <v>2.07</v>
      </c>
      <c r="Q139" s="4">
        <v>0</v>
      </c>
      <c r="R139">
        <v>0</v>
      </c>
      <c r="S139">
        <v>0</v>
      </c>
      <c r="T139">
        <v>0</v>
      </c>
      <c r="U139">
        <v>0</v>
      </c>
      <c r="V139">
        <v>0</v>
      </c>
      <c r="W139" s="5" t="s">
        <v>65</v>
      </c>
      <c r="X139">
        <v>2</v>
      </c>
      <c r="Y139" s="4">
        <v>0</v>
      </c>
      <c r="Z139">
        <v>0</v>
      </c>
      <c r="AA139" s="5">
        <v>0</v>
      </c>
      <c r="AB139">
        <v>0</v>
      </c>
      <c r="AC139" s="5">
        <v>0</v>
      </c>
      <c r="AD139" s="5">
        <v>56</v>
      </c>
      <c r="AE139" s="5">
        <v>0</v>
      </c>
      <c r="AF139" s="5">
        <v>56</v>
      </c>
      <c r="AG139" s="5">
        <v>0</v>
      </c>
      <c r="AH139" s="5">
        <v>0</v>
      </c>
      <c r="AI139" s="5">
        <v>0</v>
      </c>
    </row>
    <row r="140">
      <c r="A140" s="2" t="str">
        <f>HYPERLINK("https://www.avito.ru/ekaterinburg/bytovaya_elektronika/printer_3d_bambu_lab_h2d_laser_10w_eu_8053538768","8053538768")</f>
      </c>
      <c r="B140" t="s">
        <v>136</v>
      </c>
      <c r="C140" t="s">
        <v>137</v>
      </c>
      <c r="D140" t="s">
        <v>138</v>
      </c>
      <c r="E140" t="s">
        <v>38</v>
      </c>
      <c r="F140" t="s">
        <v>39</v>
      </c>
      <c r="G140" t="s">
        <v>40</v>
      </c>
      <c r="H140" s="3" t="str">
        <f>HYPERLINK("https://www.avito.ru/ekaterinburg/bytovaya_elektronika/printer_3d_bambu_lab_h2d_laser_10w_eu_8053538768","Принтер 3D Bambu Lab H2D Laser 10W EU")</f>
      </c>
      <c r="I140" t="s">
        <v>95</v>
      </c>
      <c r="J140" t="s">
        <v>42</v>
      </c>
      <c r="K140" t="s">
        <v>43</v>
      </c>
      <c r="L140">
        <v>50</v>
      </c>
      <c r="M140">
        <v>324</v>
      </c>
      <c r="N140" s="4">
        <v>0.0833</v>
      </c>
      <c r="O140">
        <v>27</v>
      </c>
      <c r="P140" s="5">
        <v>2.07</v>
      </c>
      <c r="Q140" s="4">
        <v>0</v>
      </c>
      <c r="R140">
        <v>0</v>
      </c>
      <c r="S140">
        <v>0</v>
      </c>
      <c r="T140">
        <v>0</v>
      </c>
      <c r="U140">
        <v>0</v>
      </c>
      <c r="V140">
        <v>0</v>
      </c>
      <c r="W140" s="5" t="s">
        <v>65</v>
      </c>
      <c r="X140">
        <v>0</v>
      </c>
      <c r="Y140" s="4">
        <v>0</v>
      </c>
      <c r="Z140">
        <v>0</v>
      </c>
      <c r="AA140" s="5">
        <v>0</v>
      </c>
      <c r="AB140">
        <v>0</v>
      </c>
      <c r="AC140" s="5">
        <v>0</v>
      </c>
      <c r="AD140" s="5">
        <v>56</v>
      </c>
      <c r="AE140" s="5">
        <v>0</v>
      </c>
      <c r="AF140" s="5">
        <v>56</v>
      </c>
      <c r="AG140" s="5">
        <v>0</v>
      </c>
      <c r="AH140" s="5">
        <v>0</v>
      </c>
      <c r="AI140" s="5">
        <v>0</v>
      </c>
    </row>
    <row r="141">
      <c r="A141" s="2" t="str">
        <f>HYPERLINK("https://www.avito.ru/kazan/bytovaya_elektronika/bambu_lab_h2d_combo_ams_2_pro_avtomaticheskiy_8053615472","8053615472")</f>
      </c>
      <c r="B141" t="s">
        <v>112</v>
      </c>
      <c r="C141" t="s">
        <v>131</v>
      </c>
      <c r="D141" t="s">
        <v>132</v>
      </c>
      <c r="E141" t="s">
        <v>38</v>
      </c>
      <c r="F141" t="s">
        <v>39</v>
      </c>
      <c r="G141" t="s">
        <v>40</v>
      </c>
      <c r="H141" s="3" t="str">
        <f>HYPERLINK("https://www.avito.ru/kazan/bytovaya_elektronika/bambu_lab_h2d_combo_ams_2_pro_avtomaticheskiy_8053615472","Bambu Lab H2D Combo AMS 2 Pro автоматический")</f>
      </c>
      <c r="I141" t="s">
        <v>91</v>
      </c>
      <c r="J141" t="s">
        <v>42</v>
      </c>
      <c r="K141" t="s">
        <v>43</v>
      </c>
      <c r="L141">
        <v>50</v>
      </c>
      <c r="M141">
        <v>321</v>
      </c>
      <c r="N141" s="4">
        <v>0.0841</v>
      </c>
      <c r="O141">
        <v>27</v>
      </c>
      <c r="P141" s="5">
        <v>2.07</v>
      </c>
      <c r="Q141" s="4">
        <v>0</v>
      </c>
      <c r="R141">
        <v>0</v>
      </c>
      <c r="S141">
        <v>0</v>
      </c>
      <c r="T141">
        <v>0</v>
      </c>
      <c r="U141">
        <v>0</v>
      </c>
      <c r="V141">
        <v>0</v>
      </c>
      <c r="W141" s="5" t="s">
        <v>65</v>
      </c>
      <c r="X141">
        <v>2</v>
      </c>
      <c r="Y141" s="4">
        <v>0</v>
      </c>
      <c r="Z141">
        <v>0</v>
      </c>
      <c r="AA141" s="5">
        <v>0</v>
      </c>
      <c r="AB141">
        <v>0</v>
      </c>
      <c r="AC141" s="5">
        <v>0</v>
      </c>
      <c r="AD141" s="5">
        <v>56</v>
      </c>
      <c r="AE141" s="5">
        <v>0</v>
      </c>
      <c r="AF141" s="5">
        <v>56</v>
      </c>
      <c r="AG141" s="5">
        <v>0</v>
      </c>
      <c r="AH141" s="5">
        <v>0</v>
      </c>
      <c r="AI141" s="5">
        <v>0</v>
      </c>
    </row>
    <row r="142">
      <c r="A142" s="2" t="str">
        <f>HYPERLINK("https://www.avito.ru/naberezhnye_chelny/bytovaya_elektronika/bambu_lab_h2d_combo_ams_2_pro_8053678860","8053678860")</f>
      </c>
      <c r="B142" t="s">
        <v>112</v>
      </c>
      <c r="C142" t="s">
        <v>113</v>
      </c>
      <c r="D142" t="s">
        <v>114</v>
      </c>
      <c r="E142" t="s">
        <v>38</v>
      </c>
      <c r="F142" t="s">
        <v>39</v>
      </c>
      <c r="G142" t="s">
        <v>40</v>
      </c>
      <c r="H142" s="3" t="str">
        <f>HYPERLINK("https://www.avito.ru/naberezhnye_chelny/bytovaya_elektronika/bambu_lab_h2d_combo_ams_2_pro_8053678860","Bambu Lab H2D Combo AMS 2 Pro")</f>
      </c>
      <c r="I142" t="s">
        <v>91</v>
      </c>
      <c r="J142" t="s">
        <v>42</v>
      </c>
      <c r="K142" t="s">
        <v>43</v>
      </c>
      <c r="L142">
        <v>50</v>
      </c>
      <c r="M142">
        <v>245</v>
      </c>
      <c r="N142" s="4">
        <v>0.1102</v>
      </c>
      <c r="O142">
        <v>27</v>
      </c>
      <c r="P142" s="5">
        <v>2.07</v>
      </c>
      <c r="Q142" s="4">
        <v>0</v>
      </c>
      <c r="R142">
        <v>0</v>
      </c>
      <c r="S142">
        <v>0</v>
      </c>
      <c r="T142">
        <v>0</v>
      </c>
      <c r="U142">
        <v>0</v>
      </c>
      <c r="V142">
        <v>0</v>
      </c>
      <c r="W142" s="5" t="s">
        <v>65</v>
      </c>
      <c r="X142">
        <v>0</v>
      </c>
      <c r="Y142" s="4">
        <v>0</v>
      </c>
      <c r="Z142">
        <v>0</v>
      </c>
      <c r="AA142" s="5">
        <v>0</v>
      </c>
      <c r="AB142">
        <v>0</v>
      </c>
      <c r="AC142" s="5">
        <v>0</v>
      </c>
      <c r="AD142" s="5">
        <v>56</v>
      </c>
      <c r="AE142" s="5">
        <v>0</v>
      </c>
      <c r="AF142" s="5">
        <v>56</v>
      </c>
      <c r="AG142" s="5">
        <v>0</v>
      </c>
      <c r="AH142" s="5">
        <v>0</v>
      </c>
      <c r="AI142" s="5">
        <v>0</v>
      </c>
    </row>
    <row r="143">
      <c r="A143" s="2" t="str">
        <f>HYPERLINK("https://www.avito.ru/novosibirsk/bytovaya_elektronika/bambu_lab_h2d_combo_ams_2_pro_3d_printer_cn_8053764420","8053764420")</f>
      </c>
      <c r="B143" t="s">
        <v>142</v>
      </c>
      <c r="C143" t="s">
        <v>143</v>
      </c>
      <c r="D143" t="s">
        <v>144</v>
      </c>
      <c r="E143" t="s">
        <v>38</v>
      </c>
      <c r="F143" t="s">
        <v>39</v>
      </c>
      <c r="G143" t="s">
        <v>40</v>
      </c>
      <c r="H143" s="3" t="str">
        <f>HYPERLINK("https://www.avito.ru/novosibirsk/bytovaya_elektronika/bambu_lab_h2d_combo_ams_2_pro_3d_printer_cn_8053764420","Bambu Lab H2D Combo AMS 2 Pro 3D принтер CN")</f>
      </c>
      <c r="I143" t="s">
        <v>41</v>
      </c>
      <c r="J143" t="s">
        <v>42</v>
      </c>
      <c r="K143" t="s">
        <v>43</v>
      </c>
      <c r="L143">
        <v>50</v>
      </c>
      <c r="M143">
        <v>284</v>
      </c>
      <c r="N143" s="4">
        <v>0.095</v>
      </c>
      <c r="O143">
        <v>27</v>
      </c>
      <c r="P143" s="5">
        <v>2.07</v>
      </c>
      <c r="Q143" s="4">
        <v>0.037</v>
      </c>
      <c r="R143">
        <v>1</v>
      </c>
      <c r="S143">
        <v>1</v>
      </c>
      <c r="T143">
        <v>0</v>
      </c>
      <c r="U143">
        <v>0</v>
      </c>
      <c r="V143">
        <v>0</v>
      </c>
      <c r="W143" s="5">
        <v>56</v>
      </c>
      <c r="X143">
        <v>0</v>
      </c>
      <c r="Y143" s="4">
        <v>0</v>
      </c>
      <c r="Z143">
        <v>0</v>
      </c>
      <c r="AA143" s="5">
        <v>0</v>
      </c>
      <c r="AB143">
        <v>0</v>
      </c>
      <c r="AC143" s="5">
        <v>0</v>
      </c>
      <c r="AD143" s="5">
        <v>56</v>
      </c>
      <c r="AE143" s="5">
        <v>0</v>
      </c>
      <c r="AF143" s="5">
        <v>56</v>
      </c>
      <c r="AG143" s="5">
        <v>0</v>
      </c>
      <c r="AH143" s="5">
        <v>0</v>
      </c>
      <c r="AI143" s="5">
        <v>0</v>
      </c>
    </row>
    <row r="144">
      <c r="A144" s="2" t="str">
        <f>HYPERLINK("https://www.avito.ru/ekaterinburg/bytovaya_elektronika/bambu_lab_h2c_combo_eu_mnogotsvetnaya_pechat_8052979573","8052979573")</f>
      </c>
      <c r="B144" t="s">
        <v>136</v>
      </c>
      <c r="C144" t="s">
        <v>137</v>
      </c>
      <c r="D144" t="s">
        <v>138</v>
      </c>
      <c r="E144" t="s">
        <v>38</v>
      </c>
      <c r="F144" t="s">
        <v>39</v>
      </c>
      <c r="G144" t="s">
        <v>40</v>
      </c>
      <c r="H144" s="3" t="str">
        <f>HYPERLINK("https://www.avito.ru/ekaterinburg/bytovaya_elektronika/bambu_lab_h2c_combo_eu_mnogotsvetnaya_pechat_8052979573","Bambu Lab H2C Combo EU многоцветная печать")</f>
      </c>
      <c r="I144" t="s">
        <v>83</v>
      </c>
      <c r="J144" t="s">
        <v>115</v>
      </c>
      <c r="K144" t="s">
        <v>116</v>
      </c>
      <c r="L144">
        <v>51</v>
      </c>
      <c r="M144">
        <v>425</v>
      </c>
      <c r="N144" s="4">
        <v>0.0611</v>
      </c>
      <c r="O144">
        <v>26</v>
      </c>
      <c r="P144" s="5">
        <v>2.15</v>
      </c>
      <c r="Q144" s="4">
        <v>0</v>
      </c>
      <c r="R144">
        <v>0</v>
      </c>
      <c r="S144">
        <v>0</v>
      </c>
      <c r="T144">
        <v>0</v>
      </c>
      <c r="U144">
        <v>0</v>
      </c>
      <c r="V144">
        <v>0</v>
      </c>
      <c r="W144" s="5" t="s">
        <v>65</v>
      </c>
      <c r="X144">
        <v>1</v>
      </c>
      <c r="Y144" s="4">
        <v>0</v>
      </c>
      <c r="Z144">
        <v>0</v>
      </c>
      <c r="AA144" s="5">
        <v>0</v>
      </c>
      <c r="AB144">
        <v>0</v>
      </c>
      <c r="AC144" s="5">
        <v>0</v>
      </c>
      <c r="AD144" s="5">
        <v>56</v>
      </c>
      <c r="AE144" s="5">
        <v>0</v>
      </c>
      <c r="AF144" s="5">
        <v>56</v>
      </c>
      <c r="AG144" s="5">
        <v>0</v>
      </c>
      <c r="AH144" s="5">
        <v>0</v>
      </c>
      <c r="AI144" s="5">
        <v>0</v>
      </c>
    </row>
    <row r="145">
      <c r="A145" s="2" t="str">
        <f>HYPERLINK("https://www.avito.ru/novokuznetsk/bytovaya_elektronika/3d_printer_h2d_combo_ams_2_pro_350_cn_8052989067","8052989067")</f>
      </c>
      <c r="B145" t="s">
        <v>99</v>
      </c>
      <c r="C145" t="s">
        <v>211</v>
      </c>
      <c r="D145" t="s">
        <v>212</v>
      </c>
      <c r="E145" t="s">
        <v>38</v>
      </c>
      <c r="F145" t="s">
        <v>39</v>
      </c>
      <c r="G145" t="s">
        <v>40</v>
      </c>
      <c r="H145" s="3" t="str">
        <f>HYPERLINK("https://www.avito.ru/novokuznetsk/bytovaya_elektronika/3d_printer_h2d_combo_ams_2_pro_350_cn_8052989067","3D принтер H2D Combo AMS 2 Pro 350 CN")</f>
      </c>
      <c r="I145" t="s">
        <v>41</v>
      </c>
      <c r="J145" t="s">
        <v>42</v>
      </c>
      <c r="K145" t="s">
        <v>43</v>
      </c>
      <c r="L145">
        <v>50</v>
      </c>
      <c r="M145">
        <v>305</v>
      </c>
      <c r="N145" s="4">
        <v>0.0852</v>
      </c>
      <c r="O145">
        <v>26</v>
      </c>
      <c r="P145" s="5">
        <v>2.15</v>
      </c>
      <c r="Q145" s="4">
        <v>0</v>
      </c>
      <c r="R145">
        <v>0</v>
      </c>
      <c r="S145">
        <v>0</v>
      </c>
      <c r="T145">
        <v>0</v>
      </c>
      <c r="U145">
        <v>0</v>
      </c>
      <c r="V145">
        <v>0</v>
      </c>
      <c r="W145" s="5" t="s">
        <v>65</v>
      </c>
      <c r="X145">
        <v>1</v>
      </c>
      <c r="Y145" s="4">
        <v>0</v>
      </c>
      <c r="Z145">
        <v>0</v>
      </c>
      <c r="AA145" s="5">
        <v>0</v>
      </c>
      <c r="AB145">
        <v>0</v>
      </c>
      <c r="AC145" s="5">
        <v>0</v>
      </c>
      <c r="AD145" s="5">
        <v>56</v>
      </c>
      <c r="AE145" s="5">
        <v>0</v>
      </c>
      <c r="AF145" s="5">
        <v>56</v>
      </c>
      <c r="AG145" s="5">
        <v>0</v>
      </c>
      <c r="AH145" s="5">
        <v>0</v>
      </c>
      <c r="AI145" s="5">
        <v>0</v>
      </c>
    </row>
    <row r="146">
      <c r="A146" s="2" t="str">
        <f>HYPERLINK("https://www.avito.ru/kazan/bytovaya_elektronika/h2d_laser_40w_eu_skorostnoy_3d_printer_8053189447","8053189447")</f>
      </c>
      <c r="B146" t="s">
        <v>112</v>
      </c>
      <c r="C146" t="s">
        <v>131</v>
      </c>
      <c r="D146" t="s">
        <v>132</v>
      </c>
      <c r="E146" t="s">
        <v>38</v>
      </c>
      <c r="F146" t="s">
        <v>39</v>
      </c>
      <c r="G146" t="s">
        <v>40</v>
      </c>
      <c r="H146" s="3" t="str">
        <f>HYPERLINK("https://www.avito.ru/kazan/bytovaya_elektronika/h2d_laser_40w_eu_skorostnoy_3d_printer_8053189447","H2D Laser 40W EU скоростной 3Д принтер")</f>
      </c>
      <c r="I146" t="s">
        <v>57</v>
      </c>
      <c r="J146" t="s">
        <v>42</v>
      </c>
      <c r="K146" t="s">
        <v>43</v>
      </c>
      <c r="L146">
        <v>50</v>
      </c>
      <c r="M146">
        <v>280</v>
      </c>
      <c r="N146" s="4">
        <v>0.0928</v>
      </c>
      <c r="O146">
        <v>26</v>
      </c>
      <c r="P146" s="5">
        <v>2.15</v>
      </c>
      <c r="Q146" s="4">
        <v>0</v>
      </c>
      <c r="R146">
        <v>0</v>
      </c>
      <c r="S146">
        <v>0</v>
      </c>
      <c r="T146">
        <v>0</v>
      </c>
      <c r="U146">
        <v>0</v>
      </c>
      <c r="V146">
        <v>0</v>
      </c>
      <c r="W146" s="5" t="s">
        <v>65</v>
      </c>
      <c r="X146">
        <v>1</v>
      </c>
      <c r="Y146" s="4">
        <v>0</v>
      </c>
      <c r="Z146">
        <v>0</v>
      </c>
      <c r="AA146" s="5">
        <v>0</v>
      </c>
      <c r="AB146">
        <v>0</v>
      </c>
      <c r="AC146" s="5">
        <v>0</v>
      </c>
      <c r="AD146" s="5">
        <v>56</v>
      </c>
      <c r="AE146" s="5">
        <v>0</v>
      </c>
      <c r="AF146" s="5">
        <v>56</v>
      </c>
      <c r="AG146" s="5">
        <v>0</v>
      </c>
      <c r="AH146" s="5">
        <v>0</v>
      </c>
      <c r="AI146" s="5">
        <v>0</v>
      </c>
    </row>
    <row r="147">
      <c r="A147" s="2" t="str">
        <f>HYPERLINK("https://www.avito.ru/novokuznetsk/bytovaya_elektronika/novyy_3d_printer_bambu_lab_h2s_combo_ams_2_pro_8053247438","8053247438")</f>
      </c>
      <c r="B147" t="s">
        <v>99</v>
      </c>
      <c r="C147" t="s">
        <v>211</v>
      </c>
      <c r="D147" t="s">
        <v>212</v>
      </c>
      <c r="E147" t="s">
        <v>38</v>
      </c>
      <c r="F147" t="s">
        <v>39</v>
      </c>
      <c r="G147" t="s">
        <v>40</v>
      </c>
      <c r="H147" s="3" t="str">
        <f>HYPERLINK("https://www.avito.ru/novokuznetsk/bytovaya_elektronika/novyy_3d_printer_bambu_lab_h2s_combo_ams_2_pro_8053247438","Новый 3D принтер Bambu Lab H2S Combo AMS 2 PRO")</f>
      </c>
      <c r="I147" t="s">
        <v>48</v>
      </c>
      <c r="J147" t="s">
        <v>115</v>
      </c>
      <c r="K147" t="s">
        <v>116</v>
      </c>
      <c r="L147">
        <v>51</v>
      </c>
      <c r="M147">
        <v>353</v>
      </c>
      <c r="N147" s="4">
        <v>0.0736</v>
      </c>
      <c r="O147">
        <v>26</v>
      </c>
      <c r="P147" s="5">
        <v>2.15</v>
      </c>
      <c r="Q147" s="4">
        <v>0</v>
      </c>
      <c r="R147">
        <v>0</v>
      </c>
      <c r="S147">
        <v>0</v>
      </c>
      <c r="T147">
        <v>0</v>
      </c>
      <c r="U147">
        <v>0</v>
      </c>
      <c r="V147">
        <v>0</v>
      </c>
      <c r="W147" s="5" t="s">
        <v>65</v>
      </c>
      <c r="X147">
        <v>0</v>
      </c>
      <c r="Y147" s="4">
        <v>0</v>
      </c>
      <c r="Z147">
        <v>0</v>
      </c>
      <c r="AA147" s="5">
        <v>0</v>
      </c>
      <c r="AB147">
        <v>0</v>
      </c>
      <c r="AC147" s="5">
        <v>0</v>
      </c>
      <c r="AD147" s="5">
        <v>56</v>
      </c>
      <c r="AE147" s="5">
        <v>0</v>
      </c>
      <c r="AF147" s="5">
        <v>56</v>
      </c>
      <c r="AG147" s="5">
        <v>0</v>
      </c>
      <c r="AH147" s="5">
        <v>0</v>
      </c>
      <c r="AI147" s="5">
        <v>0</v>
      </c>
    </row>
    <row r="148">
      <c r="A148" s="2" t="str">
        <f>HYPERLINK("https://www.avito.ru/novosibirsk/bytovaya_elektronika/3d_printer_bambu_lab_h2d_combo_ams_2_pro_eu_8052909073","8052909073")</f>
      </c>
      <c r="B148" t="s">
        <v>142</v>
      </c>
      <c r="C148" t="s">
        <v>143</v>
      </c>
      <c r="D148" t="s">
        <v>144</v>
      </c>
      <c r="E148" t="s">
        <v>38</v>
      </c>
      <c r="F148" t="s">
        <v>39</v>
      </c>
      <c r="G148" t="s">
        <v>40</v>
      </c>
      <c r="H148" s="3" t="str">
        <f>HYPERLINK("https://www.avito.ru/novosibirsk/bytovaya_elektronika/3d_printer_bambu_lab_h2d_combo_ams_2_pro_eu_8052909073","3D принтер Bambu Lab H2D Combo AMS 2 Pro EU")</f>
      </c>
      <c r="I148" t="s">
        <v>91</v>
      </c>
      <c r="J148" t="s">
        <v>42</v>
      </c>
      <c r="K148" t="s">
        <v>43</v>
      </c>
      <c r="L148">
        <v>50</v>
      </c>
      <c r="M148">
        <v>314</v>
      </c>
      <c r="N148" s="4">
        <v>0.0796</v>
      </c>
      <c r="O148">
        <v>25</v>
      </c>
      <c r="P148" s="5">
        <v>2.24</v>
      </c>
      <c r="Q148" s="4">
        <v>0</v>
      </c>
      <c r="R148">
        <v>0</v>
      </c>
      <c r="S148">
        <v>0</v>
      </c>
      <c r="T148">
        <v>0</v>
      </c>
      <c r="U148">
        <v>0</v>
      </c>
      <c r="V148">
        <v>0</v>
      </c>
      <c r="W148" s="5" t="s">
        <v>65</v>
      </c>
      <c r="X148">
        <v>1</v>
      </c>
      <c r="Y148" s="4">
        <v>0</v>
      </c>
      <c r="Z148">
        <v>0</v>
      </c>
      <c r="AA148" s="5">
        <v>0</v>
      </c>
      <c r="AB148">
        <v>0</v>
      </c>
      <c r="AC148" s="5">
        <v>0</v>
      </c>
      <c r="AD148" s="5">
        <v>56</v>
      </c>
      <c r="AE148" s="5">
        <v>0</v>
      </c>
      <c r="AF148" s="5">
        <v>56</v>
      </c>
      <c r="AG148" s="5">
        <v>0</v>
      </c>
      <c r="AH148" s="5">
        <v>0</v>
      </c>
      <c r="AI148" s="5">
        <v>0</v>
      </c>
    </row>
    <row r="149">
      <c r="A149" s="2" t="str">
        <f>HYPERLINK("https://www.avito.ru/novosibirsk/bytovaya_elektronika/elegoo_giga_storm_3d_printer_pod_zakaz_8052933479","8052933479")</f>
      </c>
      <c r="B149" t="s">
        <v>142</v>
      </c>
      <c r="C149" t="s">
        <v>143</v>
      </c>
      <c r="D149" t="s">
        <v>144</v>
      </c>
      <c r="E149" t="s">
        <v>38</v>
      </c>
      <c r="F149" t="s">
        <v>39</v>
      </c>
      <c r="G149" t="s">
        <v>40</v>
      </c>
      <c r="H149" s="3" t="str">
        <f>HYPERLINK("https://www.avito.ru/novosibirsk/bytovaya_elektronika/elegoo_giga_storm_3d_printer_pod_zakaz_8052933479","Elegoo Giga Storm 3D принтер под заказ")</f>
      </c>
      <c r="I149" t="s">
        <v>64</v>
      </c>
      <c r="J149" t="s">
        <v>42</v>
      </c>
      <c r="K149" t="s">
        <v>43</v>
      </c>
      <c r="L149">
        <v>50</v>
      </c>
      <c r="M149">
        <v>462</v>
      </c>
      <c r="N149" s="4">
        <v>0.0541</v>
      </c>
      <c r="O149">
        <v>25</v>
      </c>
      <c r="P149" s="5">
        <v>2.24</v>
      </c>
      <c r="Q149" s="4">
        <v>0</v>
      </c>
      <c r="R149">
        <v>0</v>
      </c>
      <c r="S149">
        <v>0</v>
      </c>
      <c r="T149">
        <v>0</v>
      </c>
      <c r="U149">
        <v>0</v>
      </c>
      <c r="V149">
        <v>0</v>
      </c>
      <c r="W149" s="5" t="s">
        <v>65</v>
      </c>
      <c r="X149">
        <v>1</v>
      </c>
      <c r="Y149" s="4">
        <v>0</v>
      </c>
      <c r="Z149">
        <v>0</v>
      </c>
      <c r="AA149" s="5">
        <v>0</v>
      </c>
      <c r="AB149">
        <v>0</v>
      </c>
      <c r="AC149" s="5">
        <v>0</v>
      </c>
      <c r="AD149" s="5">
        <v>56</v>
      </c>
      <c r="AE149" s="5">
        <v>0</v>
      </c>
      <c r="AF149" s="5">
        <v>56</v>
      </c>
      <c r="AG149" s="5">
        <v>0</v>
      </c>
      <c r="AH149" s="5">
        <v>0</v>
      </c>
      <c r="AI149" s="5">
        <v>0</v>
      </c>
    </row>
    <row r="150">
      <c r="A150" s="2" t="str">
        <f>HYPERLINK("https://www.avito.ru/izhevsk/bytovaya_elektronika/bambu_lab_h2d_laser_10w_eu_gibrid_3-v-1_8053063113","8053063113")</f>
      </c>
      <c r="B150" t="s">
        <v>149</v>
      </c>
      <c r="C150" t="s">
        <v>150</v>
      </c>
      <c r="D150" t="s">
        <v>151</v>
      </c>
      <c r="E150" t="s">
        <v>38</v>
      </c>
      <c r="F150" t="s">
        <v>39</v>
      </c>
      <c r="G150" t="s">
        <v>40</v>
      </c>
      <c r="H150" s="3" t="str">
        <f>HYPERLINK("https://www.avito.ru/izhevsk/bytovaya_elektronika/bambu_lab_h2d_laser_10w_eu_gibrid_3-v-1_8053063113","Bambu Lab H2D Laser 10W EU гибрид 3-в-1")</f>
      </c>
      <c r="I150" t="s">
        <v>95</v>
      </c>
      <c r="J150" t="s">
        <v>42</v>
      </c>
      <c r="K150" t="s">
        <v>43</v>
      </c>
      <c r="L150">
        <v>50</v>
      </c>
      <c r="M150">
        <v>243</v>
      </c>
      <c r="N150" s="4">
        <v>0.1028</v>
      </c>
      <c r="O150">
        <v>25</v>
      </c>
      <c r="P150" s="5">
        <v>2.24</v>
      </c>
      <c r="Q150" s="4">
        <v>0</v>
      </c>
      <c r="R150">
        <v>0</v>
      </c>
      <c r="S150">
        <v>0</v>
      </c>
      <c r="T150">
        <v>0</v>
      </c>
      <c r="U150">
        <v>0</v>
      </c>
      <c r="V150">
        <v>0</v>
      </c>
      <c r="W150" s="5" t="s">
        <v>65</v>
      </c>
      <c r="X150">
        <v>1</v>
      </c>
      <c r="Y150" s="4">
        <v>0</v>
      </c>
      <c r="Z150">
        <v>0</v>
      </c>
      <c r="AA150" s="5">
        <v>0</v>
      </c>
      <c r="AB150">
        <v>0</v>
      </c>
      <c r="AC150" s="5">
        <v>0</v>
      </c>
      <c r="AD150" s="5">
        <v>56</v>
      </c>
      <c r="AE150" s="5">
        <v>0</v>
      </c>
      <c r="AF150" s="5">
        <v>56</v>
      </c>
      <c r="AG150" s="5">
        <v>0</v>
      </c>
      <c r="AH150" s="5">
        <v>0</v>
      </c>
      <c r="AI150" s="5">
        <v>0</v>
      </c>
    </row>
    <row r="151">
      <c r="A151" s="2" t="str">
        <f>HYPERLINK("https://www.avito.ru/saratov/bytovaya_elektronika/bambu_lab_h2d_combo_ams_2_pro_avtomaticheskiy_8053210465","8053210465")</f>
      </c>
      <c r="B151" t="s">
        <v>208</v>
      </c>
      <c r="C151" t="s">
        <v>209</v>
      </c>
      <c r="D151" t="s">
        <v>210</v>
      </c>
      <c r="E151" t="s">
        <v>38</v>
      </c>
      <c r="F151" t="s">
        <v>39</v>
      </c>
      <c r="G151" t="s">
        <v>40</v>
      </c>
      <c r="H151" s="3" t="str">
        <f>HYPERLINK("https://www.avito.ru/saratov/bytovaya_elektronika/bambu_lab_h2d_combo_ams_2_pro_avtomaticheskiy_8053210465","Bambu Lab H2D Combo AMS 2 Pro автоматический")</f>
      </c>
      <c r="I151" t="s">
        <v>91</v>
      </c>
      <c r="J151" t="s">
        <v>42</v>
      </c>
      <c r="K151" t="s">
        <v>43</v>
      </c>
      <c r="L151">
        <v>50</v>
      </c>
      <c r="M151">
        <v>186</v>
      </c>
      <c r="N151" s="4">
        <v>0.1344</v>
      </c>
      <c r="O151">
        <v>25</v>
      </c>
      <c r="P151" s="5">
        <v>2.24</v>
      </c>
      <c r="Q151" s="4">
        <v>0</v>
      </c>
      <c r="R151">
        <v>0</v>
      </c>
      <c r="S151">
        <v>0</v>
      </c>
      <c r="T151">
        <v>0</v>
      </c>
      <c r="U151">
        <v>0</v>
      </c>
      <c r="V151">
        <v>0</v>
      </c>
      <c r="W151" s="5" t="s">
        <v>65</v>
      </c>
      <c r="X151">
        <v>1</v>
      </c>
      <c r="Y151" s="4">
        <v>0</v>
      </c>
      <c r="Z151">
        <v>0</v>
      </c>
      <c r="AA151" s="5">
        <v>0</v>
      </c>
      <c r="AB151">
        <v>0</v>
      </c>
      <c r="AC151" s="5">
        <v>0</v>
      </c>
      <c r="AD151" s="5">
        <v>56</v>
      </c>
      <c r="AE151" s="5">
        <v>0</v>
      </c>
      <c r="AF151" s="5">
        <v>56</v>
      </c>
      <c r="AG151" s="5">
        <v>0</v>
      </c>
      <c r="AH151" s="5">
        <v>0</v>
      </c>
      <c r="AI151" s="5">
        <v>0</v>
      </c>
    </row>
    <row r="152">
      <c r="A152" s="2" t="str">
        <f>HYPERLINK("https://www.avito.ru/krasnoyarsk/bytovaya_elektronika/bambu_lab_h2d_combo_ams_2_pro_avtomaticheskiy_8053299596","8053299596")</f>
      </c>
      <c r="B152" t="s">
        <v>139</v>
      </c>
      <c r="C152" t="s">
        <v>140</v>
      </c>
      <c r="D152" t="s">
        <v>141</v>
      </c>
      <c r="E152" t="s">
        <v>38</v>
      </c>
      <c r="F152" t="s">
        <v>39</v>
      </c>
      <c r="G152" t="s">
        <v>40</v>
      </c>
      <c r="H152" s="3" t="str">
        <f>HYPERLINK("https://www.avito.ru/krasnoyarsk/bytovaya_elektronika/bambu_lab_h2d_combo_ams_2_pro_avtomaticheskiy_8053299596","Bambu Lab H2D Combo AMS 2 Pro автоматический")</f>
      </c>
      <c r="I152" t="s">
        <v>91</v>
      </c>
      <c r="J152" t="s">
        <v>42</v>
      </c>
      <c r="K152" t="s">
        <v>43</v>
      </c>
      <c r="L152">
        <v>50</v>
      </c>
      <c r="M152">
        <v>222</v>
      </c>
      <c r="N152" s="4">
        <v>0.1126</v>
      </c>
      <c r="O152">
        <v>25</v>
      </c>
      <c r="P152" s="5">
        <v>2.24</v>
      </c>
      <c r="Q152" s="4">
        <v>0</v>
      </c>
      <c r="R152">
        <v>0</v>
      </c>
      <c r="S152">
        <v>0</v>
      </c>
      <c r="T152">
        <v>0</v>
      </c>
      <c r="U152">
        <v>0</v>
      </c>
      <c r="V152">
        <v>0</v>
      </c>
      <c r="W152" s="5" t="s">
        <v>65</v>
      </c>
      <c r="X152">
        <v>0</v>
      </c>
      <c r="Y152" s="4">
        <v>0</v>
      </c>
      <c r="Z152">
        <v>0</v>
      </c>
      <c r="AA152" s="5">
        <v>0</v>
      </c>
      <c r="AB152">
        <v>0</v>
      </c>
      <c r="AC152" s="5">
        <v>0</v>
      </c>
      <c r="AD152" s="5">
        <v>56</v>
      </c>
      <c r="AE152" s="5">
        <v>0</v>
      </c>
      <c r="AF152" s="5">
        <v>56</v>
      </c>
      <c r="AG152" s="5">
        <v>0</v>
      </c>
      <c r="AH152" s="5">
        <v>0</v>
      </c>
      <c r="AI152" s="5">
        <v>0</v>
      </c>
    </row>
    <row r="153">
      <c r="A153" s="2" t="str">
        <f>HYPERLINK("https://www.avito.ru/saratov/bytovaya_elektronika/3d_printer_p2s_combo_dlya_inzhenernyh_zadach_8053569900","8053569900")</f>
      </c>
      <c r="B153" t="s">
        <v>208</v>
      </c>
      <c r="C153" t="s">
        <v>209</v>
      </c>
      <c r="D153" t="s">
        <v>210</v>
      </c>
      <c r="E153" t="s">
        <v>38</v>
      </c>
      <c r="F153" t="s">
        <v>39</v>
      </c>
      <c r="G153" t="s">
        <v>40</v>
      </c>
      <c r="H153" s="3" t="str">
        <f>HYPERLINK("https://www.avito.ru/saratov/bytovaya_elektronika/3d_printer_p2s_combo_dlya_inzhenernyh_zadach_8053569900","3D принтер P2S Combo для инженерных задач")</f>
      </c>
      <c r="I153" t="s">
        <v>128</v>
      </c>
      <c r="J153" t="s">
        <v>115</v>
      </c>
      <c r="K153" t="s">
        <v>116</v>
      </c>
      <c r="L153">
        <v>51</v>
      </c>
      <c r="M153">
        <v>459</v>
      </c>
      <c r="N153" s="4">
        <v>0.0544</v>
      </c>
      <c r="O153">
        <v>25</v>
      </c>
      <c r="P153" s="5">
        <v>2.24</v>
      </c>
      <c r="Q153" s="4">
        <v>0</v>
      </c>
      <c r="R153">
        <v>0</v>
      </c>
      <c r="S153">
        <v>0</v>
      </c>
      <c r="T153">
        <v>0</v>
      </c>
      <c r="U153">
        <v>0</v>
      </c>
      <c r="V153">
        <v>0</v>
      </c>
      <c r="W153" s="5" t="s">
        <v>65</v>
      </c>
      <c r="X153">
        <v>2</v>
      </c>
      <c r="Y153" s="4">
        <v>0</v>
      </c>
      <c r="Z153">
        <v>0</v>
      </c>
      <c r="AA153" s="5">
        <v>0</v>
      </c>
      <c r="AB153">
        <v>0</v>
      </c>
      <c r="AC153" s="5">
        <v>0</v>
      </c>
      <c r="AD153" s="5">
        <v>56</v>
      </c>
      <c r="AE153" s="5">
        <v>0</v>
      </c>
      <c r="AF153" s="5">
        <v>56</v>
      </c>
      <c r="AG153" s="5">
        <v>0</v>
      </c>
      <c r="AH153" s="5">
        <v>0</v>
      </c>
      <c r="AI153" s="5">
        <v>0</v>
      </c>
    </row>
    <row r="154">
      <c r="A154" s="2" t="str">
        <f>HYPERLINK("https://www.avito.ru/moskva/bytovaya_elektronika/3d-printer_bambu_lab_h2c_combo_eu_novyy_8053818140","8053818140")</f>
      </c>
      <c r="B154" t="s">
        <v>35</v>
      </c>
      <c r="C154" t="s">
        <v>36</v>
      </c>
      <c r="D154" t="s">
        <v>37</v>
      </c>
      <c r="E154" t="s">
        <v>38</v>
      </c>
      <c r="F154" t="s">
        <v>39</v>
      </c>
      <c r="G154" t="s">
        <v>40</v>
      </c>
      <c r="H154" s="3" t="str">
        <f>HYPERLINK("https://www.avito.ru/moskva/bytovaya_elektronika/3d-printer_bambu_lab_h2c_combo_eu_novyy_8053818140","3D-принтер Bambu Lab H2C Combo EU новый")</f>
      </c>
      <c r="I154" t="s">
        <v>83</v>
      </c>
      <c r="J154" t="s">
        <v>115</v>
      </c>
      <c r="K154" t="s">
        <v>116</v>
      </c>
      <c r="L154">
        <v>51</v>
      </c>
      <c r="M154">
        <v>149</v>
      </c>
      <c r="N154" s="4">
        <v>0.1677</v>
      </c>
      <c r="O154">
        <v>25</v>
      </c>
      <c r="P154" s="5">
        <v>3.4</v>
      </c>
      <c r="Q154" s="4">
        <v>0</v>
      </c>
      <c r="R154">
        <v>0</v>
      </c>
      <c r="S154">
        <v>0</v>
      </c>
      <c r="T154">
        <v>0</v>
      </c>
      <c r="U154">
        <v>0</v>
      </c>
      <c r="V154">
        <v>0</v>
      </c>
      <c r="W154" s="5" t="s">
        <v>65</v>
      </c>
      <c r="X154">
        <v>1</v>
      </c>
      <c r="Y154" s="4">
        <v>0</v>
      </c>
      <c r="Z154">
        <v>0</v>
      </c>
      <c r="AA154" s="5">
        <v>0</v>
      </c>
      <c r="AB154">
        <v>0</v>
      </c>
      <c r="AC154" s="5">
        <v>0</v>
      </c>
      <c r="AD154" s="5">
        <v>85</v>
      </c>
      <c r="AE154" s="5">
        <v>0</v>
      </c>
      <c r="AF154" s="5">
        <v>85</v>
      </c>
      <c r="AG154" s="5">
        <v>0</v>
      </c>
      <c r="AH154" s="5">
        <v>0</v>
      </c>
      <c r="AI154" s="5">
        <v>0</v>
      </c>
    </row>
    <row r="155">
      <c r="A155" s="2" t="str">
        <f>HYPERLINK("https://www.avito.ru/volgograd/bytovaya_elektronika/krupnogabaritnyy_3d_printer_elegoo_giga_storm_dlya_inzhenerov_8053103935","8053103935")</f>
      </c>
      <c r="B155" t="s">
        <v>196</v>
      </c>
      <c r="C155" t="s">
        <v>197</v>
      </c>
      <c r="D155" t="s">
        <v>198</v>
      </c>
      <c r="E155" t="s">
        <v>38</v>
      </c>
      <c r="F155" t="s">
        <v>39</v>
      </c>
      <c r="G155" t="s">
        <v>40</v>
      </c>
      <c r="H155" s="3" t="str">
        <f>HYPERLINK("https://www.avito.ru/volgograd/bytovaya_elektronika/krupnogabaritnyy_3d_printer_elegoo_giga_storm_dlya_inzhenerov_8053103935","Крупногабаритный 3D принтер Elegoo Giga Storm для инженеров")</f>
      </c>
      <c r="I155" t="s">
        <v>64</v>
      </c>
      <c r="J155" t="s">
        <v>42</v>
      </c>
      <c r="K155" t="s">
        <v>43</v>
      </c>
      <c r="L155">
        <v>50</v>
      </c>
      <c r="M155">
        <v>358</v>
      </c>
      <c r="N155" s="4">
        <v>0.067</v>
      </c>
      <c r="O155">
        <v>24</v>
      </c>
      <c r="P155" s="5">
        <v>2.33</v>
      </c>
      <c r="Q155" s="4">
        <v>0</v>
      </c>
      <c r="R155">
        <v>0</v>
      </c>
      <c r="S155">
        <v>0</v>
      </c>
      <c r="T155">
        <v>0</v>
      </c>
      <c r="U155">
        <v>0</v>
      </c>
      <c r="V155">
        <v>0</v>
      </c>
      <c r="W155" s="5" t="s">
        <v>65</v>
      </c>
      <c r="X155">
        <v>2</v>
      </c>
      <c r="Y155" s="4">
        <v>0</v>
      </c>
      <c r="Z155">
        <v>0</v>
      </c>
      <c r="AA155" s="5">
        <v>0</v>
      </c>
      <c r="AB155">
        <v>0</v>
      </c>
      <c r="AC155" s="5">
        <v>0</v>
      </c>
      <c r="AD155" s="5">
        <v>56</v>
      </c>
      <c r="AE155" s="5">
        <v>0</v>
      </c>
      <c r="AF155" s="5">
        <v>56</v>
      </c>
      <c r="AG155" s="5">
        <v>0</v>
      </c>
      <c r="AH155" s="5">
        <v>0</v>
      </c>
      <c r="AI155" s="5">
        <v>0</v>
      </c>
    </row>
    <row r="156">
      <c r="A156" s="2" t="str">
        <f>HYPERLINK("https://www.avito.ru/penza/bytovaya_elektronika/bambu_lab_h2s_combo_ams_2_pro_global_8053139357","8053139357")</f>
      </c>
      <c r="B156" t="s">
        <v>204</v>
      </c>
      <c r="C156" t="s">
        <v>205</v>
      </c>
      <c r="D156" t="s">
        <v>206</v>
      </c>
      <c r="E156" t="s">
        <v>38</v>
      </c>
      <c r="F156" t="s">
        <v>39</v>
      </c>
      <c r="G156" t="s">
        <v>40</v>
      </c>
      <c r="H156" s="3" t="str">
        <f>HYPERLINK("https://www.avito.ru/penza/bytovaya_elektronika/bambu_lab_h2s_combo_ams_2_pro_global_8053139357","Bambu Lab H2S Combo AMS 2 PRO Global")</f>
      </c>
      <c r="I156" t="s">
        <v>48</v>
      </c>
      <c r="J156" t="s">
        <v>115</v>
      </c>
      <c r="K156" t="s">
        <v>116</v>
      </c>
      <c r="L156">
        <v>51</v>
      </c>
      <c r="M156">
        <v>191</v>
      </c>
      <c r="N156" s="4">
        <v>0.1256</v>
      </c>
      <c r="O156">
        <v>24</v>
      </c>
      <c r="P156" s="5">
        <v>2.33</v>
      </c>
      <c r="Q156" s="4">
        <v>0.0416</v>
      </c>
      <c r="R156">
        <v>1</v>
      </c>
      <c r="S156">
        <v>1</v>
      </c>
      <c r="T156">
        <v>0</v>
      </c>
      <c r="U156">
        <v>0</v>
      </c>
      <c r="V156">
        <v>0</v>
      </c>
      <c r="W156" s="5">
        <v>56</v>
      </c>
      <c r="X156">
        <v>1</v>
      </c>
      <c r="Y156" s="4">
        <v>0</v>
      </c>
      <c r="Z156">
        <v>0</v>
      </c>
      <c r="AA156" s="5">
        <v>0</v>
      </c>
      <c r="AB156">
        <v>0</v>
      </c>
      <c r="AC156" s="5">
        <v>0</v>
      </c>
      <c r="AD156" s="5">
        <v>56</v>
      </c>
      <c r="AE156" s="5">
        <v>0</v>
      </c>
      <c r="AF156" s="5">
        <v>56</v>
      </c>
      <c r="AG156" s="5">
        <v>0</v>
      </c>
      <c r="AH156" s="5">
        <v>0</v>
      </c>
      <c r="AI156" s="5">
        <v>0</v>
      </c>
    </row>
    <row r="157">
      <c r="A157" s="2" t="str">
        <f>HYPERLINK("https://www.avito.ru/izhevsk/bytovaya_elektronika/bambu_lab_h2d_laser_40w_eu_1000mms_8053452266","8053452266")</f>
      </c>
      <c r="B157" t="s">
        <v>149</v>
      </c>
      <c r="C157" t="s">
        <v>150</v>
      </c>
      <c r="D157" t="s">
        <v>151</v>
      </c>
      <c r="E157" t="s">
        <v>38</v>
      </c>
      <c r="F157" t="s">
        <v>39</v>
      </c>
      <c r="G157" t="s">
        <v>40</v>
      </c>
      <c r="H157" s="3" t="str">
        <f>HYPERLINK("https://www.avito.ru/izhevsk/bytovaya_elektronika/bambu_lab_h2d_laser_40w_eu_1000mms_8053452266","Bambu Lab H2D Laser 40W EU 1000mm/s")</f>
      </c>
      <c r="I157" t="s">
        <v>57</v>
      </c>
      <c r="J157" t="s">
        <v>42</v>
      </c>
      <c r="K157" t="s">
        <v>43</v>
      </c>
      <c r="L157">
        <v>50</v>
      </c>
      <c r="M157">
        <v>138</v>
      </c>
      <c r="N157" s="4">
        <v>0.1739</v>
      </c>
      <c r="O157">
        <v>24</v>
      </c>
      <c r="P157" s="5">
        <v>2.33</v>
      </c>
      <c r="Q157" s="4">
        <v>0</v>
      </c>
      <c r="R157">
        <v>0</v>
      </c>
      <c r="S157">
        <v>0</v>
      </c>
      <c r="T157">
        <v>0</v>
      </c>
      <c r="U157">
        <v>0</v>
      </c>
      <c r="V157">
        <v>0</v>
      </c>
      <c r="W157" s="5" t="s">
        <v>65</v>
      </c>
      <c r="X157">
        <v>1</v>
      </c>
      <c r="Y157" s="4">
        <v>0</v>
      </c>
      <c r="Z157">
        <v>0</v>
      </c>
      <c r="AA157" s="5">
        <v>0</v>
      </c>
      <c r="AB157">
        <v>0</v>
      </c>
      <c r="AC157" s="5">
        <v>0</v>
      </c>
      <c r="AD157" s="5">
        <v>56</v>
      </c>
      <c r="AE157" s="5">
        <v>0</v>
      </c>
      <c r="AF157" s="5">
        <v>56</v>
      </c>
      <c r="AG157" s="5">
        <v>0</v>
      </c>
      <c r="AH157" s="5">
        <v>0</v>
      </c>
      <c r="AI157" s="5">
        <v>0</v>
      </c>
    </row>
    <row r="158">
      <c r="A158" s="2" t="str">
        <f>HYPERLINK("https://www.avito.ru/ufa/bytovaya_elektronika/bambu_lab_h2s_laser_10w_stantsiya_3v1_eu_8053476377","8053476377")</f>
      </c>
      <c r="B158" t="s">
        <v>179</v>
      </c>
      <c r="C158" t="s">
        <v>180</v>
      </c>
      <c r="D158" t="s">
        <v>181</v>
      </c>
      <c r="E158" t="s">
        <v>38</v>
      </c>
      <c r="F158" t="s">
        <v>39</v>
      </c>
      <c r="G158" t="s">
        <v>40</v>
      </c>
      <c r="H158" s="3" t="str">
        <f>HYPERLINK("https://www.avito.ru/ufa/bytovaya_elektronika/bambu_lab_h2s_laser_10w_stantsiya_3v1_eu_8053476377","Bambu Lab H2S Laser 10W станция 3в1 EU")</f>
      </c>
      <c r="I158" t="s">
        <v>129</v>
      </c>
      <c r="J158" t="s">
        <v>115</v>
      </c>
      <c r="K158" t="s">
        <v>116</v>
      </c>
      <c r="L158">
        <v>51</v>
      </c>
      <c r="M158">
        <v>296</v>
      </c>
      <c r="N158" s="4">
        <v>0.081</v>
      </c>
      <c r="O158">
        <v>24</v>
      </c>
      <c r="P158" s="5">
        <v>2.33</v>
      </c>
      <c r="Q158" s="4">
        <v>0</v>
      </c>
      <c r="R158">
        <v>0</v>
      </c>
      <c r="S158">
        <v>0</v>
      </c>
      <c r="T158">
        <v>0</v>
      </c>
      <c r="U158">
        <v>0</v>
      </c>
      <c r="V158">
        <v>0</v>
      </c>
      <c r="W158" s="5" t="s">
        <v>65</v>
      </c>
      <c r="X158">
        <v>0</v>
      </c>
      <c r="Y158" s="4">
        <v>0</v>
      </c>
      <c r="Z158">
        <v>0</v>
      </c>
      <c r="AA158" s="5">
        <v>0</v>
      </c>
      <c r="AB158">
        <v>0</v>
      </c>
      <c r="AC158" s="5">
        <v>0</v>
      </c>
      <c r="AD158" s="5">
        <v>56</v>
      </c>
      <c r="AE158" s="5">
        <v>0</v>
      </c>
      <c r="AF158" s="5">
        <v>56</v>
      </c>
      <c r="AG158" s="5">
        <v>0</v>
      </c>
      <c r="AH158" s="5">
        <v>0</v>
      </c>
      <c r="AI158" s="5">
        <v>0</v>
      </c>
    </row>
    <row r="159">
      <c r="A159" s="2" t="str">
        <f>HYPERLINK("https://www.avito.ru/perm/bytovaya_elektronika/professionalnaya_seriya_h2d_laser_10w_eu_8053640772","8053640772")</f>
      </c>
      <c r="B159" t="s">
        <v>61</v>
      </c>
      <c r="C159" t="s">
        <v>62</v>
      </c>
      <c r="D159" t="s">
        <v>63</v>
      </c>
      <c r="E159" t="s">
        <v>38</v>
      </c>
      <c r="F159" t="s">
        <v>39</v>
      </c>
      <c r="G159" t="s">
        <v>40</v>
      </c>
      <c r="H159" s="3" t="str">
        <f>HYPERLINK("https://www.avito.ru/perm/bytovaya_elektronika/professionalnaya_seriya_h2d_laser_10w_eu_8053640772","Профессиональная серия H2D Laser 10W EU")</f>
      </c>
      <c r="I159" t="s">
        <v>95</v>
      </c>
      <c r="J159" t="s">
        <v>42</v>
      </c>
      <c r="K159" t="s">
        <v>102</v>
      </c>
      <c r="L159">
        <v>50</v>
      </c>
      <c r="M159">
        <v>237</v>
      </c>
      <c r="N159" s="4">
        <v>0.1012</v>
      </c>
      <c r="O159">
        <v>24</v>
      </c>
      <c r="P159" s="5">
        <v>2.33</v>
      </c>
      <c r="Q159" s="4">
        <v>0</v>
      </c>
      <c r="R159">
        <v>0</v>
      </c>
      <c r="S159">
        <v>0</v>
      </c>
      <c r="T159">
        <v>0</v>
      </c>
      <c r="U159">
        <v>0</v>
      </c>
      <c r="V159">
        <v>0</v>
      </c>
      <c r="W159" s="5" t="s">
        <v>65</v>
      </c>
      <c r="X159">
        <v>2</v>
      </c>
      <c r="Y159" s="4">
        <v>0</v>
      </c>
      <c r="Z159">
        <v>0</v>
      </c>
      <c r="AA159" s="5">
        <v>0</v>
      </c>
      <c r="AB159">
        <v>0</v>
      </c>
      <c r="AC159" s="5">
        <v>0</v>
      </c>
      <c r="AD159" s="5">
        <v>56</v>
      </c>
      <c r="AE159" s="5">
        <v>0</v>
      </c>
      <c r="AF159" s="5">
        <v>56</v>
      </c>
      <c r="AG159" s="5">
        <v>0</v>
      </c>
      <c r="AH159" s="5">
        <v>0</v>
      </c>
      <c r="AI159" s="5">
        <v>0</v>
      </c>
    </row>
    <row r="160">
      <c r="A160" s="2" t="str">
        <f>HYPERLINK("https://www.avito.ru/tyumen/bytovaya_elektronika/elegoo_giga_storm_3d_printer_dlya_biznesa_8053182367","8053182367")</f>
      </c>
      <c r="B160" t="s">
        <v>145</v>
      </c>
      <c r="C160" t="s">
        <v>146</v>
      </c>
      <c r="D160" t="s">
        <v>147</v>
      </c>
      <c r="E160" t="s">
        <v>38</v>
      </c>
      <c r="F160" t="s">
        <v>39</v>
      </c>
      <c r="G160" t="s">
        <v>40</v>
      </c>
      <c r="H160" s="3" t="str">
        <f>HYPERLINK("https://www.avito.ru/tyumen/bytovaya_elektronika/elegoo_giga_storm_3d_printer_dlya_biznesa_8053182367","Elegoo Giga Storm 3D принтер для бизнеса")</f>
      </c>
      <c r="I160" t="s">
        <v>64</v>
      </c>
      <c r="J160" t="s">
        <v>42</v>
      </c>
      <c r="K160" t="s">
        <v>43</v>
      </c>
      <c r="L160">
        <v>50</v>
      </c>
      <c r="M160">
        <v>169</v>
      </c>
      <c r="N160" s="4">
        <v>0.136</v>
      </c>
      <c r="O160">
        <v>23</v>
      </c>
      <c r="P160" s="5">
        <v>2.43</v>
      </c>
      <c r="Q160" s="4">
        <v>0</v>
      </c>
      <c r="R160">
        <v>0</v>
      </c>
      <c r="S160">
        <v>0</v>
      </c>
      <c r="T160">
        <v>0</v>
      </c>
      <c r="U160">
        <v>0</v>
      </c>
      <c r="V160">
        <v>0</v>
      </c>
      <c r="W160" s="5" t="s">
        <v>65</v>
      </c>
      <c r="X160">
        <v>3</v>
      </c>
      <c r="Y160" s="4">
        <v>0</v>
      </c>
      <c r="Z160">
        <v>0</v>
      </c>
      <c r="AA160" s="5">
        <v>0</v>
      </c>
      <c r="AB160">
        <v>0</v>
      </c>
      <c r="AC160" s="5">
        <v>0</v>
      </c>
      <c r="AD160" s="5">
        <v>56</v>
      </c>
      <c r="AE160" s="5">
        <v>0</v>
      </c>
      <c r="AF160" s="5">
        <v>56</v>
      </c>
      <c r="AG160" s="5">
        <v>0</v>
      </c>
      <c r="AH160" s="5">
        <v>0</v>
      </c>
      <c r="AI160" s="5">
        <v>0</v>
      </c>
    </row>
    <row r="161">
      <c r="A161" s="2" t="str">
        <f>HYPERLINK("https://www.avito.ru/voronezh/bytovaya_elektronika/elegoo_giga_storm_3d_printer_80h80h100_sm_novyy_8053584771","8053584771")</f>
      </c>
      <c r="B161" t="s">
        <v>109</v>
      </c>
      <c r="C161" t="s">
        <v>110</v>
      </c>
      <c r="D161" t="s">
        <v>111</v>
      </c>
      <c r="E161" t="s">
        <v>38</v>
      </c>
      <c r="F161" t="s">
        <v>39</v>
      </c>
      <c r="G161" t="s">
        <v>40</v>
      </c>
      <c r="H161" s="3" t="str">
        <f>HYPERLINK("https://www.avito.ru/voronezh/bytovaya_elektronika/elegoo_giga_storm_3d_printer_80h80h100_sm_novyy_8053584771","Elegoo Giga Storm 3D принтер 80х80х100 см Новый")</f>
      </c>
      <c r="I161" t="s">
        <v>64</v>
      </c>
      <c r="J161" t="s">
        <v>42</v>
      </c>
      <c r="K161" t="s">
        <v>43</v>
      </c>
      <c r="L161">
        <v>50</v>
      </c>
      <c r="M161">
        <v>375</v>
      </c>
      <c r="N161" s="4">
        <v>0.0613</v>
      </c>
      <c r="O161">
        <v>23</v>
      </c>
      <c r="P161" s="5">
        <v>2.43</v>
      </c>
      <c r="Q161" s="4">
        <v>0</v>
      </c>
      <c r="R161">
        <v>0</v>
      </c>
      <c r="S161">
        <v>0</v>
      </c>
      <c r="T161">
        <v>0</v>
      </c>
      <c r="U161">
        <v>0</v>
      </c>
      <c r="V161">
        <v>0</v>
      </c>
      <c r="W161" s="5" t="s">
        <v>65</v>
      </c>
      <c r="X161">
        <v>1</v>
      </c>
      <c r="Y161" s="4">
        <v>0</v>
      </c>
      <c r="Z161">
        <v>0</v>
      </c>
      <c r="AA161" s="5">
        <v>0</v>
      </c>
      <c r="AB161">
        <v>0</v>
      </c>
      <c r="AC161" s="5">
        <v>0</v>
      </c>
      <c r="AD161" s="5">
        <v>56</v>
      </c>
      <c r="AE161" s="5">
        <v>0</v>
      </c>
      <c r="AF161" s="5">
        <v>56</v>
      </c>
      <c r="AG161" s="5">
        <v>0</v>
      </c>
      <c r="AH161" s="5">
        <v>0</v>
      </c>
      <c r="AI161" s="5">
        <v>0</v>
      </c>
    </row>
    <row r="162">
      <c r="A162" s="2" t="str">
        <f>HYPERLINK("https://www.avito.ru/moskva/bytovaya_elektronika/3d_printer_bambu_lab_h2s_combo_v_nalichii_8021800703","8021800703")</f>
      </c>
      <c r="B162" t="s">
        <v>35</v>
      </c>
      <c r="C162" t="s">
        <v>36</v>
      </c>
      <c r="D162" t="s">
        <v>184</v>
      </c>
      <c r="E162" t="s">
        <v>38</v>
      </c>
      <c r="F162" t="s">
        <v>39</v>
      </c>
      <c r="G162" t="s">
        <v>40</v>
      </c>
      <c r="H162" s="3" t="str">
        <f>HYPERLINK("https://www.avito.ru/moskva/bytovaya_elektronika/3d_printer_bambu_lab_h2s_combo_v_nalichii_8021800703","3D принтер Bambu Lab H2С Combo В наличии")</f>
      </c>
      <c r="I162" t="s">
        <v>148</v>
      </c>
      <c r="J162" t="s">
        <v>185</v>
      </c>
      <c r="K162" t="s">
        <v>186</v>
      </c>
      <c r="L162">
        <v>70</v>
      </c>
      <c r="M162">
        <v>84</v>
      </c>
      <c r="N162" s="4">
        <v>0.2619</v>
      </c>
      <c r="O162">
        <v>22</v>
      </c>
      <c r="P162" s="5">
        <v>2.27</v>
      </c>
      <c r="Q162" s="4">
        <v>0</v>
      </c>
      <c r="R162">
        <v>0</v>
      </c>
      <c r="S162">
        <v>0</v>
      </c>
      <c r="T162">
        <v>0</v>
      </c>
      <c r="U162">
        <v>0</v>
      </c>
      <c r="V162">
        <v>0</v>
      </c>
      <c r="W162" s="5" t="s">
        <v>65</v>
      </c>
      <c r="X162">
        <v>4</v>
      </c>
      <c r="Y162" s="4">
        <v>0</v>
      </c>
      <c r="Z162">
        <v>0</v>
      </c>
      <c r="AA162" s="5">
        <v>0</v>
      </c>
      <c r="AB162">
        <v>0</v>
      </c>
      <c r="AC162" s="5">
        <v>0</v>
      </c>
      <c r="AD162" s="5">
        <v>50.08</v>
      </c>
      <c r="AE162" s="5">
        <v>0</v>
      </c>
      <c r="AF162" s="5">
        <v>50.08</v>
      </c>
      <c r="AG162" s="5">
        <v>0</v>
      </c>
      <c r="AH162" s="5">
        <v>0</v>
      </c>
      <c r="AI162" s="5">
        <v>0</v>
      </c>
    </row>
    <row r="163">
      <c r="A163" s="2" t="str">
        <f>HYPERLINK("https://www.avito.ru/nizhniy_novgorod/bytovaya_elektronika/bambu_lab_h2d_laser_40w_eu_350h320h325_mm_8052976427","8052976427")</f>
      </c>
      <c r="B163" t="s">
        <v>125</v>
      </c>
      <c r="C163" t="s">
        <v>126</v>
      </c>
      <c r="D163" t="s">
        <v>127</v>
      </c>
      <c r="E163" t="s">
        <v>38</v>
      </c>
      <c r="F163" t="s">
        <v>39</v>
      </c>
      <c r="G163" t="s">
        <v>40</v>
      </c>
      <c r="H163" s="3" t="str">
        <f>HYPERLINK("https://www.avito.ru/nizhniy_novgorod/bytovaya_elektronika/bambu_lab_h2d_laser_40w_eu_350h320h325_mm_8052976427","Bambu Lab H2D Laser 40W EU 350х320х325 мм")</f>
      </c>
      <c r="I163" t="s">
        <v>57</v>
      </c>
      <c r="J163" t="s">
        <v>42</v>
      </c>
      <c r="K163" t="s">
        <v>43</v>
      </c>
      <c r="L163">
        <v>50</v>
      </c>
      <c r="M163">
        <v>213</v>
      </c>
      <c r="N163" s="4">
        <v>0.1032</v>
      </c>
      <c r="O163">
        <v>22</v>
      </c>
      <c r="P163" s="5">
        <v>2.54</v>
      </c>
      <c r="Q163" s="4">
        <v>0</v>
      </c>
      <c r="R163">
        <v>0</v>
      </c>
      <c r="S163">
        <v>0</v>
      </c>
      <c r="T163">
        <v>0</v>
      </c>
      <c r="U163">
        <v>0</v>
      </c>
      <c r="V163">
        <v>0</v>
      </c>
      <c r="W163" s="5" t="s">
        <v>65</v>
      </c>
      <c r="X163">
        <v>0</v>
      </c>
      <c r="Y163" s="4">
        <v>0</v>
      </c>
      <c r="Z163">
        <v>0</v>
      </c>
      <c r="AA163" s="5">
        <v>0</v>
      </c>
      <c r="AB163">
        <v>0</v>
      </c>
      <c r="AC163" s="5">
        <v>0</v>
      </c>
      <c r="AD163" s="5">
        <v>56</v>
      </c>
      <c r="AE163" s="5">
        <v>0</v>
      </c>
      <c r="AF163" s="5">
        <v>56</v>
      </c>
      <c r="AG163" s="5">
        <v>0</v>
      </c>
      <c r="AH163" s="5">
        <v>0</v>
      </c>
      <c r="AI163" s="5">
        <v>0</v>
      </c>
    </row>
    <row r="164">
      <c r="A164" s="2" t="str">
        <f>HYPERLINK("https://www.avito.ru/tomsk/bytovaya_elektronika/3d_printer_bambu_lab_h2d_laser_40w_cn_8053230930","8053230930")</f>
      </c>
      <c r="B164" t="s">
        <v>169</v>
      </c>
      <c r="C164" t="s">
        <v>170</v>
      </c>
      <c r="D164" t="s">
        <v>171</v>
      </c>
      <c r="E164" t="s">
        <v>38</v>
      </c>
      <c r="F164" t="s">
        <v>39</v>
      </c>
      <c r="G164" t="s">
        <v>40</v>
      </c>
      <c r="H164" s="3" t="str">
        <f>HYPERLINK("https://www.avito.ru/tomsk/bytovaya_elektronika/3d_printer_bambu_lab_h2d_laser_40w_cn_8053230930","3D принтер Bambu Lab H2D Laser 40W CN")</f>
      </c>
      <c r="I164" t="s">
        <v>148</v>
      </c>
      <c r="J164" t="s">
        <v>42</v>
      </c>
      <c r="K164" t="s">
        <v>43</v>
      </c>
      <c r="L164">
        <v>50</v>
      </c>
      <c r="M164">
        <v>134</v>
      </c>
      <c r="N164" s="4">
        <v>0.1641</v>
      </c>
      <c r="O164">
        <v>22</v>
      </c>
      <c r="P164" s="5">
        <v>2.54</v>
      </c>
      <c r="Q164" s="4">
        <v>0</v>
      </c>
      <c r="R164">
        <v>0</v>
      </c>
      <c r="S164">
        <v>0</v>
      </c>
      <c r="T164">
        <v>0</v>
      </c>
      <c r="U164">
        <v>0</v>
      </c>
      <c r="V164">
        <v>0</v>
      </c>
      <c r="W164" s="5" t="s">
        <v>65</v>
      </c>
      <c r="X164">
        <v>0</v>
      </c>
      <c r="Y164" s="4">
        <v>0</v>
      </c>
      <c r="Z164">
        <v>0</v>
      </c>
      <c r="AA164" s="5">
        <v>0</v>
      </c>
      <c r="AB164">
        <v>0</v>
      </c>
      <c r="AC164" s="5">
        <v>0</v>
      </c>
      <c r="AD164" s="5">
        <v>56</v>
      </c>
      <c r="AE164" s="5">
        <v>0</v>
      </c>
      <c r="AF164" s="5">
        <v>56</v>
      </c>
      <c r="AG164" s="5">
        <v>0</v>
      </c>
      <c r="AH164" s="5">
        <v>0</v>
      </c>
      <c r="AI164" s="5">
        <v>0</v>
      </c>
    </row>
    <row r="165">
      <c r="A165" s="2" t="str">
        <f>HYPERLINK("https://www.avito.ru/lipetsk/bytovaya_elektronika/h2d_combo_ams_2_pro_promyshlennyy_3d_printer_lipetsk_8053589018","8053589018")</f>
      </c>
      <c r="B165" t="s">
        <v>187</v>
      </c>
      <c r="C165" t="s">
        <v>188</v>
      </c>
      <c r="D165" t="s">
        <v>189</v>
      </c>
      <c r="E165" t="s">
        <v>38</v>
      </c>
      <c r="F165" t="s">
        <v>39</v>
      </c>
      <c r="G165" t="s">
        <v>40</v>
      </c>
      <c r="H165" s="3" t="str">
        <f>HYPERLINK("https://www.avito.ru/lipetsk/bytovaya_elektronika/h2d_combo_ams_2_pro_promyshlennyy_3d_printer_lipetsk_8053589018","H2D Combo AMS 2 Pro промышленный 3D принтер Липецк")</f>
      </c>
      <c r="I165" t="s">
        <v>91</v>
      </c>
      <c r="J165" t="s">
        <v>42</v>
      </c>
      <c r="K165" t="s">
        <v>43</v>
      </c>
      <c r="L165">
        <v>50</v>
      </c>
      <c r="M165">
        <v>210</v>
      </c>
      <c r="N165" s="4">
        <v>0.1047</v>
      </c>
      <c r="O165">
        <v>22</v>
      </c>
      <c r="P165" s="5">
        <v>2.54</v>
      </c>
      <c r="Q165" s="4">
        <v>0</v>
      </c>
      <c r="R165">
        <v>0</v>
      </c>
      <c r="S165">
        <v>0</v>
      </c>
      <c r="T165">
        <v>0</v>
      </c>
      <c r="U165">
        <v>0</v>
      </c>
      <c r="V165">
        <v>0</v>
      </c>
      <c r="W165" s="5" t="s">
        <v>65</v>
      </c>
      <c r="X165">
        <v>1</v>
      </c>
      <c r="Y165" s="4">
        <v>0</v>
      </c>
      <c r="Z165">
        <v>0</v>
      </c>
      <c r="AA165" s="5">
        <v>0</v>
      </c>
      <c r="AB165">
        <v>0</v>
      </c>
      <c r="AC165" s="5">
        <v>0</v>
      </c>
      <c r="AD165" s="5">
        <v>56</v>
      </c>
      <c r="AE165" s="5">
        <v>0</v>
      </c>
      <c r="AF165" s="5">
        <v>56</v>
      </c>
      <c r="AG165" s="5">
        <v>0</v>
      </c>
      <c r="AH165" s="5">
        <v>0</v>
      </c>
      <c r="AI165" s="5">
        <v>0</v>
      </c>
    </row>
    <row r="166">
      <c r="A166" s="2" t="str">
        <f>HYPERLINK("https://www.avito.ru/chelyabinsk/bytovaya_elektronika/3d_printer_bambu_lab_h2d_laser_10w_eu_global_8053673026","8053673026")</f>
      </c>
      <c r="B166" t="s">
        <v>66</v>
      </c>
      <c r="C166" t="s">
        <v>67</v>
      </c>
      <c r="D166" t="s">
        <v>68</v>
      </c>
      <c r="E166" t="s">
        <v>38</v>
      </c>
      <c r="F166" t="s">
        <v>39</v>
      </c>
      <c r="G166" t="s">
        <v>40</v>
      </c>
      <c r="H166" s="3" t="str">
        <f>HYPERLINK("https://www.avito.ru/chelyabinsk/bytovaya_elektronika/3d_printer_bambu_lab_h2d_laser_10w_eu_global_8053673026","3D принтер Bambu Lab H2D Laser 10W EU (Global)")</f>
      </c>
      <c r="I166" t="s">
        <v>95</v>
      </c>
      <c r="J166" t="s">
        <v>42</v>
      </c>
      <c r="K166" t="s">
        <v>43</v>
      </c>
      <c r="L166">
        <v>50</v>
      </c>
      <c r="M166">
        <v>211</v>
      </c>
      <c r="N166" s="4">
        <v>0.1042</v>
      </c>
      <c r="O166">
        <v>22</v>
      </c>
      <c r="P166" s="5">
        <v>2.54</v>
      </c>
      <c r="Q166" s="4">
        <v>0</v>
      </c>
      <c r="R166">
        <v>0</v>
      </c>
      <c r="S166">
        <v>0</v>
      </c>
      <c r="T166">
        <v>0</v>
      </c>
      <c r="U166">
        <v>0</v>
      </c>
      <c r="V166">
        <v>0</v>
      </c>
      <c r="W166" s="5" t="s">
        <v>65</v>
      </c>
      <c r="X166">
        <v>1</v>
      </c>
      <c r="Y166" s="4">
        <v>0</v>
      </c>
      <c r="Z166">
        <v>0</v>
      </c>
      <c r="AA166" s="5">
        <v>0</v>
      </c>
      <c r="AB166">
        <v>0</v>
      </c>
      <c r="AC166" s="5">
        <v>0</v>
      </c>
      <c r="AD166" s="5">
        <v>56</v>
      </c>
      <c r="AE166" s="5">
        <v>0</v>
      </c>
      <c r="AF166" s="5">
        <v>56</v>
      </c>
      <c r="AG166" s="5">
        <v>0</v>
      </c>
      <c r="AH166" s="5">
        <v>0</v>
      </c>
      <c r="AI166" s="5">
        <v>0</v>
      </c>
    </row>
    <row r="167">
      <c r="A167" s="2" t="str">
        <f>HYPERLINK("https://www.avito.ru/tver/bytovaya_elektronika/bambu_lab_h2d_combo_ams2_pro_eu_global_versiya_8053760472","8053760472")</f>
      </c>
      <c r="B167" t="s">
        <v>213</v>
      </c>
      <c r="C167" t="s">
        <v>214</v>
      </c>
      <c r="D167" t="s">
        <v>215</v>
      </c>
      <c r="E167" t="s">
        <v>38</v>
      </c>
      <c r="F167" t="s">
        <v>39</v>
      </c>
      <c r="G167" t="s">
        <v>40</v>
      </c>
      <c r="H167" s="3" t="str">
        <f>HYPERLINK("https://www.avito.ru/tver/bytovaya_elektronika/bambu_lab_h2d_combo_ams2_pro_eu_global_versiya_8053760472","Bambu Lab H2D Combo AMS2 Pro EU Global версия")</f>
      </c>
      <c r="I167" t="s">
        <v>91</v>
      </c>
      <c r="J167" t="s">
        <v>49</v>
      </c>
      <c r="K167" t="s">
        <v>50</v>
      </c>
      <c r="L167">
        <v>52</v>
      </c>
      <c r="M167">
        <v>113</v>
      </c>
      <c r="N167" s="4">
        <v>0.1946</v>
      </c>
      <c r="O167">
        <v>22</v>
      </c>
      <c r="P167" s="5">
        <v>2.54</v>
      </c>
      <c r="Q167" s="4">
        <v>0</v>
      </c>
      <c r="R167">
        <v>0</v>
      </c>
      <c r="S167">
        <v>0</v>
      </c>
      <c r="T167">
        <v>0</v>
      </c>
      <c r="U167">
        <v>0</v>
      </c>
      <c r="V167">
        <v>0</v>
      </c>
      <c r="W167" s="5" t="s">
        <v>65</v>
      </c>
      <c r="X167">
        <v>0</v>
      </c>
      <c r="Y167" s="4">
        <v>0</v>
      </c>
      <c r="Z167">
        <v>0</v>
      </c>
      <c r="AA167" s="5">
        <v>0</v>
      </c>
      <c r="AB167">
        <v>0</v>
      </c>
      <c r="AC167" s="5">
        <v>0</v>
      </c>
      <c r="AD167" s="5">
        <v>56</v>
      </c>
      <c r="AE167" s="5">
        <v>0</v>
      </c>
      <c r="AF167" s="5">
        <v>56</v>
      </c>
      <c r="AG167" s="5">
        <v>0</v>
      </c>
      <c r="AH167" s="5">
        <v>0</v>
      </c>
      <c r="AI167" s="5">
        <v>0</v>
      </c>
    </row>
    <row r="168">
      <c r="A168" s="2" t="str">
        <f>HYPERLINK("https://www.avito.ru/habarovsk/bytovaya_elektronika/bambu_lab_h2s_combo_ams_2_pro_global_8053775511","8053775511")</f>
      </c>
      <c r="B168" t="s">
        <v>92</v>
      </c>
      <c r="C168" t="s">
        <v>93</v>
      </c>
      <c r="D168" t="s">
        <v>94</v>
      </c>
      <c r="E168" t="s">
        <v>38</v>
      </c>
      <c r="F168" t="s">
        <v>39</v>
      </c>
      <c r="G168" t="s">
        <v>40</v>
      </c>
      <c r="H168" s="3" t="str">
        <f>HYPERLINK("https://www.avito.ru/habarovsk/bytovaya_elektronika/bambu_lab_h2s_combo_ams_2_pro_global_8053775511","Bambu Lab H2S Combo AMS 2 PRO Global")</f>
      </c>
      <c r="I168" t="s">
        <v>48</v>
      </c>
      <c r="J168" t="s">
        <v>115</v>
      </c>
      <c r="K168" t="s">
        <v>116</v>
      </c>
      <c r="L168">
        <v>51</v>
      </c>
      <c r="M168">
        <v>130</v>
      </c>
      <c r="N168" s="4">
        <v>0.1692</v>
      </c>
      <c r="O168">
        <v>22</v>
      </c>
      <c r="P168" s="5">
        <v>2.54</v>
      </c>
      <c r="Q168" s="4">
        <v>0.0454</v>
      </c>
      <c r="R168">
        <v>1</v>
      </c>
      <c r="S168">
        <v>1</v>
      </c>
      <c r="T168">
        <v>0</v>
      </c>
      <c r="U168">
        <v>0</v>
      </c>
      <c r="V168">
        <v>0</v>
      </c>
      <c r="W168" s="5">
        <v>56</v>
      </c>
      <c r="X168">
        <v>0</v>
      </c>
      <c r="Y168" s="4">
        <v>0</v>
      </c>
      <c r="Z168">
        <v>0</v>
      </c>
      <c r="AA168" s="5">
        <v>0</v>
      </c>
      <c r="AB168">
        <v>0</v>
      </c>
      <c r="AC168" s="5">
        <v>0</v>
      </c>
      <c r="AD168" s="5">
        <v>56</v>
      </c>
      <c r="AE168" s="5">
        <v>0</v>
      </c>
      <c r="AF168" s="5">
        <v>56</v>
      </c>
      <c r="AG168" s="5">
        <v>0</v>
      </c>
      <c r="AH168" s="5">
        <v>0</v>
      </c>
      <c r="AI168" s="5">
        <v>0</v>
      </c>
    </row>
    <row r="169">
      <c r="A169" s="2" t="str">
        <f>HYPERLINK("https://www.avito.ru/krasnodar/bytovaya_elektronika/h2s_laser_10w_skorostnoy_3d_printer_bambu_novyy_eu_8053821863","8053821863")</f>
      </c>
      <c r="B169" t="s">
        <v>78</v>
      </c>
      <c r="C169" t="s">
        <v>79</v>
      </c>
      <c r="D169" t="s">
        <v>80</v>
      </c>
      <c r="E169" t="s">
        <v>38</v>
      </c>
      <c r="F169" t="s">
        <v>39</v>
      </c>
      <c r="G169" t="s">
        <v>40</v>
      </c>
      <c r="H169" s="3" t="str">
        <f>HYPERLINK("https://www.avito.ru/krasnodar/bytovaya_elektronika/h2s_laser_10w_skorostnoy_3d_printer_bambu_novyy_eu_8053821863","H2S Laser 10W скоростной 3D принтер Bambu Новый EU")</f>
      </c>
      <c r="I169" t="s">
        <v>129</v>
      </c>
      <c r="J169" t="s">
        <v>115</v>
      </c>
      <c r="K169" t="s">
        <v>116</v>
      </c>
      <c r="L169">
        <v>51</v>
      </c>
      <c r="M169">
        <v>224</v>
      </c>
      <c r="N169" s="4">
        <v>0.0982</v>
      </c>
      <c r="O169">
        <v>22</v>
      </c>
      <c r="P169" s="5">
        <v>2.54</v>
      </c>
      <c r="Q169" s="4">
        <v>0</v>
      </c>
      <c r="R169">
        <v>0</v>
      </c>
      <c r="S169">
        <v>0</v>
      </c>
      <c r="T169">
        <v>0</v>
      </c>
      <c r="U169">
        <v>0</v>
      </c>
      <c r="V169">
        <v>0</v>
      </c>
      <c r="W169" s="5" t="s">
        <v>65</v>
      </c>
      <c r="X169">
        <v>1</v>
      </c>
      <c r="Y169" s="4">
        <v>0</v>
      </c>
      <c r="Z169">
        <v>0</v>
      </c>
      <c r="AA169" s="5">
        <v>0</v>
      </c>
      <c r="AB169">
        <v>0</v>
      </c>
      <c r="AC169" s="5">
        <v>0</v>
      </c>
      <c r="AD169" s="5">
        <v>56</v>
      </c>
      <c r="AE169" s="5">
        <v>0</v>
      </c>
      <c r="AF169" s="5">
        <v>56</v>
      </c>
      <c r="AG169" s="5">
        <v>0</v>
      </c>
      <c r="AH169" s="5">
        <v>0</v>
      </c>
      <c r="AI169" s="5">
        <v>0</v>
      </c>
    </row>
    <row r="170">
      <c r="A170" s="2" t="str">
        <f>HYPERLINK("https://www.avito.ru/habarovsk/bytovaya_elektronika/h2d_combo_ams_2_pro_skorostnoy_3d_printer_8053850416","8053850416")</f>
      </c>
      <c r="B170" t="s">
        <v>92</v>
      </c>
      <c r="C170" t="s">
        <v>93</v>
      </c>
      <c r="D170" t="s">
        <v>94</v>
      </c>
      <c r="E170" t="s">
        <v>38</v>
      </c>
      <c r="F170" t="s">
        <v>39</v>
      </c>
      <c r="G170" t="s">
        <v>40</v>
      </c>
      <c r="H170" s="3" t="str">
        <f>HYPERLINK("https://www.avito.ru/habarovsk/bytovaya_elektronika/h2d_combo_ams_2_pro_skorostnoy_3d_printer_8053850416","H2D Combo AMS 2 Pro скоростной 3D принтер")</f>
      </c>
      <c r="I170" t="s">
        <v>91</v>
      </c>
      <c r="J170" t="s">
        <v>42</v>
      </c>
      <c r="K170" t="s">
        <v>43</v>
      </c>
      <c r="L170">
        <v>50</v>
      </c>
      <c r="M170">
        <v>167</v>
      </c>
      <c r="N170" s="4">
        <v>0.1317</v>
      </c>
      <c r="O170">
        <v>22</v>
      </c>
      <c r="P170" s="5">
        <v>2.54</v>
      </c>
      <c r="Q170" s="4">
        <v>0</v>
      </c>
      <c r="R170">
        <v>0</v>
      </c>
      <c r="S170">
        <v>0</v>
      </c>
      <c r="T170">
        <v>0</v>
      </c>
      <c r="U170">
        <v>0</v>
      </c>
      <c r="V170">
        <v>0</v>
      </c>
      <c r="W170" s="5" t="s">
        <v>65</v>
      </c>
      <c r="X170">
        <v>0</v>
      </c>
      <c r="Y170" s="4">
        <v>0</v>
      </c>
      <c r="Z170">
        <v>0</v>
      </c>
      <c r="AA170" s="5">
        <v>0</v>
      </c>
      <c r="AB170">
        <v>0</v>
      </c>
      <c r="AC170" s="5">
        <v>0</v>
      </c>
      <c r="AD170" s="5">
        <v>56</v>
      </c>
      <c r="AE170" s="5">
        <v>0</v>
      </c>
      <c r="AF170" s="5">
        <v>56</v>
      </c>
      <c r="AG170" s="5">
        <v>0</v>
      </c>
      <c r="AH170" s="5">
        <v>0</v>
      </c>
      <c r="AI170" s="5">
        <v>0</v>
      </c>
    </row>
    <row r="171">
      <c r="A171" s="2" t="str">
        <f>HYPERLINK("https://www.avito.ru/chelyabinsk/bytovaya_elektronika/3d_printer_bambu_lab_h2s_laser_10w_eu-versiya_eu_8053853406","8053853406")</f>
      </c>
      <c r="B171" t="s">
        <v>66</v>
      </c>
      <c r="C171" t="s">
        <v>67</v>
      </c>
      <c r="D171" t="s">
        <v>68</v>
      </c>
      <c r="E171" t="s">
        <v>38</v>
      </c>
      <c r="F171" t="s">
        <v>39</v>
      </c>
      <c r="G171" t="s">
        <v>40</v>
      </c>
      <c r="H171" s="3" t="str">
        <f>HYPERLINK("https://www.avito.ru/chelyabinsk/bytovaya_elektronika/3d_printer_bambu_lab_h2s_laser_10w_eu-versiya_eu_8053853406","3D принтер Bambu Lab H2S Laser 10W EU-версия EU")</f>
      </c>
      <c r="I171" t="s">
        <v>129</v>
      </c>
      <c r="J171" t="s">
        <v>115</v>
      </c>
      <c r="K171" t="s">
        <v>116</v>
      </c>
      <c r="L171">
        <v>51</v>
      </c>
      <c r="M171">
        <v>263</v>
      </c>
      <c r="N171" s="4">
        <v>0.0836</v>
      </c>
      <c r="O171">
        <v>22</v>
      </c>
      <c r="P171" s="5">
        <v>2.54</v>
      </c>
      <c r="Q171" s="4">
        <v>0</v>
      </c>
      <c r="R171">
        <v>0</v>
      </c>
      <c r="S171">
        <v>0</v>
      </c>
      <c r="T171">
        <v>0</v>
      </c>
      <c r="U171">
        <v>0</v>
      </c>
      <c r="V171">
        <v>0</v>
      </c>
      <c r="W171" s="5" t="s">
        <v>65</v>
      </c>
      <c r="X171">
        <v>0</v>
      </c>
      <c r="Y171" s="4">
        <v>0</v>
      </c>
      <c r="Z171">
        <v>0</v>
      </c>
      <c r="AA171" s="5">
        <v>0</v>
      </c>
      <c r="AB171">
        <v>0</v>
      </c>
      <c r="AC171" s="5">
        <v>0</v>
      </c>
      <c r="AD171" s="5">
        <v>56</v>
      </c>
      <c r="AE171" s="5">
        <v>0</v>
      </c>
      <c r="AF171" s="5">
        <v>56</v>
      </c>
      <c r="AG171" s="5">
        <v>0</v>
      </c>
      <c r="AH171" s="5">
        <v>0</v>
      </c>
      <c r="AI171" s="5">
        <v>0</v>
      </c>
    </row>
    <row r="172">
      <c r="A172" s="2" t="str">
        <f>HYPERLINK("https://www.avito.ru/tolyatti/bytovaya_elektronika/novyy_3d_printer_elegoo_giga_storm_8052907813","8052907813")</f>
      </c>
      <c r="B172" t="s">
        <v>173</v>
      </c>
      <c r="C172" t="s">
        <v>216</v>
      </c>
      <c r="D172" t="s">
        <v>217</v>
      </c>
      <c r="E172" t="s">
        <v>38</v>
      </c>
      <c r="F172" t="s">
        <v>39</v>
      </c>
      <c r="G172" t="s">
        <v>40</v>
      </c>
      <c r="H172" s="3" t="str">
        <f>HYPERLINK("https://www.avito.ru/tolyatti/bytovaya_elektronika/novyy_3d_printer_elegoo_giga_storm_8052907813","Новый 3D принтер Elegoo Giga Storm")</f>
      </c>
      <c r="I172" t="s">
        <v>64</v>
      </c>
      <c r="J172" t="s">
        <v>42</v>
      </c>
      <c r="K172" t="s">
        <v>43</v>
      </c>
      <c r="L172">
        <v>50</v>
      </c>
      <c r="M172">
        <v>984</v>
      </c>
      <c r="N172" s="4">
        <v>0.0213</v>
      </c>
      <c r="O172">
        <v>21</v>
      </c>
      <c r="P172" s="5">
        <v>2.66</v>
      </c>
      <c r="Q172" s="4">
        <v>0</v>
      </c>
      <c r="R172">
        <v>0</v>
      </c>
      <c r="S172">
        <v>0</v>
      </c>
      <c r="T172">
        <v>0</v>
      </c>
      <c r="U172">
        <v>0</v>
      </c>
      <c r="V172">
        <v>0</v>
      </c>
      <c r="W172" s="5" t="s">
        <v>65</v>
      </c>
      <c r="X172">
        <v>2</v>
      </c>
      <c r="Y172" s="4">
        <v>0</v>
      </c>
      <c r="Z172">
        <v>0</v>
      </c>
      <c r="AA172" s="5">
        <v>0</v>
      </c>
      <c r="AB172">
        <v>0</v>
      </c>
      <c r="AC172" s="5">
        <v>0</v>
      </c>
      <c r="AD172" s="5">
        <v>56</v>
      </c>
      <c r="AE172" s="5">
        <v>0</v>
      </c>
      <c r="AF172" s="5">
        <v>56</v>
      </c>
      <c r="AG172" s="5">
        <v>0</v>
      </c>
      <c r="AH172" s="5">
        <v>0</v>
      </c>
      <c r="AI172" s="5">
        <v>0</v>
      </c>
    </row>
    <row r="173">
      <c r="A173" s="2" t="str">
        <f>HYPERLINK("https://www.avito.ru/tula/bytovaya_elektronika/h2d_combo_ams_2_pro_3d_printer_1000_mmsek_8052953045","8052953045")</f>
      </c>
      <c r="B173" t="s">
        <v>152</v>
      </c>
      <c r="C173" t="s">
        <v>153</v>
      </c>
      <c r="D173" t="s">
        <v>154</v>
      </c>
      <c r="E173" t="s">
        <v>38</v>
      </c>
      <c r="F173" t="s">
        <v>39</v>
      </c>
      <c r="G173" t="s">
        <v>40</v>
      </c>
      <c r="H173" s="3" t="str">
        <f>HYPERLINK("https://www.avito.ru/tula/bytovaya_elektronika/h2d_combo_ams_2_pro_3d_printer_1000_mmsek_8052953045","H2D Combo AMS 2 Pro 3D принтер 1000 мм/сек")</f>
      </c>
      <c r="I173" t="s">
        <v>91</v>
      </c>
      <c r="J173" t="s">
        <v>42</v>
      </c>
      <c r="K173" t="s">
        <v>43</v>
      </c>
      <c r="L173">
        <v>50</v>
      </c>
      <c r="M173">
        <v>177</v>
      </c>
      <c r="N173" s="4">
        <v>0.1186</v>
      </c>
      <c r="O173">
        <v>21</v>
      </c>
      <c r="P173" s="5">
        <v>2.66</v>
      </c>
      <c r="Q173" s="4">
        <v>0</v>
      </c>
      <c r="R173">
        <v>0</v>
      </c>
      <c r="S173">
        <v>0</v>
      </c>
      <c r="T173">
        <v>0</v>
      </c>
      <c r="U173">
        <v>0</v>
      </c>
      <c r="V173">
        <v>0</v>
      </c>
      <c r="W173" s="5" t="s">
        <v>65</v>
      </c>
      <c r="X173">
        <v>0</v>
      </c>
      <c r="Y173" s="4">
        <v>0</v>
      </c>
      <c r="Z173">
        <v>0</v>
      </c>
      <c r="AA173" s="5">
        <v>0</v>
      </c>
      <c r="AB173">
        <v>0</v>
      </c>
      <c r="AC173" s="5">
        <v>0</v>
      </c>
      <c r="AD173" s="5">
        <v>56</v>
      </c>
      <c r="AE173" s="5">
        <v>0</v>
      </c>
      <c r="AF173" s="5">
        <v>56</v>
      </c>
      <c r="AG173" s="5">
        <v>0</v>
      </c>
      <c r="AH173" s="5">
        <v>0</v>
      </c>
      <c r="AI173" s="5">
        <v>0</v>
      </c>
    </row>
    <row r="174">
      <c r="A174" s="2" t="str">
        <f>HYPERLINK("https://www.avito.ru/rostov-na-donu/bytovaya_elektronika/bambu_lab_h2c_ams_combo_325x320x325_8053024396","8053024396")</f>
      </c>
      <c r="B174" t="s">
        <v>88</v>
      </c>
      <c r="C174" t="s">
        <v>89</v>
      </c>
      <c r="D174" t="s">
        <v>90</v>
      </c>
      <c r="E174" t="s">
        <v>38</v>
      </c>
      <c r="F174" t="s">
        <v>39</v>
      </c>
      <c r="G174" t="s">
        <v>40</v>
      </c>
      <c r="H174" s="3" t="str">
        <f>HYPERLINK("https://www.avito.ru/rostov-na-donu/bytovaya_elektronika/bambu_lab_h2c_ams_combo_325x320x325_8053024396","Bambu Lab H2C AMS Combo 325x320x325")</f>
      </c>
      <c r="I174" t="s">
        <v>83</v>
      </c>
      <c r="J174" t="s">
        <v>49</v>
      </c>
      <c r="K174" t="s">
        <v>50</v>
      </c>
      <c r="L174">
        <v>52</v>
      </c>
      <c r="M174">
        <v>95</v>
      </c>
      <c r="N174" s="4">
        <v>0.221</v>
      </c>
      <c r="O174">
        <v>21</v>
      </c>
      <c r="P174" s="5">
        <v>2.66</v>
      </c>
      <c r="Q174" s="4">
        <v>0</v>
      </c>
      <c r="R174">
        <v>0</v>
      </c>
      <c r="S174">
        <v>0</v>
      </c>
      <c r="T174">
        <v>0</v>
      </c>
      <c r="U174">
        <v>0</v>
      </c>
      <c r="V174">
        <v>0</v>
      </c>
      <c r="W174" s="5" t="s">
        <v>65</v>
      </c>
      <c r="X174">
        <v>1</v>
      </c>
      <c r="Y174" s="4">
        <v>0</v>
      </c>
      <c r="Z174">
        <v>0</v>
      </c>
      <c r="AA174" s="5">
        <v>0</v>
      </c>
      <c r="AB174">
        <v>0</v>
      </c>
      <c r="AC174" s="5">
        <v>0</v>
      </c>
      <c r="AD174" s="5">
        <v>56</v>
      </c>
      <c r="AE174" s="5">
        <v>0</v>
      </c>
      <c r="AF174" s="5">
        <v>56</v>
      </c>
      <c r="AG174" s="5">
        <v>0</v>
      </c>
      <c r="AH174" s="5">
        <v>0</v>
      </c>
      <c r="AI174" s="5">
        <v>0</v>
      </c>
    </row>
    <row r="175">
      <c r="A175" s="2" t="str">
        <f>HYPERLINK("https://www.avito.ru/ekaterinburg/bytovaya_elektronika/h2d_combo_ams_2_pro_printer_3d_bambu_lab_8053026985","8053026985")</f>
      </c>
      <c r="B175" t="s">
        <v>136</v>
      </c>
      <c r="C175" t="s">
        <v>137</v>
      </c>
      <c r="D175" t="s">
        <v>138</v>
      </c>
      <c r="E175" t="s">
        <v>38</v>
      </c>
      <c r="F175" t="s">
        <v>39</v>
      </c>
      <c r="G175" t="s">
        <v>40</v>
      </c>
      <c r="H175" s="3" t="str">
        <f>HYPERLINK("https://www.avito.ru/ekaterinburg/bytovaya_elektronika/h2d_combo_ams_2_pro_printer_3d_bambu_lab_8053026985","H2D Combo AMS 2 Pro принтер 3D Bambu Lab")</f>
      </c>
      <c r="I175" t="s">
        <v>91</v>
      </c>
      <c r="J175" t="s">
        <v>42</v>
      </c>
      <c r="K175" t="s">
        <v>43</v>
      </c>
      <c r="L175">
        <v>50</v>
      </c>
      <c r="M175">
        <v>215</v>
      </c>
      <c r="N175" s="4">
        <v>0.0976</v>
      </c>
      <c r="O175">
        <v>21</v>
      </c>
      <c r="P175" s="5">
        <v>2.66</v>
      </c>
      <c r="Q175" s="4">
        <v>0</v>
      </c>
      <c r="R175">
        <v>0</v>
      </c>
      <c r="S175">
        <v>0</v>
      </c>
      <c r="T175">
        <v>0</v>
      </c>
      <c r="U175">
        <v>0</v>
      </c>
      <c r="V175">
        <v>0</v>
      </c>
      <c r="W175" s="5" t="s">
        <v>65</v>
      </c>
      <c r="X175">
        <v>1</v>
      </c>
      <c r="Y175" s="4">
        <v>0</v>
      </c>
      <c r="Z175">
        <v>0</v>
      </c>
      <c r="AA175" s="5">
        <v>0</v>
      </c>
      <c r="AB175">
        <v>0</v>
      </c>
      <c r="AC175" s="5">
        <v>0</v>
      </c>
      <c r="AD175" s="5">
        <v>56</v>
      </c>
      <c r="AE175" s="5">
        <v>0</v>
      </c>
      <c r="AF175" s="5">
        <v>56</v>
      </c>
      <c r="AG175" s="5">
        <v>0</v>
      </c>
      <c r="AH175" s="5">
        <v>0</v>
      </c>
      <c r="AI175" s="5">
        <v>0</v>
      </c>
    </row>
    <row r="176">
      <c r="A176" s="2" t="str">
        <f>HYPERLINK("https://www.avito.ru/ufa/bytovaya_elektronika/3d_printer_h2d_combo_ams_2_pro_340h320h340_8053064737","8053064737")</f>
      </c>
      <c r="B176" t="s">
        <v>179</v>
      </c>
      <c r="C176" t="s">
        <v>180</v>
      </c>
      <c r="D176" t="s">
        <v>181</v>
      </c>
      <c r="E176" t="s">
        <v>38</v>
      </c>
      <c r="F176" t="s">
        <v>39</v>
      </c>
      <c r="G176" t="s">
        <v>40</v>
      </c>
      <c r="H176" s="3" t="str">
        <f>HYPERLINK("https://www.avito.ru/ufa/bytovaya_elektronika/3d_printer_h2d_combo_ams_2_pro_340h320h340_8053064737","3Д принтер H2D Combo AMS 2 Pro 340х320х340")</f>
      </c>
      <c r="I176" t="s">
        <v>91</v>
      </c>
      <c r="J176" t="s">
        <v>42</v>
      </c>
      <c r="K176" t="s">
        <v>43</v>
      </c>
      <c r="L176">
        <v>50</v>
      </c>
      <c r="M176">
        <v>278</v>
      </c>
      <c r="N176" s="4">
        <v>0.0755</v>
      </c>
      <c r="O176">
        <v>21</v>
      </c>
      <c r="P176" s="5">
        <v>2.66</v>
      </c>
      <c r="Q176" s="4">
        <v>0</v>
      </c>
      <c r="R176">
        <v>0</v>
      </c>
      <c r="S176">
        <v>0</v>
      </c>
      <c r="T176">
        <v>0</v>
      </c>
      <c r="U176">
        <v>0</v>
      </c>
      <c r="V176">
        <v>0</v>
      </c>
      <c r="W176" s="5" t="s">
        <v>65</v>
      </c>
      <c r="X176">
        <v>1</v>
      </c>
      <c r="Y176" s="4">
        <v>0</v>
      </c>
      <c r="Z176">
        <v>0</v>
      </c>
      <c r="AA176" s="5">
        <v>0</v>
      </c>
      <c r="AB176">
        <v>0</v>
      </c>
      <c r="AC176" s="5">
        <v>0</v>
      </c>
      <c r="AD176" s="5">
        <v>56</v>
      </c>
      <c r="AE176" s="5">
        <v>0</v>
      </c>
      <c r="AF176" s="5">
        <v>56</v>
      </c>
      <c r="AG176" s="5">
        <v>0</v>
      </c>
      <c r="AH176" s="5">
        <v>0</v>
      </c>
      <c r="AI176" s="5">
        <v>0</v>
      </c>
    </row>
    <row r="177">
      <c r="A177" s="2" t="str">
        <f>HYPERLINK("https://www.avito.ru/orenburg/bytovaya_elektronika/3d_printer_h2d_combo_ams_2_pro_dlya_studiy_cn_8053123753","8053123753")</f>
      </c>
      <c r="B177" t="s">
        <v>193</v>
      </c>
      <c r="C177" t="s">
        <v>194</v>
      </c>
      <c r="D177" t="s">
        <v>195</v>
      </c>
      <c r="E177" t="s">
        <v>38</v>
      </c>
      <c r="F177" t="s">
        <v>39</v>
      </c>
      <c r="G177" t="s">
        <v>40</v>
      </c>
      <c r="H177" s="3" t="str">
        <f>HYPERLINK("https://www.avito.ru/orenburg/bytovaya_elektronika/3d_printer_h2d_combo_ams_2_pro_dlya_studiy_cn_8053123753","3Д принтер H2D Combo AMS 2 Pro для студий CN")</f>
      </c>
      <c r="I177" t="s">
        <v>41</v>
      </c>
      <c r="J177" t="s">
        <v>42</v>
      </c>
      <c r="K177" t="s">
        <v>43</v>
      </c>
      <c r="L177">
        <v>50</v>
      </c>
      <c r="M177">
        <v>250</v>
      </c>
      <c r="N177" s="4">
        <v>0.084</v>
      </c>
      <c r="O177">
        <v>21</v>
      </c>
      <c r="P177" s="5">
        <v>2.66</v>
      </c>
      <c r="Q177" s="4">
        <v>0</v>
      </c>
      <c r="R177">
        <v>0</v>
      </c>
      <c r="S177">
        <v>0</v>
      </c>
      <c r="T177">
        <v>0</v>
      </c>
      <c r="U177">
        <v>0</v>
      </c>
      <c r="V177">
        <v>0</v>
      </c>
      <c r="W177" s="5" t="s">
        <v>65</v>
      </c>
      <c r="X177">
        <v>2</v>
      </c>
      <c r="Y177" s="4">
        <v>0</v>
      </c>
      <c r="Z177">
        <v>0</v>
      </c>
      <c r="AA177" s="5">
        <v>0</v>
      </c>
      <c r="AB177">
        <v>0</v>
      </c>
      <c r="AC177" s="5">
        <v>0</v>
      </c>
      <c r="AD177" s="5">
        <v>56</v>
      </c>
      <c r="AE177" s="5">
        <v>0</v>
      </c>
      <c r="AF177" s="5">
        <v>56</v>
      </c>
      <c r="AG177" s="5">
        <v>0</v>
      </c>
      <c r="AH177" s="5">
        <v>0</v>
      </c>
      <c r="AI177" s="5">
        <v>0</v>
      </c>
    </row>
    <row r="178">
      <c r="A178" s="2" t="str">
        <f>HYPERLINK("https://www.avito.ru/barnaul/bytovaya_elektronika/h2c_ams_combo_3d_printer_bambu_lab_eu_versiya_dlya_biznesa_8053139233","8053139233")</f>
      </c>
      <c r="B178" t="s">
        <v>158</v>
      </c>
      <c r="C178" t="s">
        <v>159</v>
      </c>
      <c r="D178" t="s">
        <v>160</v>
      </c>
      <c r="E178" t="s">
        <v>38</v>
      </c>
      <c r="F178" t="s">
        <v>39</v>
      </c>
      <c r="G178" t="s">
        <v>40</v>
      </c>
      <c r="H178" s="3" t="str">
        <f>HYPERLINK("https://www.avito.ru/barnaul/bytovaya_elektronika/h2c_ams_combo_3d_printer_bambu_lab_eu_versiya_dlya_biznesa_8053139233","H2C AMS Combo 3D принтер Bambu Lab EU версия для бизнеса")</f>
      </c>
      <c r="I178" t="s">
        <v>83</v>
      </c>
      <c r="J178" t="s">
        <v>49</v>
      </c>
      <c r="K178" t="s">
        <v>50</v>
      </c>
      <c r="L178">
        <v>52</v>
      </c>
      <c r="M178">
        <v>88</v>
      </c>
      <c r="N178" s="4">
        <v>0.2386</v>
      </c>
      <c r="O178">
        <v>21</v>
      </c>
      <c r="P178" s="5">
        <v>2.66</v>
      </c>
      <c r="Q178" s="4">
        <v>0</v>
      </c>
      <c r="R178">
        <v>0</v>
      </c>
      <c r="S178">
        <v>0</v>
      </c>
      <c r="T178">
        <v>0</v>
      </c>
      <c r="U178">
        <v>0</v>
      </c>
      <c r="V178">
        <v>0</v>
      </c>
      <c r="W178" s="5" t="s">
        <v>65</v>
      </c>
      <c r="X178">
        <v>1</v>
      </c>
      <c r="Y178" s="4">
        <v>0</v>
      </c>
      <c r="Z178">
        <v>0</v>
      </c>
      <c r="AA178" s="5">
        <v>0</v>
      </c>
      <c r="AB178">
        <v>0</v>
      </c>
      <c r="AC178" s="5">
        <v>0</v>
      </c>
      <c r="AD178" s="5">
        <v>56</v>
      </c>
      <c r="AE178" s="5">
        <v>0</v>
      </c>
      <c r="AF178" s="5">
        <v>56</v>
      </c>
      <c r="AG178" s="5">
        <v>0</v>
      </c>
      <c r="AH178" s="5">
        <v>0</v>
      </c>
      <c r="AI178" s="5">
        <v>0</v>
      </c>
    </row>
    <row r="179">
      <c r="A179" s="2" t="str">
        <f>HYPERLINK("https://www.avito.ru/tomsk/bytovaya_elektronika/bambu_lab_h2d_combo_ams2_pro_eu_novyy_8053305419","8053305419")</f>
      </c>
      <c r="B179" t="s">
        <v>169</v>
      </c>
      <c r="C179" t="s">
        <v>170</v>
      </c>
      <c r="D179" t="s">
        <v>218</v>
      </c>
      <c r="E179" t="s">
        <v>38</v>
      </c>
      <c r="F179" t="s">
        <v>39</v>
      </c>
      <c r="G179" t="s">
        <v>40</v>
      </c>
      <c r="H179" s="3" t="str">
        <f>HYPERLINK("https://www.avito.ru/tomsk/bytovaya_elektronika/bambu_lab_h2d_combo_ams2_pro_eu_novyy_8053305419","Bambu Lab H2D Combo AMS2 Pro EU новый")</f>
      </c>
      <c r="I179" t="s">
        <v>91</v>
      </c>
      <c r="J179" t="s">
        <v>49</v>
      </c>
      <c r="K179" t="s">
        <v>50</v>
      </c>
      <c r="L179">
        <v>52</v>
      </c>
      <c r="M179">
        <v>211</v>
      </c>
      <c r="N179" s="4">
        <v>0.0995</v>
      </c>
      <c r="O179">
        <v>21</v>
      </c>
      <c r="P179" s="5">
        <v>2.66</v>
      </c>
      <c r="Q179" s="4">
        <v>0.0476</v>
      </c>
      <c r="R179">
        <v>1</v>
      </c>
      <c r="S179">
        <v>1</v>
      </c>
      <c r="T179">
        <v>0</v>
      </c>
      <c r="U179">
        <v>0</v>
      </c>
      <c r="V179">
        <v>0</v>
      </c>
      <c r="W179" s="5">
        <v>56</v>
      </c>
      <c r="X179">
        <v>1</v>
      </c>
      <c r="Y179" s="4">
        <v>0</v>
      </c>
      <c r="Z179">
        <v>0</v>
      </c>
      <c r="AA179" s="5">
        <v>0</v>
      </c>
      <c r="AB179">
        <v>0</v>
      </c>
      <c r="AC179" s="5">
        <v>0</v>
      </c>
      <c r="AD179" s="5">
        <v>56</v>
      </c>
      <c r="AE179" s="5">
        <v>0</v>
      </c>
      <c r="AF179" s="5">
        <v>56</v>
      </c>
      <c r="AG179" s="5">
        <v>0</v>
      </c>
      <c r="AH179" s="5">
        <v>0</v>
      </c>
      <c r="AI179" s="5">
        <v>0</v>
      </c>
    </row>
    <row r="180">
      <c r="A180" s="2" t="str">
        <f>HYPERLINK("https://www.avito.ru/irkutsk/bytovaya_elektronika/bambu_lab_h2d_laser_40w_eu_global_versiya_8053524320","8053524320")</f>
      </c>
      <c r="B180" t="s">
        <v>133</v>
      </c>
      <c r="C180" t="s">
        <v>134</v>
      </c>
      <c r="D180" t="s">
        <v>135</v>
      </c>
      <c r="E180" t="s">
        <v>38</v>
      </c>
      <c r="F180" t="s">
        <v>39</v>
      </c>
      <c r="G180" t="s">
        <v>40</v>
      </c>
      <c r="H180" s="3" t="str">
        <f>HYPERLINK("https://www.avito.ru/irkutsk/bytovaya_elektronika/bambu_lab_h2d_laser_40w_eu_global_versiya_8053524320","Bambu Lab H2D Laser 40W EU (Global версия)")</f>
      </c>
      <c r="I180" t="s">
        <v>57</v>
      </c>
      <c r="J180" t="s">
        <v>42</v>
      </c>
      <c r="K180" t="s">
        <v>43</v>
      </c>
      <c r="L180">
        <v>50</v>
      </c>
      <c r="M180">
        <v>164</v>
      </c>
      <c r="N180" s="4">
        <v>0.128</v>
      </c>
      <c r="O180">
        <v>21</v>
      </c>
      <c r="P180" s="5">
        <v>2.66</v>
      </c>
      <c r="Q180" s="4">
        <v>0</v>
      </c>
      <c r="R180">
        <v>0</v>
      </c>
      <c r="S180">
        <v>0</v>
      </c>
      <c r="T180">
        <v>0</v>
      </c>
      <c r="U180">
        <v>0</v>
      </c>
      <c r="V180">
        <v>0</v>
      </c>
      <c r="W180" s="5" t="s">
        <v>65</v>
      </c>
      <c r="X180">
        <v>1</v>
      </c>
      <c r="Y180" s="4">
        <v>0</v>
      </c>
      <c r="Z180">
        <v>0</v>
      </c>
      <c r="AA180" s="5">
        <v>0</v>
      </c>
      <c r="AB180">
        <v>0</v>
      </c>
      <c r="AC180" s="5">
        <v>0</v>
      </c>
      <c r="AD180" s="5">
        <v>56</v>
      </c>
      <c r="AE180" s="5">
        <v>0</v>
      </c>
      <c r="AF180" s="5">
        <v>56</v>
      </c>
      <c r="AG180" s="5">
        <v>0</v>
      </c>
      <c r="AH180" s="5">
        <v>0</v>
      </c>
      <c r="AI180" s="5">
        <v>0</v>
      </c>
    </row>
    <row r="181">
      <c r="A181" s="2" t="str">
        <f>HYPERLINK("https://www.avito.ru/krasnoyarsk/bytovaya_elektronika/bambu_lab_h2c_combo_ams_cn_s_podogrevom_kamery_8053596782","8053596782")</f>
      </c>
      <c r="B181" t="s">
        <v>139</v>
      </c>
      <c r="C181" t="s">
        <v>140</v>
      </c>
      <c r="D181" t="s">
        <v>141</v>
      </c>
      <c r="E181" t="s">
        <v>38</v>
      </c>
      <c r="F181" t="s">
        <v>39</v>
      </c>
      <c r="G181" t="s">
        <v>40</v>
      </c>
      <c r="H181" s="3" t="str">
        <f>HYPERLINK("https://www.avito.ru/krasnoyarsk/bytovaya_elektronika/bambu_lab_h2c_combo_ams_cn_s_podogrevom_kamery_8053596782","Bambu Lab H2C Combo AMS CN с подогревом камеры")</f>
      </c>
      <c r="I181" t="s">
        <v>163</v>
      </c>
      <c r="J181" t="s">
        <v>115</v>
      </c>
      <c r="K181" t="s">
        <v>116</v>
      </c>
      <c r="L181">
        <v>51</v>
      </c>
      <c r="M181">
        <v>144</v>
      </c>
      <c r="N181" s="4">
        <v>0.1458</v>
      </c>
      <c r="O181">
        <v>21</v>
      </c>
      <c r="P181" s="5">
        <v>2.66</v>
      </c>
      <c r="Q181" s="4">
        <v>0</v>
      </c>
      <c r="R181">
        <v>0</v>
      </c>
      <c r="S181">
        <v>0</v>
      </c>
      <c r="T181">
        <v>0</v>
      </c>
      <c r="U181">
        <v>0</v>
      </c>
      <c r="V181">
        <v>0</v>
      </c>
      <c r="W181" s="5" t="s">
        <v>65</v>
      </c>
      <c r="X181">
        <v>0</v>
      </c>
      <c r="Y181" s="4">
        <v>0</v>
      </c>
      <c r="Z181">
        <v>0</v>
      </c>
      <c r="AA181" s="5">
        <v>0</v>
      </c>
      <c r="AB181">
        <v>0</v>
      </c>
      <c r="AC181" s="5">
        <v>0</v>
      </c>
      <c r="AD181" s="5">
        <v>56</v>
      </c>
      <c r="AE181" s="5">
        <v>0</v>
      </c>
      <c r="AF181" s="5">
        <v>56</v>
      </c>
      <c r="AG181" s="5">
        <v>0</v>
      </c>
      <c r="AH181" s="5">
        <v>0</v>
      </c>
      <c r="AI181" s="5">
        <v>0</v>
      </c>
    </row>
    <row r="182">
      <c r="A182" s="2" t="str">
        <f>HYPERLINK("https://www.avito.ru/cheboksary/bytovaya_elektronika/bambu_lab_h2s_combo_ams_2_pro_3d_printer_dlya_biznesa_8053747384","8053747384")</f>
      </c>
      <c r="B182" t="s">
        <v>155</v>
      </c>
      <c r="C182" t="s">
        <v>156</v>
      </c>
      <c r="D182" t="s">
        <v>157</v>
      </c>
      <c r="E182" t="s">
        <v>38</v>
      </c>
      <c r="F182" t="s">
        <v>39</v>
      </c>
      <c r="G182" t="s">
        <v>40</v>
      </c>
      <c r="H182" s="3" t="str">
        <f>HYPERLINK("https://www.avito.ru/cheboksary/bytovaya_elektronika/bambu_lab_h2s_combo_ams_2_pro_3d_printer_dlya_biznesa_8053747384","Bambu Lab H2S Combo AMS 2 PRO 3D принтер для бизнеса")</f>
      </c>
      <c r="I182" t="s">
        <v>48</v>
      </c>
      <c r="J182" t="s">
        <v>115</v>
      </c>
      <c r="K182" t="s">
        <v>116</v>
      </c>
      <c r="L182">
        <v>51</v>
      </c>
      <c r="M182">
        <v>286</v>
      </c>
      <c r="N182" s="4">
        <v>0.0734</v>
      </c>
      <c r="O182">
        <v>21</v>
      </c>
      <c r="P182" s="5">
        <v>2.66</v>
      </c>
      <c r="Q182" s="4">
        <v>0</v>
      </c>
      <c r="R182">
        <v>0</v>
      </c>
      <c r="S182">
        <v>0</v>
      </c>
      <c r="T182">
        <v>0</v>
      </c>
      <c r="U182">
        <v>0</v>
      </c>
      <c r="V182">
        <v>0</v>
      </c>
      <c r="W182" s="5" t="s">
        <v>65</v>
      </c>
      <c r="X182">
        <v>2</v>
      </c>
      <c r="Y182" s="4">
        <v>0</v>
      </c>
      <c r="Z182">
        <v>0</v>
      </c>
      <c r="AA182" s="5">
        <v>0</v>
      </c>
      <c r="AB182">
        <v>0</v>
      </c>
      <c r="AC182" s="5">
        <v>0</v>
      </c>
      <c r="AD182" s="5">
        <v>56</v>
      </c>
      <c r="AE182" s="5">
        <v>0</v>
      </c>
      <c r="AF182" s="5">
        <v>56</v>
      </c>
      <c r="AG182" s="5">
        <v>0</v>
      </c>
      <c r="AH182" s="5">
        <v>0</v>
      </c>
      <c r="AI182" s="5">
        <v>0</v>
      </c>
    </row>
    <row r="183">
      <c r="A183" s="2" t="str">
        <f>HYPERLINK("https://www.avito.ru/lipetsk/bytovaya_elektronika/h2s_combo_ams_2_pro_3d_printer_340h320h340_8053751082","8053751082")</f>
      </c>
      <c r="B183" t="s">
        <v>187</v>
      </c>
      <c r="C183" t="s">
        <v>188</v>
      </c>
      <c r="D183" t="s">
        <v>189</v>
      </c>
      <c r="E183" t="s">
        <v>38</v>
      </c>
      <c r="F183" t="s">
        <v>39</v>
      </c>
      <c r="G183" t="s">
        <v>40</v>
      </c>
      <c r="H183" s="3" t="str">
        <f>HYPERLINK("https://www.avito.ru/lipetsk/bytovaya_elektronika/h2s_combo_ams_2_pro_3d_printer_340h320h340_8053751082","H2S Combo AMS 2 PRO 3D принтер 340х320х340")</f>
      </c>
      <c r="I183" t="s">
        <v>48</v>
      </c>
      <c r="J183" t="s">
        <v>115</v>
      </c>
      <c r="K183" t="s">
        <v>116</v>
      </c>
      <c r="L183">
        <v>51</v>
      </c>
      <c r="M183">
        <v>308</v>
      </c>
      <c r="N183" s="4">
        <v>0.0681</v>
      </c>
      <c r="O183">
        <v>21</v>
      </c>
      <c r="P183" s="5">
        <v>2.66</v>
      </c>
      <c r="Q183" s="4">
        <v>0</v>
      </c>
      <c r="R183">
        <v>0</v>
      </c>
      <c r="S183">
        <v>0</v>
      </c>
      <c r="T183">
        <v>0</v>
      </c>
      <c r="U183">
        <v>0</v>
      </c>
      <c r="V183">
        <v>0</v>
      </c>
      <c r="W183" s="5" t="s">
        <v>65</v>
      </c>
      <c r="X183">
        <v>1</v>
      </c>
      <c r="Y183" s="4">
        <v>0</v>
      </c>
      <c r="Z183">
        <v>0</v>
      </c>
      <c r="AA183" s="5">
        <v>0</v>
      </c>
      <c r="AB183">
        <v>0</v>
      </c>
      <c r="AC183" s="5">
        <v>0</v>
      </c>
      <c r="AD183" s="5">
        <v>56</v>
      </c>
      <c r="AE183" s="5">
        <v>0</v>
      </c>
      <c r="AF183" s="5">
        <v>56</v>
      </c>
      <c r="AG183" s="5">
        <v>0</v>
      </c>
      <c r="AH183" s="5">
        <v>0</v>
      </c>
      <c r="AI183" s="5">
        <v>0</v>
      </c>
    </row>
    <row r="184">
      <c r="A184" s="2" t="str">
        <f>HYPERLINK("https://www.avito.ru/mahachkala/bytovaya_elektronika/bambu_lab_h2d_combo_ams_2_pro_cn_8053052903","8053052903")</f>
      </c>
      <c r="B184" t="s">
        <v>106</v>
      </c>
      <c r="C184" t="s">
        <v>107</v>
      </c>
      <c r="D184" t="s">
        <v>108</v>
      </c>
      <c r="E184" t="s">
        <v>38</v>
      </c>
      <c r="F184" t="s">
        <v>39</v>
      </c>
      <c r="G184" t="s">
        <v>40</v>
      </c>
      <c r="H184" s="3" t="str">
        <f>HYPERLINK("https://www.avito.ru/mahachkala/bytovaya_elektronika/bambu_lab_h2d_combo_ams_2_pro_cn_8053052903","Bambu Lab H2D Combo AMS 2 Pro CN")</f>
      </c>
      <c r="I184" t="s">
        <v>41</v>
      </c>
      <c r="J184" t="s">
        <v>42</v>
      </c>
      <c r="K184" t="s">
        <v>43</v>
      </c>
      <c r="L184">
        <v>50</v>
      </c>
      <c r="M184">
        <v>258</v>
      </c>
      <c r="N184" s="4">
        <v>0.0775</v>
      </c>
      <c r="O184">
        <v>20</v>
      </c>
      <c r="P184" s="5">
        <v>2.8</v>
      </c>
      <c r="Q184" s="4">
        <v>0</v>
      </c>
      <c r="R184">
        <v>0</v>
      </c>
      <c r="S184">
        <v>0</v>
      </c>
      <c r="T184">
        <v>0</v>
      </c>
      <c r="U184">
        <v>0</v>
      </c>
      <c r="V184">
        <v>0</v>
      </c>
      <c r="W184" s="5" t="s">
        <v>65</v>
      </c>
      <c r="X184">
        <v>1</v>
      </c>
      <c r="Y184" s="4">
        <v>0</v>
      </c>
      <c r="Z184">
        <v>0</v>
      </c>
      <c r="AA184" s="5">
        <v>0</v>
      </c>
      <c r="AB184">
        <v>0</v>
      </c>
      <c r="AC184" s="5">
        <v>0</v>
      </c>
      <c r="AD184" s="5">
        <v>56</v>
      </c>
      <c r="AE184" s="5">
        <v>0</v>
      </c>
      <c r="AF184" s="5">
        <v>56</v>
      </c>
      <c r="AG184" s="5">
        <v>0</v>
      </c>
      <c r="AH184" s="5">
        <v>0</v>
      </c>
      <c r="AI184" s="5">
        <v>0</v>
      </c>
    </row>
    <row r="185">
      <c r="A185" s="2" t="str">
        <f>HYPERLINK("https://www.avito.ru/nizhniy_novgorod/bytovaya_elektronika/ogromnyy_3d_printer_elegoo_giga_storm_800mm_8053083021","8053083021")</f>
      </c>
      <c r="B185" t="s">
        <v>125</v>
      </c>
      <c r="C185" t="s">
        <v>126</v>
      </c>
      <c r="D185" t="s">
        <v>127</v>
      </c>
      <c r="E185" t="s">
        <v>38</v>
      </c>
      <c r="F185" t="s">
        <v>39</v>
      </c>
      <c r="G185" t="s">
        <v>40</v>
      </c>
      <c r="H185" s="3" t="str">
        <f>HYPERLINK("https://www.avito.ru/nizhniy_novgorod/bytovaya_elektronika/ogromnyy_3d_printer_elegoo_giga_storm_800mm_8053083021","Огромный 3D принтер Elegoo Giga Storm 800мм")</f>
      </c>
      <c r="I185" t="s">
        <v>64</v>
      </c>
      <c r="J185" t="s">
        <v>42</v>
      </c>
      <c r="K185" t="s">
        <v>43</v>
      </c>
      <c r="L185">
        <v>50</v>
      </c>
      <c r="M185">
        <v>273</v>
      </c>
      <c r="N185" s="4">
        <v>0.0732</v>
      </c>
      <c r="O185">
        <v>20</v>
      </c>
      <c r="P185" s="5">
        <v>2.8</v>
      </c>
      <c r="Q185" s="4">
        <v>0</v>
      </c>
      <c r="R185">
        <v>0</v>
      </c>
      <c r="S185">
        <v>0</v>
      </c>
      <c r="T185">
        <v>0</v>
      </c>
      <c r="U185">
        <v>0</v>
      </c>
      <c r="V185">
        <v>0</v>
      </c>
      <c r="W185" s="5" t="s">
        <v>65</v>
      </c>
      <c r="X185">
        <v>6</v>
      </c>
      <c r="Y185" s="4">
        <v>0</v>
      </c>
      <c r="Z185">
        <v>0</v>
      </c>
      <c r="AA185" s="5">
        <v>0</v>
      </c>
      <c r="AB185">
        <v>0</v>
      </c>
      <c r="AC185" s="5">
        <v>0</v>
      </c>
      <c r="AD185" s="5">
        <v>56</v>
      </c>
      <c r="AE185" s="5">
        <v>0</v>
      </c>
      <c r="AF185" s="5">
        <v>56</v>
      </c>
      <c r="AG185" s="5">
        <v>0</v>
      </c>
      <c r="AH185" s="5">
        <v>0</v>
      </c>
      <c r="AI185" s="5">
        <v>0</v>
      </c>
    </row>
    <row r="186">
      <c r="A186" s="2" t="str">
        <f>HYPERLINK("https://www.avito.ru/chelyabinsk/bytovaya_elektronika/professionalnyy_3d_printer_h2d_pro_combo_ams_8053236281","8053236281")</f>
      </c>
      <c r="B186" t="s">
        <v>66</v>
      </c>
      <c r="C186" t="s">
        <v>67</v>
      </c>
      <c r="D186" t="s">
        <v>68</v>
      </c>
      <c r="E186" t="s">
        <v>38</v>
      </c>
      <c r="F186" t="s">
        <v>39</v>
      </c>
      <c r="G186" t="s">
        <v>40</v>
      </c>
      <c r="H186" s="3" t="str">
        <f>HYPERLINK("https://www.avito.ru/chelyabinsk/bytovaya_elektronika/professionalnyy_3d_printer_h2d_pro_combo_ams_8053236281","Профессиональный 3D принтер H2D PRO Combo AMS")</f>
      </c>
      <c r="I186" t="s">
        <v>172</v>
      </c>
      <c r="J186" t="s">
        <v>115</v>
      </c>
      <c r="K186" t="s">
        <v>116</v>
      </c>
      <c r="L186">
        <v>51</v>
      </c>
      <c r="M186">
        <v>348</v>
      </c>
      <c r="N186" s="4">
        <v>0.0574</v>
      </c>
      <c r="O186">
        <v>20</v>
      </c>
      <c r="P186" s="5">
        <v>2.8</v>
      </c>
      <c r="Q186" s="4">
        <v>0</v>
      </c>
      <c r="R186">
        <v>0</v>
      </c>
      <c r="S186">
        <v>0</v>
      </c>
      <c r="T186">
        <v>0</v>
      </c>
      <c r="U186">
        <v>0</v>
      </c>
      <c r="V186">
        <v>0</v>
      </c>
      <c r="W186" s="5" t="s">
        <v>65</v>
      </c>
      <c r="X186">
        <v>0</v>
      </c>
      <c r="Y186" s="4">
        <v>0</v>
      </c>
      <c r="Z186">
        <v>0</v>
      </c>
      <c r="AA186" s="5">
        <v>0</v>
      </c>
      <c r="AB186">
        <v>0</v>
      </c>
      <c r="AC186" s="5">
        <v>0</v>
      </c>
      <c r="AD186" s="5">
        <v>56</v>
      </c>
      <c r="AE186" s="5">
        <v>0</v>
      </c>
      <c r="AF186" s="5">
        <v>56</v>
      </c>
      <c r="AG186" s="5">
        <v>0</v>
      </c>
      <c r="AH186" s="5">
        <v>0</v>
      </c>
      <c r="AI186" s="5">
        <v>0</v>
      </c>
    </row>
    <row r="187">
      <c r="A187" s="2" t="str">
        <f>HYPERLINK("https://www.avito.ru/tyumen/bytovaya_elektronika/h2d_combo_ams_2_pro_3d_printer_cn_tyumen_8053036181","8053036181")</f>
      </c>
      <c r="B187" t="s">
        <v>145</v>
      </c>
      <c r="C187" t="s">
        <v>146</v>
      </c>
      <c r="D187" t="s">
        <v>147</v>
      </c>
      <c r="E187" t="s">
        <v>38</v>
      </c>
      <c r="F187" t="s">
        <v>39</v>
      </c>
      <c r="G187" t="s">
        <v>40</v>
      </c>
      <c r="H187" s="3" t="str">
        <f>HYPERLINK("https://www.avito.ru/tyumen/bytovaya_elektronika/h2d_combo_ams_2_pro_3d_printer_cn_tyumen_8053036181","H2D Combo AMS 2 Pro 3D принтер CN Тюмень")</f>
      </c>
      <c r="I187" t="s">
        <v>41</v>
      </c>
      <c r="J187" t="s">
        <v>42</v>
      </c>
      <c r="K187" t="s">
        <v>43</v>
      </c>
      <c r="L187">
        <v>50</v>
      </c>
      <c r="M187">
        <v>249</v>
      </c>
      <c r="N187" s="4">
        <v>0.0763</v>
      </c>
      <c r="O187">
        <v>19</v>
      </c>
      <c r="P187" s="5">
        <v>2.94</v>
      </c>
      <c r="Q187" s="4">
        <v>0</v>
      </c>
      <c r="R187">
        <v>0</v>
      </c>
      <c r="S187">
        <v>0</v>
      </c>
      <c r="T187">
        <v>0</v>
      </c>
      <c r="U187">
        <v>0</v>
      </c>
      <c r="V187">
        <v>0</v>
      </c>
      <c r="W187" s="5" t="s">
        <v>65</v>
      </c>
      <c r="X187">
        <v>0</v>
      </c>
      <c r="Y187" s="4">
        <v>0</v>
      </c>
      <c r="Z187">
        <v>0</v>
      </c>
      <c r="AA187" s="5">
        <v>0</v>
      </c>
      <c r="AB187">
        <v>0</v>
      </c>
      <c r="AC187" s="5">
        <v>0</v>
      </c>
      <c r="AD187" s="5">
        <v>56</v>
      </c>
      <c r="AE187" s="5">
        <v>0</v>
      </c>
      <c r="AF187" s="5">
        <v>56</v>
      </c>
      <c r="AG187" s="5">
        <v>0</v>
      </c>
      <c r="AH187" s="5">
        <v>0</v>
      </c>
      <c r="AI187" s="5">
        <v>0</v>
      </c>
    </row>
    <row r="188">
      <c r="A188" s="2" t="str">
        <f>HYPERLINK("https://www.avito.ru/ekaterinburg/bytovaya_elektronika/3d_printer_bambu_lab_h2d_laser_40w_eu_8053125310","8053125310")</f>
      </c>
      <c r="B188" t="s">
        <v>136</v>
      </c>
      <c r="C188" t="s">
        <v>137</v>
      </c>
      <c r="D188" t="s">
        <v>138</v>
      </c>
      <c r="E188" t="s">
        <v>38</v>
      </c>
      <c r="F188" t="s">
        <v>39</v>
      </c>
      <c r="G188" t="s">
        <v>40</v>
      </c>
      <c r="H188" s="3" t="str">
        <f>HYPERLINK("https://www.avito.ru/ekaterinburg/bytovaya_elektronika/3d_printer_bambu_lab_h2d_laser_40w_eu_8053125310","3D принтер Bambu Lab H2D Laser 40W EU")</f>
      </c>
      <c r="I188" t="s">
        <v>57</v>
      </c>
      <c r="J188" t="s">
        <v>42</v>
      </c>
      <c r="K188" t="s">
        <v>43</v>
      </c>
      <c r="L188">
        <v>50</v>
      </c>
      <c r="M188">
        <v>292</v>
      </c>
      <c r="N188" s="4">
        <v>0.065</v>
      </c>
      <c r="O188">
        <v>19</v>
      </c>
      <c r="P188" s="5">
        <v>2.94</v>
      </c>
      <c r="Q188" s="4">
        <v>0</v>
      </c>
      <c r="R188">
        <v>0</v>
      </c>
      <c r="S188">
        <v>0</v>
      </c>
      <c r="T188">
        <v>0</v>
      </c>
      <c r="U188">
        <v>0</v>
      </c>
      <c r="V188">
        <v>0</v>
      </c>
      <c r="W188" s="5" t="s">
        <v>65</v>
      </c>
      <c r="X188">
        <v>0</v>
      </c>
      <c r="Y188" s="4">
        <v>0</v>
      </c>
      <c r="Z188">
        <v>0</v>
      </c>
      <c r="AA188" s="5">
        <v>0</v>
      </c>
      <c r="AB188">
        <v>0</v>
      </c>
      <c r="AC188" s="5">
        <v>0</v>
      </c>
      <c r="AD188" s="5">
        <v>56</v>
      </c>
      <c r="AE188" s="5">
        <v>0</v>
      </c>
      <c r="AF188" s="5">
        <v>56</v>
      </c>
      <c r="AG188" s="5">
        <v>0</v>
      </c>
      <c r="AH188" s="5">
        <v>0</v>
      </c>
      <c r="AI188" s="5">
        <v>0</v>
      </c>
    </row>
    <row r="189">
      <c r="A189" s="2" t="str">
        <f>HYPERLINK("https://www.avito.ru/nizhniy_novgorod/bytovaya_elektronika/bambu_lab_h2d_pro_combo_ams_eu_version_8053640968","8053640968")</f>
      </c>
      <c r="B189" t="s">
        <v>125</v>
      </c>
      <c r="C189" t="s">
        <v>126</v>
      </c>
      <c r="D189" t="s">
        <v>127</v>
      </c>
      <c r="E189" t="s">
        <v>38</v>
      </c>
      <c r="F189" t="s">
        <v>39</v>
      </c>
      <c r="G189" t="s">
        <v>40</v>
      </c>
      <c r="H189" s="3" t="str">
        <f>HYPERLINK("https://www.avito.ru/nizhniy_novgorod/bytovaya_elektronika/bambu_lab_h2d_pro_combo_ams_eu_version_8053640968","Bambu Lab H2D PRO Combo AMS (EU Version)")</f>
      </c>
      <c r="I189" t="s">
        <v>172</v>
      </c>
      <c r="J189" t="s">
        <v>115</v>
      </c>
      <c r="K189" t="s">
        <v>116</v>
      </c>
      <c r="L189">
        <v>51</v>
      </c>
      <c r="M189">
        <v>282</v>
      </c>
      <c r="N189" s="4">
        <v>0.0673</v>
      </c>
      <c r="O189">
        <v>19</v>
      </c>
      <c r="P189" s="5">
        <v>2.94</v>
      </c>
      <c r="Q189" s="4">
        <v>0.0526</v>
      </c>
      <c r="R189">
        <v>1</v>
      </c>
      <c r="S189">
        <v>1</v>
      </c>
      <c r="T189">
        <v>0</v>
      </c>
      <c r="U189">
        <v>0</v>
      </c>
      <c r="V189">
        <v>0</v>
      </c>
      <c r="W189" s="5">
        <v>56</v>
      </c>
      <c r="X189">
        <v>2</v>
      </c>
      <c r="Y189" s="4">
        <v>0</v>
      </c>
      <c r="Z189">
        <v>0</v>
      </c>
      <c r="AA189" s="5">
        <v>0</v>
      </c>
      <c r="AB189">
        <v>0</v>
      </c>
      <c r="AC189" s="5">
        <v>0</v>
      </c>
      <c r="AD189" s="5">
        <v>56</v>
      </c>
      <c r="AE189" s="5">
        <v>0</v>
      </c>
      <c r="AF189" s="5">
        <v>56</v>
      </c>
      <c r="AG189" s="5">
        <v>0</v>
      </c>
      <c r="AH189" s="5">
        <v>0</v>
      </c>
      <c r="AI189" s="5">
        <v>0</v>
      </c>
    </row>
    <row r="190">
      <c r="A190" s="2" t="str">
        <f>HYPERLINK("https://www.avito.ru/chelyabinsk/bytovaya_elektronika/h2d_combo_ams_2_pro_3d_printer_novyy_cn_8053709392","8053709392")</f>
      </c>
      <c r="B190" t="s">
        <v>66</v>
      </c>
      <c r="C190" t="s">
        <v>67</v>
      </c>
      <c r="D190" t="s">
        <v>68</v>
      </c>
      <c r="E190" t="s">
        <v>38</v>
      </c>
      <c r="F190" t="s">
        <v>39</v>
      </c>
      <c r="G190" t="s">
        <v>40</v>
      </c>
      <c r="H190" s="3" t="str">
        <f>HYPERLINK("https://www.avito.ru/chelyabinsk/bytovaya_elektronika/h2d_combo_ams_2_pro_3d_printer_novyy_cn_8053709392","H2D Combo AMS 2 Pro 3D принтер Новый CN")</f>
      </c>
      <c r="I190" t="s">
        <v>41</v>
      </c>
      <c r="J190" t="s">
        <v>42</v>
      </c>
      <c r="K190" t="s">
        <v>43</v>
      </c>
      <c r="L190">
        <v>50</v>
      </c>
      <c r="M190">
        <v>66</v>
      </c>
      <c r="N190" s="4">
        <v>0.2878</v>
      </c>
      <c r="O190">
        <v>19</v>
      </c>
      <c r="P190" s="5">
        <v>2.94</v>
      </c>
      <c r="Q190" s="4">
        <v>0</v>
      </c>
      <c r="R190">
        <v>0</v>
      </c>
      <c r="S190">
        <v>0</v>
      </c>
      <c r="T190">
        <v>0</v>
      </c>
      <c r="U190">
        <v>0</v>
      </c>
      <c r="V190">
        <v>0</v>
      </c>
      <c r="W190" s="5" t="s">
        <v>65</v>
      </c>
      <c r="X190">
        <v>0</v>
      </c>
      <c r="Y190" s="4">
        <v>0</v>
      </c>
      <c r="Z190">
        <v>0</v>
      </c>
      <c r="AA190" s="5">
        <v>0</v>
      </c>
      <c r="AB190">
        <v>0</v>
      </c>
      <c r="AC190" s="5">
        <v>0</v>
      </c>
      <c r="AD190" s="5">
        <v>56</v>
      </c>
      <c r="AE190" s="5">
        <v>0</v>
      </c>
      <c r="AF190" s="5">
        <v>56</v>
      </c>
      <c r="AG190" s="5">
        <v>0</v>
      </c>
      <c r="AH190" s="5">
        <v>0</v>
      </c>
      <c r="AI190" s="5">
        <v>0</v>
      </c>
    </row>
    <row r="191">
      <c r="A191" s="2" t="str">
        <f>HYPERLINK("https://www.avito.ru/rostov-na-donu/bytovaya_elektronika/h2d_pro_combo_ams_3d_printer_1000_mms_8053724606","8053724606")</f>
      </c>
      <c r="B191" t="s">
        <v>88</v>
      </c>
      <c r="C191" t="s">
        <v>89</v>
      </c>
      <c r="D191" t="s">
        <v>90</v>
      </c>
      <c r="E191" t="s">
        <v>38</v>
      </c>
      <c r="F191" t="s">
        <v>39</v>
      </c>
      <c r="G191" t="s">
        <v>40</v>
      </c>
      <c r="H191" s="3" t="str">
        <f>HYPERLINK("https://www.avito.ru/rostov-na-donu/bytovaya_elektronika/h2d_pro_combo_ams_3d_printer_1000_mms_8053724606","H2D PRO Combo AMS 3D принтер 1000 мм/с")</f>
      </c>
      <c r="I191" t="s">
        <v>172</v>
      </c>
      <c r="J191" t="s">
        <v>115</v>
      </c>
      <c r="K191" t="s">
        <v>116</v>
      </c>
      <c r="L191">
        <v>51</v>
      </c>
      <c r="M191">
        <v>272</v>
      </c>
      <c r="N191" s="4">
        <v>0.0698</v>
      </c>
      <c r="O191">
        <v>19</v>
      </c>
      <c r="P191" s="5">
        <v>2.94</v>
      </c>
      <c r="Q191" s="4">
        <v>0.0526</v>
      </c>
      <c r="R191">
        <v>1</v>
      </c>
      <c r="S191">
        <v>1</v>
      </c>
      <c r="T191">
        <v>0</v>
      </c>
      <c r="U191">
        <v>0</v>
      </c>
      <c r="V191">
        <v>0</v>
      </c>
      <c r="W191" s="5">
        <v>56</v>
      </c>
      <c r="X191">
        <v>1</v>
      </c>
      <c r="Y191" s="4">
        <v>0</v>
      </c>
      <c r="Z191">
        <v>0</v>
      </c>
      <c r="AA191" s="5">
        <v>0</v>
      </c>
      <c r="AB191">
        <v>0</v>
      </c>
      <c r="AC191" s="5">
        <v>0</v>
      </c>
      <c r="AD191" s="5">
        <v>56</v>
      </c>
      <c r="AE191" s="5">
        <v>0</v>
      </c>
      <c r="AF191" s="5">
        <v>56</v>
      </c>
      <c r="AG191" s="5">
        <v>0</v>
      </c>
      <c r="AH191" s="5">
        <v>0</v>
      </c>
      <c r="AI191" s="5">
        <v>0</v>
      </c>
    </row>
    <row r="192">
      <c r="A192" s="2" t="str">
        <f>HYPERLINK("https://www.avito.ru/tula/bytovaya_elektronika/h2s_combo_ams_2_pro_3d_printer_eu-versiya_8053738587","8053738587")</f>
      </c>
      <c r="B192" t="s">
        <v>152</v>
      </c>
      <c r="C192" t="s">
        <v>153</v>
      </c>
      <c r="D192" t="s">
        <v>154</v>
      </c>
      <c r="E192" t="s">
        <v>38</v>
      </c>
      <c r="F192" t="s">
        <v>39</v>
      </c>
      <c r="G192" t="s">
        <v>40</v>
      </c>
      <c r="H192" s="3" t="str">
        <f>HYPERLINK("https://www.avito.ru/tula/bytovaya_elektronika/h2s_combo_ams_2_pro_3d_printer_eu-versiya_8053738587","H2S Combo AMS 2 PRO 3D принтер EU-версия")</f>
      </c>
      <c r="I192" t="s">
        <v>48</v>
      </c>
      <c r="J192" t="s">
        <v>115</v>
      </c>
      <c r="K192" t="s">
        <v>116</v>
      </c>
      <c r="L192">
        <v>51</v>
      </c>
      <c r="M192">
        <v>159</v>
      </c>
      <c r="N192" s="4">
        <v>0.1194</v>
      </c>
      <c r="O192">
        <v>19</v>
      </c>
      <c r="P192" s="5">
        <v>2.94</v>
      </c>
      <c r="Q192" s="4">
        <v>0</v>
      </c>
      <c r="R192">
        <v>0</v>
      </c>
      <c r="S192">
        <v>0</v>
      </c>
      <c r="T192">
        <v>0</v>
      </c>
      <c r="U192">
        <v>0</v>
      </c>
      <c r="V192">
        <v>0</v>
      </c>
      <c r="W192" s="5" t="s">
        <v>65</v>
      </c>
      <c r="X192">
        <v>1</v>
      </c>
      <c r="Y192" s="4">
        <v>0</v>
      </c>
      <c r="Z192">
        <v>0</v>
      </c>
      <c r="AA192" s="5">
        <v>0</v>
      </c>
      <c r="AB192">
        <v>0</v>
      </c>
      <c r="AC192" s="5">
        <v>0</v>
      </c>
      <c r="AD192" s="5">
        <v>56</v>
      </c>
      <c r="AE192" s="5">
        <v>0</v>
      </c>
      <c r="AF192" s="5">
        <v>56</v>
      </c>
      <c r="AG192" s="5">
        <v>0</v>
      </c>
      <c r="AH192" s="5">
        <v>0</v>
      </c>
      <c r="AI192" s="5">
        <v>0</v>
      </c>
    </row>
    <row r="193">
      <c r="A193" s="2" t="str">
        <f>HYPERLINK("https://www.avito.ru/omsk/bytovaya_elektronika/h2c_ams_combo_3d_printer_325h320h325_eu-versiya_8053083282","8053083282")</f>
      </c>
      <c r="B193" t="s">
        <v>70</v>
      </c>
      <c r="C193" t="s">
        <v>71</v>
      </c>
      <c r="D193" t="s">
        <v>72</v>
      </c>
      <c r="E193" t="s">
        <v>38</v>
      </c>
      <c r="F193" t="s">
        <v>39</v>
      </c>
      <c r="G193" t="s">
        <v>40</v>
      </c>
      <c r="H193" s="3" t="str">
        <f>HYPERLINK("https://www.avito.ru/omsk/bytovaya_elektronika/h2c_ams_combo_3d_printer_325h320h325_eu-versiya_8053083282","H2C AMS Combo 3D принтер 325х320х325 EU-версия")</f>
      </c>
      <c r="I193" t="s">
        <v>83</v>
      </c>
      <c r="J193" t="s">
        <v>49</v>
      </c>
      <c r="K193" t="s">
        <v>50</v>
      </c>
      <c r="L193">
        <v>52</v>
      </c>
      <c r="M193">
        <v>94</v>
      </c>
      <c r="N193" s="4">
        <v>0.1914</v>
      </c>
      <c r="O193">
        <v>18</v>
      </c>
      <c r="P193" s="5">
        <v>3.11</v>
      </c>
      <c r="Q193" s="4">
        <v>0</v>
      </c>
      <c r="R193">
        <v>0</v>
      </c>
      <c r="S193">
        <v>0</v>
      </c>
      <c r="T193">
        <v>0</v>
      </c>
      <c r="U193">
        <v>0</v>
      </c>
      <c r="V193">
        <v>0</v>
      </c>
      <c r="W193" s="5" t="s">
        <v>65</v>
      </c>
      <c r="X193">
        <v>0</v>
      </c>
      <c r="Y193" s="4">
        <v>0</v>
      </c>
      <c r="Z193">
        <v>0</v>
      </c>
      <c r="AA193" s="5">
        <v>0</v>
      </c>
      <c r="AB193">
        <v>0</v>
      </c>
      <c r="AC193" s="5">
        <v>0</v>
      </c>
      <c r="AD193" s="5">
        <v>56</v>
      </c>
      <c r="AE193" s="5">
        <v>0</v>
      </c>
      <c r="AF193" s="5">
        <v>56</v>
      </c>
      <c r="AG193" s="5">
        <v>0</v>
      </c>
      <c r="AH193" s="5">
        <v>0</v>
      </c>
      <c r="AI193" s="5">
        <v>0</v>
      </c>
    </row>
    <row r="194">
      <c r="A194" s="2" t="str">
        <f>HYPERLINK("https://www.avito.ru/ekaterinburg/bytovaya_elektronika/h2d_pro_combo_ams_stantsiya_3d_pechati_pod_zakaz_dlya_biznesa_8053694952","8053694952")</f>
      </c>
      <c r="B194" t="s">
        <v>136</v>
      </c>
      <c r="C194" t="s">
        <v>137</v>
      </c>
      <c r="D194" t="s">
        <v>138</v>
      </c>
      <c r="E194" t="s">
        <v>38</v>
      </c>
      <c r="F194" t="s">
        <v>39</v>
      </c>
      <c r="G194" t="s">
        <v>40</v>
      </c>
      <c r="H194" s="3" t="str">
        <f>HYPERLINK("https://www.avito.ru/ekaterinburg/bytovaya_elektronika/h2d_pro_combo_ams_stantsiya_3d_pechati_pod_zakaz_dlya_biznesa_8053694952","H2D PRO Combo AMS станция 3D печати под заказ для бизнеса")</f>
      </c>
      <c r="I194" t="s">
        <v>172</v>
      </c>
      <c r="J194" t="s">
        <v>115</v>
      </c>
      <c r="K194" t="s">
        <v>116</v>
      </c>
      <c r="L194">
        <v>51</v>
      </c>
      <c r="M194">
        <v>399</v>
      </c>
      <c r="N194" s="4">
        <v>0.0451</v>
      </c>
      <c r="O194">
        <v>18</v>
      </c>
      <c r="P194" s="5">
        <v>3.11</v>
      </c>
      <c r="Q194" s="4">
        <v>0</v>
      </c>
      <c r="R194">
        <v>0</v>
      </c>
      <c r="S194">
        <v>0</v>
      </c>
      <c r="T194">
        <v>0</v>
      </c>
      <c r="U194">
        <v>0</v>
      </c>
      <c r="V194">
        <v>0</v>
      </c>
      <c r="W194" s="5" t="s">
        <v>65</v>
      </c>
      <c r="X194">
        <v>0</v>
      </c>
      <c r="Y194" s="4">
        <v>0</v>
      </c>
      <c r="Z194">
        <v>0</v>
      </c>
      <c r="AA194" s="5">
        <v>0</v>
      </c>
      <c r="AB194">
        <v>0</v>
      </c>
      <c r="AC194" s="5">
        <v>0</v>
      </c>
      <c r="AD194" s="5">
        <v>56</v>
      </c>
      <c r="AE194" s="5">
        <v>0</v>
      </c>
      <c r="AF194" s="5">
        <v>56</v>
      </c>
      <c r="AG194" s="5">
        <v>0</v>
      </c>
      <c r="AH194" s="5">
        <v>0</v>
      </c>
      <c r="AI194" s="5">
        <v>0</v>
      </c>
    </row>
    <row r="195">
      <c r="A195" s="2" t="str">
        <f>HYPERLINK("https://www.avito.ru/irkutsk/bytovaya_elektronika/h2s_laser_10w_3d_printer_global_versiya_8053771726","8053771726")</f>
      </c>
      <c r="B195" t="s">
        <v>133</v>
      </c>
      <c r="C195" t="s">
        <v>134</v>
      </c>
      <c r="D195" t="s">
        <v>135</v>
      </c>
      <c r="E195" t="s">
        <v>38</v>
      </c>
      <c r="F195" t="s">
        <v>39</v>
      </c>
      <c r="G195" t="s">
        <v>40</v>
      </c>
      <c r="H195" s="3" t="str">
        <f>HYPERLINK("https://www.avito.ru/irkutsk/bytovaya_elektronika/h2s_laser_10w_3d_printer_global_versiya_8053771726","H2S Laser 10W 3D принтер Global версия")</f>
      </c>
      <c r="I195" t="s">
        <v>129</v>
      </c>
      <c r="J195" t="s">
        <v>115</v>
      </c>
      <c r="K195" t="s">
        <v>116</v>
      </c>
      <c r="L195">
        <v>51</v>
      </c>
      <c r="M195">
        <v>204</v>
      </c>
      <c r="N195" s="4">
        <v>0.0882</v>
      </c>
      <c r="O195">
        <v>18</v>
      </c>
      <c r="P195" s="5">
        <v>3.11</v>
      </c>
      <c r="Q195" s="4">
        <v>0</v>
      </c>
      <c r="R195">
        <v>0</v>
      </c>
      <c r="S195">
        <v>0</v>
      </c>
      <c r="T195">
        <v>0</v>
      </c>
      <c r="U195">
        <v>0</v>
      </c>
      <c r="V195">
        <v>0</v>
      </c>
      <c r="W195" s="5" t="s">
        <v>65</v>
      </c>
      <c r="X195">
        <v>2</v>
      </c>
      <c r="Y195" s="4">
        <v>0</v>
      </c>
      <c r="Z195">
        <v>0</v>
      </c>
      <c r="AA195" s="5">
        <v>0</v>
      </c>
      <c r="AB195">
        <v>0</v>
      </c>
      <c r="AC195" s="5">
        <v>0</v>
      </c>
      <c r="AD195" s="5">
        <v>56</v>
      </c>
      <c r="AE195" s="5">
        <v>0</v>
      </c>
      <c r="AF195" s="5">
        <v>56</v>
      </c>
      <c r="AG195" s="5">
        <v>0</v>
      </c>
      <c r="AH195" s="5">
        <v>0</v>
      </c>
      <c r="AI195" s="5">
        <v>0</v>
      </c>
    </row>
    <row r="196">
      <c r="A196" s="2" t="str">
        <f>HYPERLINK("https://www.avito.ru/ulyanovsk/bytovaya_elektronika/p2s_combo_3d_printer_corexy_600mms_8053803421","8053803421")</f>
      </c>
      <c r="B196" t="s">
        <v>219</v>
      </c>
      <c r="C196" t="s">
        <v>220</v>
      </c>
      <c r="D196" t="s">
        <v>221</v>
      </c>
      <c r="E196" t="s">
        <v>38</v>
      </c>
      <c r="F196" t="s">
        <v>39</v>
      </c>
      <c r="G196" t="s">
        <v>40</v>
      </c>
      <c r="H196" s="3" t="str">
        <f>HYPERLINK("https://www.avito.ru/ulyanovsk/bytovaya_elektronika/p2s_combo_3d_printer_corexy_600mms_8053803421","P2S Combo 3D принтер CoreXY 600мм/с")</f>
      </c>
      <c r="I196" t="s">
        <v>128</v>
      </c>
      <c r="J196" t="s">
        <v>115</v>
      </c>
      <c r="K196" t="s">
        <v>116</v>
      </c>
      <c r="L196">
        <v>51</v>
      </c>
      <c r="M196">
        <v>164</v>
      </c>
      <c r="N196" s="4">
        <v>0.1097</v>
      </c>
      <c r="O196">
        <v>18</v>
      </c>
      <c r="P196" s="5">
        <v>3.11</v>
      </c>
      <c r="Q196" s="4">
        <v>0</v>
      </c>
      <c r="R196">
        <v>0</v>
      </c>
      <c r="S196">
        <v>0</v>
      </c>
      <c r="T196">
        <v>0</v>
      </c>
      <c r="U196">
        <v>0</v>
      </c>
      <c r="V196">
        <v>0</v>
      </c>
      <c r="W196" s="5" t="s">
        <v>65</v>
      </c>
      <c r="X196">
        <v>1</v>
      </c>
      <c r="Y196" s="4">
        <v>0</v>
      </c>
      <c r="Z196">
        <v>0</v>
      </c>
      <c r="AA196" s="5">
        <v>0</v>
      </c>
      <c r="AB196">
        <v>0</v>
      </c>
      <c r="AC196" s="5">
        <v>0</v>
      </c>
      <c r="AD196" s="5">
        <v>56</v>
      </c>
      <c r="AE196" s="5">
        <v>0</v>
      </c>
      <c r="AF196" s="5">
        <v>56</v>
      </c>
      <c r="AG196" s="5">
        <v>0</v>
      </c>
      <c r="AH196" s="5">
        <v>0</v>
      </c>
      <c r="AI196" s="5">
        <v>0</v>
      </c>
    </row>
    <row r="197">
      <c r="A197" s="2" t="str">
        <f>HYPERLINK("https://www.avito.ru/kemerovo/bytovaya_elektronika/professionalnyy_3d_printer_h2s_combo_ams_2_pro_8053074797","8053074797")</f>
      </c>
      <c r="B197" t="s">
        <v>99</v>
      </c>
      <c r="C197" t="s">
        <v>100</v>
      </c>
      <c r="D197" t="s">
        <v>101</v>
      </c>
      <c r="E197" t="s">
        <v>38</v>
      </c>
      <c r="F197" t="s">
        <v>39</v>
      </c>
      <c r="G197" t="s">
        <v>40</v>
      </c>
      <c r="H197" s="3" t="str">
        <f>HYPERLINK("https://www.avito.ru/kemerovo/bytovaya_elektronika/professionalnyy_3d_printer_h2s_combo_ams_2_pro_8053074797","Профессиональный 3D принтер H2S Combo AMS 2 PRO")</f>
      </c>
      <c r="I197" t="s">
        <v>48</v>
      </c>
      <c r="J197" t="s">
        <v>115</v>
      </c>
      <c r="K197" t="s">
        <v>116</v>
      </c>
      <c r="L197">
        <v>51</v>
      </c>
      <c r="M197">
        <v>104</v>
      </c>
      <c r="N197" s="4">
        <v>0.1634</v>
      </c>
      <c r="O197">
        <v>17</v>
      </c>
      <c r="P197" s="5">
        <v>3.29</v>
      </c>
      <c r="Q197" s="4">
        <v>0</v>
      </c>
      <c r="R197">
        <v>0</v>
      </c>
      <c r="S197">
        <v>0</v>
      </c>
      <c r="T197">
        <v>0</v>
      </c>
      <c r="U197">
        <v>0</v>
      </c>
      <c r="V197">
        <v>0</v>
      </c>
      <c r="W197" s="5" t="s">
        <v>65</v>
      </c>
      <c r="X197">
        <v>2</v>
      </c>
      <c r="Y197" s="4">
        <v>0</v>
      </c>
      <c r="Z197">
        <v>0</v>
      </c>
      <c r="AA197" s="5">
        <v>0</v>
      </c>
      <c r="AB197">
        <v>0</v>
      </c>
      <c r="AC197" s="5">
        <v>0</v>
      </c>
      <c r="AD197" s="5">
        <v>56</v>
      </c>
      <c r="AE197" s="5">
        <v>0</v>
      </c>
      <c r="AF197" s="5">
        <v>56</v>
      </c>
      <c r="AG197" s="5">
        <v>0</v>
      </c>
      <c r="AH197" s="5">
        <v>0</v>
      </c>
      <c r="AI197" s="5">
        <v>0</v>
      </c>
    </row>
    <row r="198">
      <c r="A198" s="2" t="str">
        <f>HYPERLINK("https://www.avito.ru/ufa/bytovaya_elektronika/h2d_combo_ams_2_pro_3d_printer_dlya_doma_i_biznesa_cn_8053234136","8053234136")</f>
      </c>
      <c r="B198" t="s">
        <v>179</v>
      </c>
      <c r="C198" t="s">
        <v>180</v>
      </c>
      <c r="D198" t="s">
        <v>181</v>
      </c>
      <c r="E198" t="s">
        <v>38</v>
      </c>
      <c r="F198" t="s">
        <v>39</v>
      </c>
      <c r="G198" t="s">
        <v>40</v>
      </c>
      <c r="H198" s="3" t="str">
        <f>HYPERLINK("https://www.avito.ru/ufa/bytovaya_elektronika/h2d_combo_ams_2_pro_3d_printer_dlya_doma_i_biznesa_cn_8053234136","H2D Combo AMS 2 Pro 3D принтер для дома и бизнеса CN")</f>
      </c>
      <c r="I198" t="s">
        <v>41</v>
      </c>
      <c r="J198" t="s">
        <v>42</v>
      </c>
      <c r="K198" t="s">
        <v>43</v>
      </c>
      <c r="L198">
        <v>50</v>
      </c>
      <c r="M198">
        <v>165</v>
      </c>
      <c r="N198" s="4">
        <v>0.103</v>
      </c>
      <c r="O198">
        <v>17</v>
      </c>
      <c r="P198" s="5">
        <v>3.29</v>
      </c>
      <c r="Q198" s="4">
        <v>0</v>
      </c>
      <c r="R198">
        <v>0</v>
      </c>
      <c r="S198">
        <v>0</v>
      </c>
      <c r="T198">
        <v>0</v>
      </c>
      <c r="U198">
        <v>0</v>
      </c>
      <c r="V198">
        <v>0</v>
      </c>
      <c r="W198" s="5" t="s">
        <v>65</v>
      </c>
      <c r="X198">
        <v>1</v>
      </c>
      <c r="Y198" s="4">
        <v>0</v>
      </c>
      <c r="Z198">
        <v>0</v>
      </c>
      <c r="AA198" s="5">
        <v>0</v>
      </c>
      <c r="AB198">
        <v>0</v>
      </c>
      <c r="AC198" s="5">
        <v>0</v>
      </c>
      <c r="AD198" s="5">
        <v>56</v>
      </c>
      <c r="AE198" s="5">
        <v>0</v>
      </c>
      <c r="AF198" s="5">
        <v>56</v>
      </c>
      <c r="AG198" s="5">
        <v>0</v>
      </c>
      <c r="AH198" s="5">
        <v>0</v>
      </c>
      <c r="AI198" s="5">
        <v>0</v>
      </c>
    </row>
    <row r="199">
      <c r="A199" s="2" t="str">
        <f>HYPERLINK("https://www.avito.ru/samara/bytovaya_elektronika/p2s_combo_3d_printer_s_zakrytym_korpusom_8053380490","8053380490")</f>
      </c>
      <c r="B199" t="s">
        <v>173</v>
      </c>
      <c r="C199" t="s">
        <v>174</v>
      </c>
      <c r="D199" t="s">
        <v>175</v>
      </c>
      <c r="E199" t="s">
        <v>38</v>
      </c>
      <c r="F199" t="s">
        <v>39</v>
      </c>
      <c r="G199" t="s">
        <v>40</v>
      </c>
      <c r="H199" s="3" t="str">
        <f>HYPERLINK("https://www.avito.ru/samara/bytovaya_elektronika/p2s_combo_3d_printer_s_zakrytym_korpusom_8053380490","P2S Combo 3D принтер с закрытым корпусом")</f>
      </c>
      <c r="I199" t="s">
        <v>128</v>
      </c>
      <c r="J199" t="s">
        <v>115</v>
      </c>
      <c r="K199" t="s">
        <v>116</v>
      </c>
      <c r="L199">
        <v>51</v>
      </c>
      <c r="M199">
        <v>291</v>
      </c>
      <c r="N199" s="4">
        <v>0.0584</v>
      </c>
      <c r="O199">
        <v>17</v>
      </c>
      <c r="P199" s="5">
        <v>3.29</v>
      </c>
      <c r="Q199" s="4">
        <v>0.0588</v>
      </c>
      <c r="R199">
        <v>1</v>
      </c>
      <c r="S199">
        <v>1</v>
      </c>
      <c r="T199">
        <v>0</v>
      </c>
      <c r="U199">
        <v>0</v>
      </c>
      <c r="V199">
        <v>0</v>
      </c>
      <c r="W199" s="5">
        <v>56</v>
      </c>
      <c r="X199">
        <v>0</v>
      </c>
      <c r="Y199" s="4">
        <v>0</v>
      </c>
      <c r="Z199">
        <v>0</v>
      </c>
      <c r="AA199" s="5">
        <v>0</v>
      </c>
      <c r="AB199">
        <v>0</v>
      </c>
      <c r="AC199" s="5">
        <v>0</v>
      </c>
      <c r="AD199" s="5">
        <v>56</v>
      </c>
      <c r="AE199" s="5">
        <v>0</v>
      </c>
      <c r="AF199" s="5">
        <v>56</v>
      </c>
      <c r="AG199" s="5">
        <v>0</v>
      </c>
      <c r="AH199" s="5">
        <v>0</v>
      </c>
      <c r="AI199" s="5">
        <v>0</v>
      </c>
    </row>
    <row r="200">
      <c r="A200" s="2" t="str">
        <f>HYPERLINK("https://www.avito.ru/chelyabinsk/bytovaya_elektronika/bambu_lab_h2d_laser_40w_eu_1000mms_8053465383","8053465383")</f>
      </c>
      <c r="B200" t="s">
        <v>66</v>
      </c>
      <c r="C200" t="s">
        <v>67</v>
      </c>
      <c r="D200" t="s">
        <v>68</v>
      </c>
      <c r="E200" t="s">
        <v>38</v>
      </c>
      <c r="F200" t="s">
        <v>39</v>
      </c>
      <c r="G200" t="s">
        <v>40</v>
      </c>
      <c r="H200" s="3" t="str">
        <f>HYPERLINK("https://www.avito.ru/chelyabinsk/bytovaya_elektronika/bambu_lab_h2d_laser_40w_eu_1000mms_8053465383","Bambu Lab H2D Laser 40W EU 1000mm/s")</f>
      </c>
      <c r="I200" t="s">
        <v>57</v>
      </c>
      <c r="J200" t="s">
        <v>42</v>
      </c>
      <c r="K200" t="s">
        <v>43</v>
      </c>
      <c r="L200">
        <v>50</v>
      </c>
      <c r="M200">
        <v>129</v>
      </c>
      <c r="N200" s="4">
        <v>0.1317</v>
      </c>
      <c r="O200">
        <v>17</v>
      </c>
      <c r="P200" s="5">
        <v>3.29</v>
      </c>
      <c r="Q200" s="4">
        <v>0</v>
      </c>
      <c r="R200">
        <v>0</v>
      </c>
      <c r="S200">
        <v>0</v>
      </c>
      <c r="T200">
        <v>0</v>
      </c>
      <c r="U200">
        <v>0</v>
      </c>
      <c r="V200">
        <v>0</v>
      </c>
      <c r="W200" s="5" t="s">
        <v>65</v>
      </c>
      <c r="X200">
        <v>0</v>
      </c>
      <c r="Y200" s="4">
        <v>0</v>
      </c>
      <c r="Z200">
        <v>0</v>
      </c>
      <c r="AA200" s="5">
        <v>0</v>
      </c>
      <c r="AB200">
        <v>0</v>
      </c>
      <c r="AC200" s="5">
        <v>0</v>
      </c>
      <c r="AD200" s="5">
        <v>56</v>
      </c>
      <c r="AE200" s="5">
        <v>0</v>
      </c>
      <c r="AF200" s="5">
        <v>56</v>
      </c>
      <c r="AG200" s="5">
        <v>0</v>
      </c>
      <c r="AH200" s="5">
        <v>0</v>
      </c>
      <c r="AI200" s="5">
        <v>0</v>
      </c>
    </row>
    <row r="201">
      <c r="A201" s="2" t="str">
        <f>HYPERLINK("https://www.avito.ru/novosibirsk/bytovaya_elektronika/vysokotochnyy_3d_printer_h2d_laser_10w_eu_8053685003","8053685003")</f>
      </c>
      <c r="B201" t="s">
        <v>142</v>
      </c>
      <c r="C201" t="s">
        <v>143</v>
      </c>
      <c r="D201" t="s">
        <v>144</v>
      </c>
      <c r="E201" t="s">
        <v>38</v>
      </c>
      <c r="F201" t="s">
        <v>39</v>
      </c>
      <c r="G201" t="s">
        <v>40</v>
      </c>
      <c r="H201" s="3" t="str">
        <f>HYPERLINK("https://www.avito.ru/novosibirsk/bytovaya_elektronika/vysokotochnyy_3d_printer_h2d_laser_10w_eu_8053685003","Высокоточный 3D принтер H2D Laser 10W EU")</f>
      </c>
      <c r="I201" t="s">
        <v>95</v>
      </c>
      <c r="J201" t="s">
        <v>42</v>
      </c>
      <c r="K201" t="s">
        <v>43</v>
      </c>
      <c r="L201">
        <v>50</v>
      </c>
      <c r="M201">
        <v>253</v>
      </c>
      <c r="N201" s="4">
        <v>0.0671</v>
      </c>
      <c r="O201">
        <v>17</v>
      </c>
      <c r="P201" s="5">
        <v>3.29</v>
      </c>
      <c r="Q201" s="4">
        <v>0</v>
      </c>
      <c r="R201">
        <v>0</v>
      </c>
      <c r="S201">
        <v>0</v>
      </c>
      <c r="T201">
        <v>0</v>
      </c>
      <c r="U201">
        <v>0</v>
      </c>
      <c r="V201">
        <v>0</v>
      </c>
      <c r="W201" s="5" t="s">
        <v>65</v>
      </c>
      <c r="X201">
        <v>1</v>
      </c>
      <c r="Y201" s="4">
        <v>0</v>
      </c>
      <c r="Z201">
        <v>0</v>
      </c>
      <c r="AA201" s="5">
        <v>0</v>
      </c>
      <c r="AB201">
        <v>0</v>
      </c>
      <c r="AC201" s="5">
        <v>0</v>
      </c>
      <c r="AD201" s="5">
        <v>56</v>
      </c>
      <c r="AE201" s="5">
        <v>0</v>
      </c>
      <c r="AF201" s="5">
        <v>56</v>
      </c>
      <c r="AG201" s="5">
        <v>0</v>
      </c>
      <c r="AH201" s="5">
        <v>0</v>
      </c>
      <c r="AI201" s="5">
        <v>0</v>
      </c>
    </row>
    <row r="202">
      <c r="A202" s="2" t="str">
        <f>HYPERLINK("https://www.avito.ru/ulyanovsk/bytovaya_elektronika/3d_printer_h2d_combo_ams_2_pro_novyy_8053882522","8053882522")</f>
      </c>
      <c r="B202" t="s">
        <v>219</v>
      </c>
      <c r="C202" t="s">
        <v>220</v>
      </c>
      <c r="D202" t="s">
        <v>221</v>
      </c>
      <c r="E202" t="s">
        <v>38</v>
      </c>
      <c r="F202" t="s">
        <v>39</v>
      </c>
      <c r="G202" t="s">
        <v>40</v>
      </c>
      <c r="H202" s="3" t="str">
        <f>HYPERLINK("https://www.avito.ru/ulyanovsk/bytovaya_elektronika/3d_printer_h2d_combo_ams_2_pro_novyy_8053882522","3Д принтер H2D Combo AMS 2 Pro новый")</f>
      </c>
      <c r="I202" t="s">
        <v>41</v>
      </c>
      <c r="J202" t="s">
        <v>42</v>
      </c>
      <c r="K202" t="s">
        <v>43</v>
      </c>
      <c r="L202">
        <v>50</v>
      </c>
      <c r="M202">
        <v>129</v>
      </c>
      <c r="N202" s="4">
        <v>0.1317</v>
      </c>
      <c r="O202">
        <v>17</v>
      </c>
      <c r="P202" s="5">
        <v>3.29</v>
      </c>
      <c r="Q202" s="4">
        <v>0</v>
      </c>
      <c r="R202">
        <v>0</v>
      </c>
      <c r="S202">
        <v>0</v>
      </c>
      <c r="T202">
        <v>0</v>
      </c>
      <c r="U202">
        <v>0</v>
      </c>
      <c r="V202">
        <v>0</v>
      </c>
      <c r="W202" s="5" t="s">
        <v>65</v>
      </c>
      <c r="X202">
        <v>1</v>
      </c>
      <c r="Y202" s="4">
        <v>0</v>
      </c>
      <c r="Z202">
        <v>0</v>
      </c>
      <c r="AA202" s="5">
        <v>0</v>
      </c>
      <c r="AB202">
        <v>0</v>
      </c>
      <c r="AC202" s="5">
        <v>0</v>
      </c>
      <c r="AD202" s="5">
        <v>56</v>
      </c>
      <c r="AE202" s="5">
        <v>0</v>
      </c>
      <c r="AF202" s="5">
        <v>56</v>
      </c>
      <c r="AG202" s="5">
        <v>0</v>
      </c>
      <c r="AH202" s="5">
        <v>0</v>
      </c>
      <c r="AI202" s="5">
        <v>0</v>
      </c>
    </row>
    <row r="203">
      <c r="A203" s="2" t="str">
        <f>HYPERLINK("https://www.avito.ru/sochi/bytovaya_elektronika/bambu_lab_h2d_combo_ams2_pro_eu_originalnyy_8053898442","8053898442")</f>
      </c>
      <c r="B203" t="s">
        <v>78</v>
      </c>
      <c r="C203" t="s">
        <v>222</v>
      </c>
      <c r="D203" t="s">
        <v>223</v>
      </c>
      <c r="E203" t="s">
        <v>38</v>
      </c>
      <c r="F203" t="s">
        <v>39</v>
      </c>
      <c r="G203" t="s">
        <v>40</v>
      </c>
      <c r="H203" s="3" t="str">
        <f>HYPERLINK("https://www.avito.ru/sochi/bytovaya_elektronika/bambu_lab_h2d_combo_ams2_pro_eu_originalnyy_8053898442","Bambu Lab H2D Combo AMS2 Pro EU оригинальный")</f>
      </c>
      <c r="I203" t="s">
        <v>91</v>
      </c>
      <c r="J203" t="s">
        <v>49</v>
      </c>
      <c r="K203" t="s">
        <v>50</v>
      </c>
      <c r="L203">
        <v>52</v>
      </c>
      <c r="M203">
        <v>84</v>
      </c>
      <c r="N203" s="4">
        <v>0.2023</v>
      </c>
      <c r="O203">
        <v>17</v>
      </c>
      <c r="P203" s="5">
        <v>3.29</v>
      </c>
      <c r="Q203" s="4">
        <v>0</v>
      </c>
      <c r="R203">
        <v>0</v>
      </c>
      <c r="S203">
        <v>0</v>
      </c>
      <c r="T203">
        <v>0</v>
      </c>
      <c r="U203">
        <v>0</v>
      </c>
      <c r="V203">
        <v>0</v>
      </c>
      <c r="W203" s="5" t="s">
        <v>65</v>
      </c>
      <c r="X203">
        <v>0</v>
      </c>
      <c r="Y203" s="4">
        <v>0</v>
      </c>
      <c r="Z203">
        <v>0</v>
      </c>
      <c r="AA203" s="5">
        <v>0</v>
      </c>
      <c r="AB203">
        <v>0</v>
      </c>
      <c r="AC203" s="5">
        <v>0</v>
      </c>
      <c r="AD203" s="5">
        <v>56</v>
      </c>
      <c r="AE203" s="5">
        <v>0</v>
      </c>
      <c r="AF203" s="5">
        <v>56</v>
      </c>
      <c r="AG203" s="5">
        <v>0</v>
      </c>
      <c r="AH203" s="5">
        <v>0</v>
      </c>
      <c r="AI203" s="5">
        <v>0</v>
      </c>
    </row>
    <row r="204">
      <c r="A204" s="2" t="str">
        <f>HYPERLINK("https://www.avito.ru/orenburg/bytovaya_elektronika/h2s_combo_ams_2_pro_3d_printer_s_kameroy_8052922372","8052922372")</f>
      </c>
      <c r="B204" t="s">
        <v>193</v>
      </c>
      <c r="C204" t="s">
        <v>194</v>
      </c>
      <c r="D204" t="s">
        <v>195</v>
      </c>
      <c r="E204" t="s">
        <v>38</v>
      </c>
      <c r="F204" t="s">
        <v>39</v>
      </c>
      <c r="G204" t="s">
        <v>40</v>
      </c>
      <c r="H204" s="3" t="str">
        <f>HYPERLINK("https://www.avito.ru/orenburg/bytovaya_elektronika/h2s_combo_ams_2_pro_3d_printer_s_kameroy_8052922372","H2S Combo AMS 2 PRO 3D принтер с камерой")</f>
      </c>
      <c r="I204" t="s">
        <v>48</v>
      </c>
      <c r="J204" t="s">
        <v>115</v>
      </c>
      <c r="K204" t="s">
        <v>116</v>
      </c>
      <c r="L204">
        <v>51</v>
      </c>
      <c r="M204">
        <v>192</v>
      </c>
      <c r="N204" s="4">
        <v>0.0833</v>
      </c>
      <c r="O204">
        <v>16</v>
      </c>
      <c r="P204" s="5">
        <v>3.5</v>
      </c>
      <c r="Q204" s="4">
        <v>0</v>
      </c>
      <c r="R204">
        <v>0</v>
      </c>
      <c r="S204">
        <v>0</v>
      </c>
      <c r="T204">
        <v>0</v>
      </c>
      <c r="U204">
        <v>0</v>
      </c>
      <c r="V204">
        <v>0</v>
      </c>
      <c r="W204" s="5" t="s">
        <v>65</v>
      </c>
      <c r="X204">
        <v>2</v>
      </c>
      <c r="Y204" s="4">
        <v>0</v>
      </c>
      <c r="Z204">
        <v>0</v>
      </c>
      <c r="AA204" s="5">
        <v>0</v>
      </c>
      <c r="AB204">
        <v>0</v>
      </c>
      <c r="AC204" s="5">
        <v>0</v>
      </c>
      <c r="AD204" s="5">
        <v>56</v>
      </c>
      <c r="AE204" s="5">
        <v>0</v>
      </c>
      <c r="AF204" s="5">
        <v>56</v>
      </c>
      <c r="AG204" s="5">
        <v>0</v>
      </c>
      <c r="AH204" s="5">
        <v>0</v>
      </c>
      <c r="AI204" s="5">
        <v>0</v>
      </c>
    </row>
    <row r="205">
      <c r="A205" s="2" t="str">
        <f>HYPERLINK("https://www.avito.ru/omsk/bytovaya_elektronika/h2d_laser_40w_eu_3d_printer_s_lazerom_40vt_8052960649","8052960649")</f>
      </c>
      <c r="B205" t="s">
        <v>70</v>
      </c>
      <c r="C205" t="s">
        <v>71</v>
      </c>
      <c r="D205" t="s">
        <v>72</v>
      </c>
      <c r="E205" t="s">
        <v>38</v>
      </c>
      <c r="F205" t="s">
        <v>39</v>
      </c>
      <c r="G205" t="s">
        <v>40</v>
      </c>
      <c r="H205" s="3" t="str">
        <f>HYPERLINK("https://www.avito.ru/omsk/bytovaya_elektronika/h2d_laser_40w_eu_3d_printer_s_lazerom_40vt_8052960649","H2D Laser 40W EU 3D принтер с лазером 40Вт")</f>
      </c>
      <c r="I205" t="s">
        <v>57</v>
      </c>
      <c r="J205" t="s">
        <v>42</v>
      </c>
      <c r="K205" t="s">
        <v>43</v>
      </c>
      <c r="L205">
        <v>50</v>
      </c>
      <c r="M205">
        <v>239</v>
      </c>
      <c r="N205" s="4">
        <v>0.0669</v>
      </c>
      <c r="O205">
        <v>16</v>
      </c>
      <c r="P205" s="5">
        <v>3.5</v>
      </c>
      <c r="Q205" s="4">
        <v>0.0625</v>
      </c>
      <c r="R205">
        <v>1</v>
      </c>
      <c r="S205">
        <v>0</v>
      </c>
      <c r="T205">
        <v>0</v>
      </c>
      <c r="U205">
        <v>1</v>
      </c>
      <c r="V205">
        <v>0</v>
      </c>
      <c r="W205" s="5">
        <v>56</v>
      </c>
      <c r="X205">
        <v>1</v>
      </c>
      <c r="Y205" s="4">
        <v>0</v>
      </c>
      <c r="Z205">
        <v>0</v>
      </c>
      <c r="AA205" s="5">
        <v>0</v>
      </c>
      <c r="AB205">
        <v>0</v>
      </c>
      <c r="AC205" s="5">
        <v>0</v>
      </c>
      <c r="AD205" s="5">
        <v>56</v>
      </c>
      <c r="AE205" s="5">
        <v>0</v>
      </c>
      <c r="AF205" s="5">
        <v>56</v>
      </c>
      <c r="AG205" s="5">
        <v>0</v>
      </c>
      <c r="AH205" s="5">
        <v>0</v>
      </c>
      <c r="AI205" s="5">
        <v>0</v>
      </c>
    </row>
    <row r="206">
      <c r="A206" s="2" t="str">
        <f>HYPERLINK("https://www.avito.ru/nizhniy_novgorod/bytovaya_elektronika/3d_printer_bambu_lab_h2s_laser_10w_eu_8052981626","8052981626")</f>
      </c>
      <c r="B206" t="s">
        <v>125</v>
      </c>
      <c r="C206" t="s">
        <v>126</v>
      </c>
      <c r="D206" t="s">
        <v>127</v>
      </c>
      <c r="E206" t="s">
        <v>38</v>
      </c>
      <c r="F206" t="s">
        <v>39</v>
      </c>
      <c r="G206" t="s">
        <v>40</v>
      </c>
      <c r="H206" s="3" t="str">
        <f>HYPERLINK("https://www.avito.ru/nizhniy_novgorod/bytovaya_elektronika/3d_printer_bambu_lab_h2s_laser_10w_eu_8052981626","3Д принтер Bambu Lab H2S Laser 10W EU")</f>
      </c>
      <c r="I206" t="s">
        <v>129</v>
      </c>
      <c r="J206" t="s">
        <v>115</v>
      </c>
      <c r="K206" t="s">
        <v>116</v>
      </c>
      <c r="L206">
        <v>51</v>
      </c>
      <c r="M206">
        <v>211</v>
      </c>
      <c r="N206" s="4">
        <v>0.0758</v>
      </c>
      <c r="O206">
        <v>16</v>
      </c>
      <c r="P206" s="5">
        <v>3.5</v>
      </c>
      <c r="Q206" s="4">
        <v>0</v>
      </c>
      <c r="R206">
        <v>0</v>
      </c>
      <c r="S206">
        <v>0</v>
      </c>
      <c r="T206">
        <v>0</v>
      </c>
      <c r="U206">
        <v>0</v>
      </c>
      <c r="V206">
        <v>0</v>
      </c>
      <c r="W206" s="5" t="s">
        <v>65</v>
      </c>
      <c r="X206">
        <v>2</v>
      </c>
      <c r="Y206" s="4">
        <v>0</v>
      </c>
      <c r="Z206">
        <v>0</v>
      </c>
      <c r="AA206" s="5">
        <v>0</v>
      </c>
      <c r="AB206">
        <v>0</v>
      </c>
      <c r="AC206" s="5">
        <v>0</v>
      </c>
      <c r="AD206" s="5">
        <v>56</v>
      </c>
      <c r="AE206" s="5">
        <v>0</v>
      </c>
      <c r="AF206" s="5">
        <v>56</v>
      </c>
      <c r="AG206" s="5">
        <v>0</v>
      </c>
      <c r="AH206" s="5">
        <v>0</v>
      </c>
      <c r="AI206" s="5">
        <v>0</v>
      </c>
    </row>
    <row r="207">
      <c r="A207" s="2" t="str">
        <f>HYPERLINK("https://www.avito.ru/sankt-peterburg/bytovaya_elektronika/bambu_lab_h2c_combo_eu_dlya_masterskoy_8053013565","8053013565")</f>
      </c>
      <c r="B207" t="s">
        <v>35</v>
      </c>
      <c r="C207" t="s">
        <v>81</v>
      </c>
      <c r="D207" t="s">
        <v>82</v>
      </c>
      <c r="E207" t="s">
        <v>38</v>
      </c>
      <c r="F207" t="s">
        <v>39</v>
      </c>
      <c r="G207" t="s">
        <v>40</v>
      </c>
      <c r="H207" s="3" t="str">
        <f>HYPERLINK("https://www.avito.ru/sankt-peterburg/bytovaya_elektronika/bambu_lab_h2c_combo_eu_dlya_masterskoy_8053013565","Bambu Lab H2C Combo EU для мастерской")</f>
      </c>
      <c r="I207" t="s">
        <v>83</v>
      </c>
      <c r="J207" t="s">
        <v>115</v>
      </c>
      <c r="K207" t="s">
        <v>116</v>
      </c>
      <c r="L207">
        <v>51</v>
      </c>
      <c r="M207">
        <v>156</v>
      </c>
      <c r="N207" s="4">
        <v>0.1025</v>
      </c>
      <c r="O207">
        <v>16</v>
      </c>
      <c r="P207" s="5">
        <v>3.5</v>
      </c>
      <c r="Q207" s="4">
        <v>0</v>
      </c>
      <c r="R207">
        <v>0</v>
      </c>
      <c r="S207">
        <v>0</v>
      </c>
      <c r="T207">
        <v>0</v>
      </c>
      <c r="U207">
        <v>0</v>
      </c>
      <c r="V207">
        <v>0</v>
      </c>
      <c r="W207" s="5" t="s">
        <v>65</v>
      </c>
      <c r="X207">
        <v>0</v>
      </c>
      <c r="Y207" s="4">
        <v>0</v>
      </c>
      <c r="Z207">
        <v>0</v>
      </c>
      <c r="AA207" s="5">
        <v>0</v>
      </c>
      <c r="AB207">
        <v>0</v>
      </c>
      <c r="AC207" s="5">
        <v>0</v>
      </c>
      <c r="AD207" s="5">
        <v>56</v>
      </c>
      <c r="AE207" s="5">
        <v>0</v>
      </c>
      <c r="AF207" s="5">
        <v>56</v>
      </c>
      <c r="AG207" s="5">
        <v>0</v>
      </c>
      <c r="AH207" s="5">
        <v>0</v>
      </c>
      <c r="AI207" s="5">
        <v>0</v>
      </c>
    </row>
    <row r="208">
      <c r="A208" s="2" t="str">
        <f>HYPERLINK("https://www.avito.ru/ulyanovsk/bytovaya_elektronika/bambu_lab_h2d_combo_ams_2_pro_dlya_profi_8053150394","8053150394")</f>
      </c>
      <c r="B208" t="s">
        <v>219</v>
      </c>
      <c r="C208" t="s">
        <v>220</v>
      </c>
      <c r="D208" t="s">
        <v>221</v>
      </c>
      <c r="E208" t="s">
        <v>38</v>
      </c>
      <c r="F208" t="s">
        <v>39</v>
      </c>
      <c r="G208" t="s">
        <v>40</v>
      </c>
      <c r="H208" s="3" t="str">
        <f>HYPERLINK("https://www.avito.ru/ulyanovsk/bytovaya_elektronika/bambu_lab_h2d_combo_ams_2_pro_dlya_profi_8053150394","Bambu Lab H2D Combo AMS 2 Pro для профи")</f>
      </c>
      <c r="I208" t="s">
        <v>91</v>
      </c>
      <c r="J208" t="s">
        <v>42</v>
      </c>
      <c r="K208" t="s">
        <v>43</v>
      </c>
      <c r="L208">
        <v>50</v>
      </c>
      <c r="M208">
        <v>227</v>
      </c>
      <c r="N208" s="4">
        <v>0.0704</v>
      </c>
      <c r="O208">
        <v>16</v>
      </c>
      <c r="P208" s="5">
        <v>3.5</v>
      </c>
      <c r="Q208" s="4">
        <v>0</v>
      </c>
      <c r="R208">
        <v>0</v>
      </c>
      <c r="S208">
        <v>0</v>
      </c>
      <c r="T208">
        <v>0</v>
      </c>
      <c r="U208">
        <v>0</v>
      </c>
      <c r="V208">
        <v>0</v>
      </c>
      <c r="W208" s="5" t="s">
        <v>65</v>
      </c>
      <c r="X208">
        <v>1</v>
      </c>
      <c r="Y208" s="4">
        <v>0</v>
      </c>
      <c r="Z208">
        <v>0</v>
      </c>
      <c r="AA208" s="5">
        <v>0</v>
      </c>
      <c r="AB208">
        <v>0</v>
      </c>
      <c r="AC208" s="5">
        <v>0</v>
      </c>
      <c r="AD208" s="5">
        <v>56</v>
      </c>
      <c r="AE208" s="5">
        <v>0</v>
      </c>
      <c r="AF208" s="5">
        <v>56</v>
      </c>
      <c r="AG208" s="5">
        <v>0</v>
      </c>
      <c r="AH208" s="5">
        <v>0</v>
      </c>
      <c r="AI208" s="5">
        <v>0</v>
      </c>
    </row>
    <row r="209">
      <c r="A209" s="2" t="str">
        <f>HYPERLINK("https://www.avito.ru/ekaterinburg/bytovaya_elektronika/h2d_combo_ams2_pro_eu_3d_printer_promyshlennyy_8053216159","8053216159")</f>
      </c>
      <c r="B209" t="s">
        <v>136</v>
      </c>
      <c r="C209" t="s">
        <v>137</v>
      </c>
      <c r="D209" t="s">
        <v>138</v>
      </c>
      <c r="E209" t="s">
        <v>38</v>
      </c>
      <c r="F209" t="s">
        <v>39</v>
      </c>
      <c r="G209" t="s">
        <v>40</v>
      </c>
      <c r="H209" s="3" t="str">
        <f>HYPERLINK("https://www.avito.ru/ekaterinburg/bytovaya_elektronika/h2d_combo_ams2_pro_eu_3d_printer_promyshlennyy_8053216159","H2D Combo AMS2 Pro EU 3D принтер промышленный")</f>
      </c>
      <c r="I209" t="s">
        <v>91</v>
      </c>
      <c r="J209" t="s">
        <v>49</v>
      </c>
      <c r="K209" t="s">
        <v>50</v>
      </c>
      <c r="L209">
        <v>52</v>
      </c>
      <c r="M209">
        <v>97</v>
      </c>
      <c r="N209" s="4">
        <v>0.1649</v>
      </c>
      <c r="O209">
        <v>16</v>
      </c>
      <c r="P209" s="5">
        <v>3.5</v>
      </c>
      <c r="Q209" s="4">
        <v>0.0625</v>
      </c>
      <c r="R209">
        <v>1</v>
      </c>
      <c r="S209">
        <v>1</v>
      </c>
      <c r="T209">
        <v>0</v>
      </c>
      <c r="U209">
        <v>0</v>
      </c>
      <c r="V209">
        <v>0</v>
      </c>
      <c r="W209" s="5">
        <v>56</v>
      </c>
      <c r="X209">
        <v>0</v>
      </c>
      <c r="Y209" s="4">
        <v>0</v>
      </c>
      <c r="Z209">
        <v>0</v>
      </c>
      <c r="AA209" s="5">
        <v>0</v>
      </c>
      <c r="AB209">
        <v>0</v>
      </c>
      <c r="AC209" s="5">
        <v>0</v>
      </c>
      <c r="AD209" s="5">
        <v>56</v>
      </c>
      <c r="AE209" s="5">
        <v>0</v>
      </c>
      <c r="AF209" s="5">
        <v>56</v>
      </c>
      <c r="AG209" s="5">
        <v>0</v>
      </c>
      <c r="AH209" s="5">
        <v>0</v>
      </c>
      <c r="AI209" s="5">
        <v>0</v>
      </c>
    </row>
    <row r="210">
      <c r="A210" s="2" t="str">
        <f>HYPERLINK("https://www.avito.ru/kaliningrad/bytovaya_elektronika/h2d_combo_ams_2_pro_vysokotochnyy_3d_printer_8053498425","8053498425")</f>
      </c>
      <c r="B210" t="s">
        <v>103</v>
      </c>
      <c r="C210" t="s">
        <v>104</v>
      </c>
      <c r="D210" t="s">
        <v>105</v>
      </c>
      <c r="E210" t="s">
        <v>38</v>
      </c>
      <c r="F210" t="s">
        <v>39</v>
      </c>
      <c r="G210" t="s">
        <v>40</v>
      </c>
      <c r="H210" s="3" t="str">
        <f>HYPERLINK("https://www.avito.ru/kaliningrad/bytovaya_elektronika/h2d_combo_ams_2_pro_vysokotochnyy_3d_printer_8053498425","H2D Combo AMS 2 Pro высокоточный 3D принтер")</f>
      </c>
      <c r="I210" t="s">
        <v>91</v>
      </c>
      <c r="J210" t="s">
        <v>42</v>
      </c>
      <c r="K210" t="s">
        <v>43</v>
      </c>
      <c r="L210">
        <v>50</v>
      </c>
      <c r="M210">
        <v>221</v>
      </c>
      <c r="N210" s="4">
        <v>0.0723</v>
      </c>
      <c r="O210">
        <v>16</v>
      </c>
      <c r="P210" s="5">
        <v>3.5</v>
      </c>
      <c r="Q210" s="4">
        <v>0</v>
      </c>
      <c r="R210">
        <v>0</v>
      </c>
      <c r="S210">
        <v>0</v>
      </c>
      <c r="T210">
        <v>0</v>
      </c>
      <c r="U210">
        <v>0</v>
      </c>
      <c r="V210">
        <v>0</v>
      </c>
      <c r="W210" s="5" t="s">
        <v>65</v>
      </c>
      <c r="X210">
        <v>0</v>
      </c>
      <c r="Y210" s="4">
        <v>0</v>
      </c>
      <c r="Z210">
        <v>0</v>
      </c>
      <c r="AA210" s="5">
        <v>0</v>
      </c>
      <c r="AB210">
        <v>0</v>
      </c>
      <c r="AC210" s="5">
        <v>0</v>
      </c>
      <c r="AD210" s="5">
        <v>56</v>
      </c>
      <c r="AE210" s="5">
        <v>0</v>
      </c>
      <c r="AF210" s="5">
        <v>56</v>
      </c>
      <c r="AG210" s="5">
        <v>0</v>
      </c>
      <c r="AH210" s="5">
        <v>0</v>
      </c>
      <c r="AI210" s="5">
        <v>0</v>
      </c>
    </row>
    <row r="211">
      <c r="A211" s="2" t="str">
        <f>HYPERLINK("https://www.avito.ru/tolyatti/bytovaya_elektronika/h2s_combo_ams_2_pro_3d_printer_8053524923","8053524923")</f>
      </c>
      <c r="B211" t="s">
        <v>173</v>
      </c>
      <c r="C211" t="s">
        <v>216</v>
      </c>
      <c r="D211" t="s">
        <v>217</v>
      </c>
      <c r="E211" t="s">
        <v>38</v>
      </c>
      <c r="F211" t="s">
        <v>39</v>
      </c>
      <c r="G211" t="s">
        <v>40</v>
      </c>
      <c r="H211" s="3" t="str">
        <f>HYPERLINK("https://www.avito.ru/tolyatti/bytovaya_elektronika/h2s_combo_ams_2_pro_3d_printer_8053524923","H2S Combo AMS 2 PRO 3D принтер")</f>
      </c>
      <c r="I211" t="s">
        <v>48</v>
      </c>
      <c r="J211" t="s">
        <v>115</v>
      </c>
      <c r="K211" t="s">
        <v>116</v>
      </c>
      <c r="L211">
        <v>51</v>
      </c>
      <c r="M211">
        <v>159</v>
      </c>
      <c r="N211" s="4">
        <v>0.1006</v>
      </c>
      <c r="O211">
        <v>16</v>
      </c>
      <c r="P211" s="5">
        <v>3.5</v>
      </c>
      <c r="Q211" s="4">
        <v>0</v>
      </c>
      <c r="R211">
        <v>0</v>
      </c>
      <c r="S211">
        <v>0</v>
      </c>
      <c r="T211">
        <v>0</v>
      </c>
      <c r="U211">
        <v>0</v>
      </c>
      <c r="V211">
        <v>0</v>
      </c>
      <c r="W211" s="5" t="s">
        <v>65</v>
      </c>
      <c r="X211">
        <v>0</v>
      </c>
      <c r="Y211" s="4">
        <v>0</v>
      </c>
      <c r="Z211">
        <v>0</v>
      </c>
      <c r="AA211" s="5">
        <v>0</v>
      </c>
      <c r="AB211">
        <v>0</v>
      </c>
      <c r="AC211" s="5">
        <v>0</v>
      </c>
      <c r="AD211" s="5">
        <v>56</v>
      </c>
      <c r="AE211" s="5">
        <v>0</v>
      </c>
      <c r="AF211" s="5">
        <v>56</v>
      </c>
      <c r="AG211" s="5">
        <v>0</v>
      </c>
      <c r="AH211" s="5">
        <v>0</v>
      </c>
      <c r="AI211" s="5">
        <v>0</v>
      </c>
    </row>
    <row r="212">
      <c r="A212" s="2" t="str">
        <f>HYPERLINK("https://www.avito.ru/omsk/bytovaya_elektronika/h2d_combo_ams_2_pro_3d_printer_35_litrov_cn_8053594670","8053594670")</f>
      </c>
      <c r="B212" t="s">
        <v>70</v>
      </c>
      <c r="C212" t="s">
        <v>71</v>
      </c>
      <c r="D212" t="s">
        <v>72</v>
      </c>
      <c r="E212" t="s">
        <v>38</v>
      </c>
      <c r="F212" t="s">
        <v>39</v>
      </c>
      <c r="G212" t="s">
        <v>40</v>
      </c>
      <c r="H212" s="3" t="str">
        <f>HYPERLINK("https://www.avito.ru/omsk/bytovaya_elektronika/h2d_combo_ams_2_pro_3d_printer_35_litrov_cn_8053594670","H2D Combo AMS 2 Pro 3D принтер 35 литров CN")</f>
      </c>
      <c r="I212" t="s">
        <v>41</v>
      </c>
      <c r="J212" t="s">
        <v>42</v>
      </c>
      <c r="K212" t="s">
        <v>43</v>
      </c>
      <c r="L212">
        <v>50</v>
      </c>
      <c r="M212">
        <v>98</v>
      </c>
      <c r="N212" s="4">
        <v>0.1632</v>
      </c>
      <c r="O212">
        <v>16</v>
      </c>
      <c r="P212" s="5">
        <v>3.5</v>
      </c>
      <c r="Q212" s="4">
        <v>0</v>
      </c>
      <c r="R212">
        <v>0</v>
      </c>
      <c r="S212">
        <v>0</v>
      </c>
      <c r="T212">
        <v>0</v>
      </c>
      <c r="U212">
        <v>0</v>
      </c>
      <c r="V212">
        <v>0</v>
      </c>
      <c r="W212" s="5" t="s">
        <v>65</v>
      </c>
      <c r="X212">
        <v>0</v>
      </c>
      <c r="Y212" s="4">
        <v>0</v>
      </c>
      <c r="Z212">
        <v>0</v>
      </c>
      <c r="AA212" s="5">
        <v>0</v>
      </c>
      <c r="AB212">
        <v>0</v>
      </c>
      <c r="AC212" s="5">
        <v>0</v>
      </c>
      <c r="AD212" s="5">
        <v>56</v>
      </c>
      <c r="AE212" s="5">
        <v>0</v>
      </c>
      <c r="AF212" s="5">
        <v>56</v>
      </c>
      <c r="AG212" s="5">
        <v>0</v>
      </c>
      <c r="AH212" s="5">
        <v>0</v>
      </c>
      <c r="AI212" s="5">
        <v>0</v>
      </c>
    </row>
    <row r="213">
      <c r="A213" s="2" t="str">
        <f>HYPERLINK("https://www.avito.ru/perm/bytovaya_elektronika/h2d_combo_ams_2_pro_3d_printer_dlya_studiy_cn_8053601134","8053601134")</f>
      </c>
      <c r="B213" t="s">
        <v>61</v>
      </c>
      <c r="C213" t="s">
        <v>62</v>
      </c>
      <c r="D213" t="s">
        <v>63</v>
      </c>
      <c r="E213" t="s">
        <v>38</v>
      </c>
      <c r="F213" t="s">
        <v>39</v>
      </c>
      <c r="G213" t="s">
        <v>40</v>
      </c>
      <c r="H213" s="3" t="str">
        <f>HYPERLINK("https://www.avito.ru/perm/bytovaya_elektronika/h2d_combo_ams_2_pro_3d_printer_dlya_studiy_cn_8053601134","H2D Combo AMS 2 Pro 3D принтер для студий CN")</f>
      </c>
      <c r="I213" t="s">
        <v>41</v>
      </c>
      <c r="J213" t="s">
        <v>42</v>
      </c>
      <c r="K213" t="s">
        <v>43</v>
      </c>
      <c r="L213">
        <v>50</v>
      </c>
      <c r="M213">
        <v>222</v>
      </c>
      <c r="N213" s="4">
        <v>0.072</v>
      </c>
      <c r="O213">
        <v>16</v>
      </c>
      <c r="P213" s="5">
        <v>3.5</v>
      </c>
      <c r="Q213" s="4">
        <v>0</v>
      </c>
      <c r="R213">
        <v>0</v>
      </c>
      <c r="S213">
        <v>0</v>
      </c>
      <c r="T213">
        <v>0</v>
      </c>
      <c r="U213">
        <v>0</v>
      </c>
      <c r="V213">
        <v>0</v>
      </c>
      <c r="W213" s="5" t="s">
        <v>65</v>
      </c>
      <c r="X213">
        <v>1</v>
      </c>
      <c r="Y213" s="4">
        <v>0</v>
      </c>
      <c r="Z213">
        <v>0</v>
      </c>
      <c r="AA213" s="5">
        <v>0</v>
      </c>
      <c r="AB213">
        <v>0</v>
      </c>
      <c r="AC213" s="5">
        <v>0</v>
      </c>
      <c r="AD213" s="5">
        <v>56</v>
      </c>
      <c r="AE213" s="5">
        <v>0</v>
      </c>
      <c r="AF213" s="5">
        <v>56</v>
      </c>
      <c r="AG213" s="5">
        <v>0</v>
      </c>
      <c r="AH213" s="5">
        <v>0</v>
      </c>
      <c r="AI213" s="5">
        <v>0</v>
      </c>
    </row>
    <row r="214">
      <c r="A214" s="2" t="str">
        <f>HYPERLINK("https://www.avito.ru/samara/bytovaya_elektronika/novyy_3d_printer_bambu_lab_h2s_combo_ams_2_pro_8053615085","8053615085")</f>
      </c>
      <c r="B214" t="s">
        <v>173</v>
      </c>
      <c r="C214" t="s">
        <v>174</v>
      </c>
      <c r="D214" t="s">
        <v>175</v>
      </c>
      <c r="E214" t="s">
        <v>38</v>
      </c>
      <c r="F214" t="s">
        <v>39</v>
      </c>
      <c r="G214" t="s">
        <v>40</v>
      </c>
      <c r="H214" s="3" t="str">
        <f>HYPERLINK("https://www.avito.ru/samara/bytovaya_elektronika/novyy_3d_printer_bambu_lab_h2s_combo_ams_2_pro_8053615085","Новый 3D принтер Bambu Lab H2S Combo AMS 2 PRO")</f>
      </c>
      <c r="I214" t="s">
        <v>48</v>
      </c>
      <c r="J214" t="s">
        <v>49</v>
      </c>
      <c r="K214" t="s">
        <v>50</v>
      </c>
      <c r="L214">
        <v>52</v>
      </c>
      <c r="M214">
        <v>237</v>
      </c>
      <c r="N214" s="4">
        <v>0.0675</v>
      </c>
      <c r="O214">
        <v>16</v>
      </c>
      <c r="P214" s="5">
        <v>3.5</v>
      </c>
      <c r="Q214" s="4">
        <v>0</v>
      </c>
      <c r="R214">
        <v>0</v>
      </c>
      <c r="S214">
        <v>0</v>
      </c>
      <c r="T214">
        <v>0</v>
      </c>
      <c r="U214">
        <v>0</v>
      </c>
      <c r="V214">
        <v>0</v>
      </c>
      <c r="W214" s="5" t="s">
        <v>65</v>
      </c>
      <c r="X214">
        <v>3</v>
      </c>
      <c r="Y214" s="4">
        <v>0</v>
      </c>
      <c r="Z214">
        <v>0</v>
      </c>
      <c r="AA214" s="5">
        <v>0</v>
      </c>
      <c r="AB214">
        <v>0</v>
      </c>
      <c r="AC214" s="5">
        <v>0</v>
      </c>
      <c r="AD214" s="5">
        <v>56</v>
      </c>
      <c r="AE214" s="5">
        <v>0</v>
      </c>
      <c r="AF214" s="5">
        <v>56</v>
      </c>
      <c r="AG214" s="5">
        <v>0</v>
      </c>
      <c r="AH214" s="5">
        <v>0</v>
      </c>
      <c r="AI214" s="5">
        <v>0</v>
      </c>
    </row>
    <row r="215">
      <c r="A215" s="2" t="str">
        <f>HYPERLINK("https://www.avito.ru/moskva/bytovaya_elektronika/elegoo_giga_storm_stantsiya_3d_pechati_8053639673","8053639673")</f>
      </c>
      <c r="B215" t="s">
        <v>35</v>
      </c>
      <c r="C215" t="s">
        <v>36</v>
      </c>
      <c r="D215" t="s">
        <v>37</v>
      </c>
      <c r="E215" t="s">
        <v>38</v>
      </c>
      <c r="F215" t="s">
        <v>39</v>
      </c>
      <c r="G215" t="s">
        <v>40</v>
      </c>
      <c r="H215" s="3" t="str">
        <f>HYPERLINK("https://www.avito.ru/moskva/bytovaya_elektronika/elegoo_giga_storm_stantsiya_3d_pechati_8053639673","Elegoo Giga Storm станция 3D печати")</f>
      </c>
      <c r="I215" t="s">
        <v>64</v>
      </c>
      <c r="J215" t="s">
        <v>42</v>
      </c>
      <c r="K215" t="s">
        <v>43</v>
      </c>
      <c r="L215">
        <v>50</v>
      </c>
      <c r="M215">
        <v>252</v>
      </c>
      <c r="N215" s="4">
        <v>0.0634</v>
      </c>
      <c r="O215">
        <v>16</v>
      </c>
      <c r="P215" s="5">
        <v>5.31</v>
      </c>
      <c r="Q215" s="4">
        <v>0</v>
      </c>
      <c r="R215">
        <v>0</v>
      </c>
      <c r="S215">
        <v>0</v>
      </c>
      <c r="T215">
        <v>0</v>
      </c>
      <c r="U215">
        <v>0</v>
      </c>
      <c r="V215">
        <v>0</v>
      </c>
      <c r="W215" s="5" t="s">
        <v>65</v>
      </c>
      <c r="X215">
        <v>0</v>
      </c>
      <c r="Y215" s="4">
        <v>0</v>
      </c>
      <c r="Z215">
        <v>0</v>
      </c>
      <c r="AA215" s="5">
        <v>0</v>
      </c>
      <c r="AB215">
        <v>0</v>
      </c>
      <c r="AC215" s="5">
        <v>0</v>
      </c>
      <c r="AD215" s="5">
        <v>85</v>
      </c>
      <c r="AE215" s="5">
        <v>0</v>
      </c>
      <c r="AF215" s="5">
        <v>85</v>
      </c>
      <c r="AG215" s="5">
        <v>0</v>
      </c>
      <c r="AH215" s="5">
        <v>0</v>
      </c>
      <c r="AI215" s="5">
        <v>0</v>
      </c>
    </row>
    <row r="216">
      <c r="A216" s="2" t="str">
        <f>HYPERLINK("https://www.avito.ru/krasnodar/bytovaya_elektronika/inzhenernyy_3d_printer_bambu_lab_h2d_pro_combo_ams_8053775686","8053775686")</f>
      </c>
      <c r="B216" t="s">
        <v>78</v>
      </c>
      <c r="C216" t="s">
        <v>79</v>
      </c>
      <c r="D216" t="s">
        <v>80</v>
      </c>
      <c r="E216" t="s">
        <v>38</v>
      </c>
      <c r="F216" t="s">
        <v>39</v>
      </c>
      <c r="G216" t="s">
        <v>40</v>
      </c>
      <c r="H216" s="3" t="str">
        <f>HYPERLINK("https://www.avito.ru/krasnodar/bytovaya_elektronika/inzhenernyy_3d_printer_bambu_lab_h2d_pro_combo_ams_8053775686","Инженерный 3D принтер Bambu Lab H2D PRO Combo AMS")</f>
      </c>
      <c r="I216" t="s">
        <v>172</v>
      </c>
      <c r="J216" t="s">
        <v>115</v>
      </c>
      <c r="K216" t="s">
        <v>116</v>
      </c>
      <c r="L216">
        <v>51</v>
      </c>
      <c r="M216">
        <v>411</v>
      </c>
      <c r="N216" s="4">
        <v>0.0389</v>
      </c>
      <c r="O216">
        <v>16</v>
      </c>
      <c r="P216" s="5">
        <v>3.5</v>
      </c>
      <c r="Q216" s="4">
        <v>0</v>
      </c>
      <c r="R216">
        <v>0</v>
      </c>
      <c r="S216">
        <v>0</v>
      </c>
      <c r="T216">
        <v>0</v>
      </c>
      <c r="U216">
        <v>0</v>
      </c>
      <c r="V216">
        <v>0</v>
      </c>
      <c r="W216" s="5" t="s">
        <v>65</v>
      </c>
      <c r="X216">
        <v>0</v>
      </c>
      <c r="Y216" s="4">
        <v>0</v>
      </c>
      <c r="Z216">
        <v>0</v>
      </c>
      <c r="AA216" s="5">
        <v>0</v>
      </c>
      <c r="AB216">
        <v>0</v>
      </c>
      <c r="AC216" s="5">
        <v>0</v>
      </c>
      <c r="AD216" s="5">
        <v>56</v>
      </c>
      <c r="AE216" s="5">
        <v>0</v>
      </c>
      <c r="AF216" s="5">
        <v>56</v>
      </c>
      <c r="AG216" s="5">
        <v>0</v>
      </c>
      <c r="AH216" s="5">
        <v>0</v>
      </c>
      <c r="AI216" s="5">
        <v>0</v>
      </c>
    </row>
    <row r="217">
      <c r="A217" s="2" t="str">
        <f>HYPERLINK("https://www.avito.ru/moskva/bytovaya_elektronika/3d_printer_bambu_lab_p2s_combo_8053080070","8053080070")</f>
      </c>
      <c r="B217" t="s">
        <v>35</v>
      </c>
      <c r="C217" t="s">
        <v>36</v>
      </c>
      <c r="D217" t="s">
        <v>37</v>
      </c>
      <c r="E217" t="s">
        <v>38</v>
      </c>
      <c r="F217" t="s">
        <v>39</v>
      </c>
      <c r="G217" t="s">
        <v>40</v>
      </c>
      <c r="H217" s="3" t="str">
        <f>HYPERLINK("https://www.avito.ru/moskva/bytovaya_elektronika/3d_printer_bambu_lab_p2s_combo_8053080070","3Д принтер Bambu Lab P2S Combo")</f>
      </c>
      <c r="I217" t="s">
        <v>128</v>
      </c>
      <c r="J217" t="s">
        <v>115</v>
      </c>
      <c r="K217" t="s">
        <v>116</v>
      </c>
      <c r="L217">
        <v>51</v>
      </c>
      <c r="M217">
        <v>204</v>
      </c>
      <c r="N217" s="4">
        <v>0.0735</v>
      </c>
      <c r="O217">
        <v>15</v>
      </c>
      <c r="P217" s="5">
        <v>5.66</v>
      </c>
      <c r="Q217" s="4">
        <v>0</v>
      </c>
      <c r="R217">
        <v>0</v>
      </c>
      <c r="S217">
        <v>0</v>
      </c>
      <c r="T217">
        <v>0</v>
      </c>
      <c r="U217">
        <v>0</v>
      </c>
      <c r="V217">
        <v>0</v>
      </c>
      <c r="W217" s="5" t="s">
        <v>65</v>
      </c>
      <c r="X217">
        <v>0</v>
      </c>
      <c r="Y217" s="4">
        <v>0</v>
      </c>
      <c r="Z217">
        <v>0</v>
      </c>
      <c r="AA217" s="5">
        <v>0</v>
      </c>
      <c r="AB217">
        <v>0</v>
      </c>
      <c r="AC217" s="5">
        <v>0</v>
      </c>
      <c r="AD217" s="5">
        <v>85</v>
      </c>
      <c r="AE217" s="5">
        <v>0</v>
      </c>
      <c r="AF217" s="5">
        <v>85</v>
      </c>
      <c r="AG217" s="5">
        <v>0</v>
      </c>
      <c r="AH217" s="5">
        <v>0</v>
      </c>
      <c r="AI217" s="5">
        <v>0</v>
      </c>
    </row>
    <row r="218">
      <c r="A218" s="2" t="str">
        <f>HYPERLINK("https://www.avito.ru/barnaul/bytovaya_elektronika/bambu_lab_h2d_combo_ams_2_pro_1000_mm_8053093083","8053093083")</f>
      </c>
      <c r="B218" t="s">
        <v>158</v>
      </c>
      <c r="C218" t="s">
        <v>159</v>
      </c>
      <c r="D218" t="s">
        <v>160</v>
      </c>
      <c r="E218" t="s">
        <v>38</v>
      </c>
      <c r="F218" t="s">
        <v>39</v>
      </c>
      <c r="G218" t="s">
        <v>40</v>
      </c>
      <c r="H218" s="3" t="str">
        <f>HYPERLINK("https://www.avito.ru/barnaul/bytovaya_elektronika/bambu_lab_h2d_combo_ams_2_pro_1000_mm_8053093083","Bambu Lab H2D Combo AMS 2 Pro 1000 мм")</f>
      </c>
      <c r="I218" t="s">
        <v>41</v>
      </c>
      <c r="J218" t="s">
        <v>42</v>
      </c>
      <c r="K218" t="s">
        <v>43</v>
      </c>
      <c r="L218">
        <v>50</v>
      </c>
      <c r="M218">
        <v>144</v>
      </c>
      <c r="N218" s="4">
        <v>0.1041</v>
      </c>
      <c r="O218">
        <v>15</v>
      </c>
      <c r="P218" s="5">
        <v>3.73</v>
      </c>
      <c r="Q218" s="4">
        <v>0</v>
      </c>
      <c r="R218">
        <v>0</v>
      </c>
      <c r="S218">
        <v>0</v>
      </c>
      <c r="T218">
        <v>0</v>
      </c>
      <c r="U218">
        <v>0</v>
      </c>
      <c r="V218">
        <v>0</v>
      </c>
      <c r="W218" s="5" t="s">
        <v>65</v>
      </c>
      <c r="X218">
        <v>0</v>
      </c>
      <c r="Y218" s="4">
        <v>0</v>
      </c>
      <c r="Z218">
        <v>0</v>
      </c>
      <c r="AA218" s="5">
        <v>0</v>
      </c>
      <c r="AB218">
        <v>0</v>
      </c>
      <c r="AC218" s="5">
        <v>0</v>
      </c>
      <c r="AD218" s="5">
        <v>56</v>
      </c>
      <c r="AE218" s="5">
        <v>0</v>
      </c>
      <c r="AF218" s="5">
        <v>56</v>
      </c>
      <c r="AG218" s="5">
        <v>0</v>
      </c>
      <c r="AH218" s="5">
        <v>0</v>
      </c>
      <c r="AI218" s="5">
        <v>0</v>
      </c>
    </row>
    <row r="219">
      <c r="A219" s="2" t="str">
        <f>HYPERLINK("https://www.avito.ru/ulyanovsk/bytovaya_elektronika/promyshlennyy_3d_printer_h2d_combo_ams2_pro_eu_8053159870","8053159870")</f>
      </c>
      <c r="B219" t="s">
        <v>219</v>
      </c>
      <c r="C219" t="s">
        <v>220</v>
      </c>
      <c r="D219" t="s">
        <v>224</v>
      </c>
      <c r="E219" t="s">
        <v>38</v>
      </c>
      <c r="F219" t="s">
        <v>39</v>
      </c>
      <c r="G219" t="s">
        <v>40</v>
      </c>
      <c r="H219" s="3" t="str">
        <f>HYPERLINK("https://www.avito.ru/ulyanovsk/bytovaya_elektronika/promyshlennyy_3d_printer_h2d_combo_ams2_pro_eu_8053159870","Промышленный 3D принтер H2D Combo AMS2 Pro EU")</f>
      </c>
      <c r="I219" t="s">
        <v>91</v>
      </c>
      <c r="J219" t="s">
        <v>49</v>
      </c>
      <c r="K219" t="s">
        <v>50</v>
      </c>
      <c r="L219">
        <v>52</v>
      </c>
      <c r="M219">
        <v>144</v>
      </c>
      <c r="N219" s="4">
        <v>0.1041</v>
      </c>
      <c r="O219">
        <v>15</v>
      </c>
      <c r="P219" s="5">
        <v>3.73</v>
      </c>
      <c r="Q219" s="4">
        <v>0</v>
      </c>
      <c r="R219">
        <v>0</v>
      </c>
      <c r="S219">
        <v>0</v>
      </c>
      <c r="T219">
        <v>0</v>
      </c>
      <c r="U219">
        <v>0</v>
      </c>
      <c r="V219">
        <v>0</v>
      </c>
      <c r="W219" s="5" t="s">
        <v>65</v>
      </c>
      <c r="X219">
        <v>0</v>
      </c>
      <c r="Y219" s="4">
        <v>0</v>
      </c>
      <c r="Z219">
        <v>0</v>
      </c>
      <c r="AA219" s="5">
        <v>0</v>
      </c>
      <c r="AB219">
        <v>0</v>
      </c>
      <c r="AC219" s="5">
        <v>0</v>
      </c>
      <c r="AD219" s="5">
        <v>56</v>
      </c>
      <c r="AE219" s="5">
        <v>0</v>
      </c>
      <c r="AF219" s="5">
        <v>56</v>
      </c>
      <c r="AG219" s="5">
        <v>0</v>
      </c>
      <c r="AH219" s="5">
        <v>0</v>
      </c>
      <c r="AI219" s="5">
        <v>0</v>
      </c>
    </row>
    <row r="220">
      <c r="A220" s="2" t="str">
        <f>HYPERLINK("https://www.avito.ru/tolyatti/bytovaya_elektronika/bambu_lab_p2s_combo_vysokotochnyy_printer_8053194360","8053194360")</f>
      </c>
      <c r="B220" t="s">
        <v>173</v>
      </c>
      <c r="C220" t="s">
        <v>216</v>
      </c>
      <c r="D220" t="s">
        <v>217</v>
      </c>
      <c r="E220" t="s">
        <v>38</v>
      </c>
      <c r="F220" t="s">
        <v>39</v>
      </c>
      <c r="G220" t="s">
        <v>40</v>
      </c>
      <c r="H220" s="3" t="str">
        <f>HYPERLINK("https://www.avito.ru/tolyatti/bytovaya_elektronika/bambu_lab_p2s_combo_vysokotochnyy_printer_8053194360","Bambu Lab P2S Combo высокоточный принтер")</f>
      </c>
      <c r="I220" t="s">
        <v>128</v>
      </c>
      <c r="J220" t="s">
        <v>115</v>
      </c>
      <c r="K220" t="s">
        <v>116</v>
      </c>
      <c r="L220">
        <v>51</v>
      </c>
      <c r="M220">
        <v>159</v>
      </c>
      <c r="N220" s="4">
        <v>0.0943</v>
      </c>
      <c r="O220">
        <v>15</v>
      </c>
      <c r="P220" s="5">
        <v>3.73</v>
      </c>
      <c r="Q220" s="4">
        <v>0</v>
      </c>
      <c r="R220">
        <v>0</v>
      </c>
      <c r="S220">
        <v>0</v>
      </c>
      <c r="T220">
        <v>0</v>
      </c>
      <c r="U220">
        <v>0</v>
      </c>
      <c r="V220">
        <v>0</v>
      </c>
      <c r="W220" s="5" t="s">
        <v>65</v>
      </c>
      <c r="X220">
        <v>0</v>
      </c>
      <c r="Y220" s="4">
        <v>0</v>
      </c>
      <c r="Z220">
        <v>0</v>
      </c>
      <c r="AA220" s="5">
        <v>0</v>
      </c>
      <c r="AB220">
        <v>0</v>
      </c>
      <c r="AC220" s="5">
        <v>0</v>
      </c>
      <c r="AD220" s="5">
        <v>56</v>
      </c>
      <c r="AE220" s="5">
        <v>0</v>
      </c>
      <c r="AF220" s="5">
        <v>56</v>
      </c>
      <c r="AG220" s="5">
        <v>0</v>
      </c>
      <c r="AH220" s="5">
        <v>0</v>
      </c>
      <c r="AI220" s="5">
        <v>0</v>
      </c>
    </row>
    <row r="221">
      <c r="A221" s="2" t="str">
        <f>HYPERLINK("https://www.avito.ru/ekaterinburg/bytovaya_elektronika/h2c_ams_combo_3d_printer_s_podogrevom_kamery_8053215138","8053215138")</f>
      </c>
      <c r="B221" t="s">
        <v>136</v>
      </c>
      <c r="C221" t="s">
        <v>137</v>
      </c>
      <c r="D221" t="s">
        <v>138</v>
      </c>
      <c r="E221" t="s">
        <v>38</v>
      </c>
      <c r="F221" t="s">
        <v>39</v>
      </c>
      <c r="G221" t="s">
        <v>40</v>
      </c>
      <c r="H221" s="3" t="str">
        <f>HYPERLINK("https://www.avito.ru/ekaterinburg/bytovaya_elektronika/h2c_ams_combo_3d_printer_s_podogrevom_kamery_8053215138","H2C AMS Combo 3D принтер с подогревом камеры")</f>
      </c>
      <c r="I221" t="s">
        <v>83</v>
      </c>
      <c r="J221" t="s">
        <v>49</v>
      </c>
      <c r="K221" t="s">
        <v>50</v>
      </c>
      <c r="L221">
        <v>52</v>
      </c>
      <c r="M221">
        <v>211</v>
      </c>
      <c r="N221" s="4">
        <v>0.071</v>
      </c>
      <c r="O221">
        <v>15</v>
      </c>
      <c r="P221" s="5">
        <v>3.73</v>
      </c>
      <c r="Q221" s="4">
        <v>0</v>
      </c>
      <c r="R221">
        <v>0</v>
      </c>
      <c r="S221">
        <v>0</v>
      </c>
      <c r="T221">
        <v>0</v>
      </c>
      <c r="U221">
        <v>0</v>
      </c>
      <c r="V221">
        <v>0</v>
      </c>
      <c r="W221" s="5" t="s">
        <v>65</v>
      </c>
      <c r="X221">
        <v>1</v>
      </c>
      <c r="Y221" s="4">
        <v>0</v>
      </c>
      <c r="Z221">
        <v>0</v>
      </c>
      <c r="AA221" s="5">
        <v>0</v>
      </c>
      <c r="AB221">
        <v>0</v>
      </c>
      <c r="AC221" s="5">
        <v>0</v>
      </c>
      <c r="AD221" s="5">
        <v>56</v>
      </c>
      <c r="AE221" s="5">
        <v>0</v>
      </c>
      <c r="AF221" s="5">
        <v>56</v>
      </c>
      <c r="AG221" s="5">
        <v>0</v>
      </c>
      <c r="AH221" s="5">
        <v>0</v>
      </c>
      <c r="AI221" s="5">
        <v>0</v>
      </c>
    </row>
    <row r="222">
      <c r="A222" s="2" t="str">
        <f>HYPERLINK("https://www.avito.ru/irkutsk/bytovaya_elektronika/h2c_ams_combo_stantsiya_3d_pechati_dlya_proizvodstva_8053232319","8053232319")</f>
      </c>
      <c r="B222" t="s">
        <v>133</v>
      </c>
      <c r="C222" t="s">
        <v>134</v>
      </c>
      <c r="D222" t="s">
        <v>135</v>
      </c>
      <c r="E222" t="s">
        <v>38</v>
      </c>
      <c r="F222" t="s">
        <v>39</v>
      </c>
      <c r="G222" t="s">
        <v>40</v>
      </c>
      <c r="H222" s="3" t="str">
        <f>HYPERLINK("https://www.avito.ru/irkutsk/bytovaya_elektronika/h2c_ams_combo_stantsiya_3d_pechati_dlya_proizvodstva_8053232319","H2C AMS Combo станция 3D печати для производства")</f>
      </c>
      <c r="I222" t="s">
        <v>83</v>
      </c>
      <c r="J222" t="s">
        <v>49</v>
      </c>
      <c r="K222" t="s">
        <v>50</v>
      </c>
      <c r="L222">
        <v>52</v>
      </c>
      <c r="M222">
        <v>232</v>
      </c>
      <c r="N222" s="4">
        <v>0.0646</v>
      </c>
      <c r="O222">
        <v>15</v>
      </c>
      <c r="P222" s="5">
        <v>3.73</v>
      </c>
      <c r="Q222" s="4">
        <v>0</v>
      </c>
      <c r="R222">
        <v>0</v>
      </c>
      <c r="S222">
        <v>0</v>
      </c>
      <c r="T222">
        <v>0</v>
      </c>
      <c r="U222">
        <v>0</v>
      </c>
      <c r="V222">
        <v>0</v>
      </c>
      <c r="W222" s="5" t="s">
        <v>65</v>
      </c>
      <c r="X222">
        <v>1</v>
      </c>
      <c r="Y222" s="4">
        <v>0</v>
      </c>
      <c r="Z222">
        <v>0</v>
      </c>
      <c r="AA222" s="5">
        <v>0</v>
      </c>
      <c r="AB222">
        <v>0</v>
      </c>
      <c r="AC222" s="5">
        <v>0</v>
      </c>
      <c r="AD222" s="5">
        <v>56</v>
      </c>
      <c r="AE222" s="5">
        <v>0</v>
      </c>
      <c r="AF222" s="5">
        <v>56</v>
      </c>
      <c r="AG222" s="5">
        <v>0</v>
      </c>
      <c r="AH222" s="5">
        <v>0</v>
      </c>
      <c r="AI222" s="5">
        <v>0</v>
      </c>
    </row>
    <row r="223">
      <c r="A223" s="2" t="str">
        <f>HYPERLINK("https://www.avito.ru/perm/bytovaya_elektronika/h2d_laser_40w_eu_gibridnaya_stantsiya_3d_pechati_8053319978","8053319978")</f>
      </c>
      <c r="B223" t="s">
        <v>61</v>
      </c>
      <c r="C223" t="s">
        <v>62</v>
      </c>
      <c r="D223" t="s">
        <v>63</v>
      </c>
      <c r="E223" t="s">
        <v>38</v>
      </c>
      <c r="F223" t="s">
        <v>39</v>
      </c>
      <c r="G223" t="s">
        <v>40</v>
      </c>
      <c r="H223" s="3" t="str">
        <f>HYPERLINK("https://www.avito.ru/perm/bytovaya_elektronika/h2d_laser_40w_eu_gibridnaya_stantsiya_3d_pechati_8053319978","H2D Laser 40W EU гибридная станция 3D печати")</f>
      </c>
      <c r="I223" t="s">
        <v>57</v>
      </c>
      <c r="J223" t="s">
        <v>42</v>
      </c>
      <c r="K223" t="s">
        <v>43</v>
      </c>
      <c r="L223">
        <v>50</v>
      </c>
      <c r="M223">
        <v>214</v>
      </c>
      <c r="N223" s="4">
        <v>0.07</v>
      </c>
      <c r="O223">
        <v>15</v>
      </c>
      <c r="P223" s="5">
        <v>3.73</v>
      </c>
      <c r="Q223" s="4">
        <v>0</v>
      </c>
      <c r="R223">
        <v>0</v>
      </c>
      <c r="S223">
        <v>0</v>
      </c>
      <c r="T223">
        <v>0</v>
      </c>
      <c r="U223">
        <v>0</v>
      </c>
      <c r="V223">
        <v>0</v>
      </c>
      <c r="W223" s="5" t="s">
        <v>65</v>
      </c>
      <c r="X223">
        <v>0</v>
      </c>
      <c r="Y223" s="4">
        <v>0</v>
      </c>
      <c r="Z223">
        <v>0</v>
      </c>
      <c r="AA223" s="5">
        <v>0</v>
      </c>
      <c r="AB223">
        <v>0</v>
      </c>
      <c r="AC223" s="5">
        <v>0</v>
      </c>
      <c r="AD223" s="5">
        <v>56</v>
      </c>
      <c r="AE223" s="5">
        <v>0</v>
      </c>
      <c r="AF223" s="5">
        <v>56</v>
      </c>
      <c r="AG223" s="5">
        <v>0</v>
      </c>
      <c r="AH223" s="5">
        <v>0</v>
      </c>
      <c r="AI223" s="5">
        <v>0</v>
      </c>
    </row>
    <row r="224">
      <c r="A224" s="2" t="str">
        <f>HYPERLINK("https://www.avito.ru/moskva/bytovaya_elektronika/3d_printer_h2d_combo_ams2_pro_eu_340x320x325_8053403644","8053403644")</f>
      </c>
      <c r="B224" t="s">
        <v>35</v>
      </c>
      <c r="C224" t="s">
        <v>36</v>
      </c>
      <c r="D224" t="s">
        <v>36</v>
      </c>
      <c r="E224" t="s">
        <v>38</v>
      </c>
      <c r="F224" t="s">
        <v>39</v>
      </c>
      <c r="G224" t="s">
        <v>40</v>
      </c>
      <c r="H224" s="3" t="str">
        <f>HYPERLINK("https://www.avito.ru/moskva/bytovaya_elektronika/3d_printer_h2d_combo_ams2_pro_eu_340x320x325_8053403644","3D принтер H2D Combo AMS2 Pro EU 340x320x325")</f>
      </c>
      <c r="I224" t="s">
        <v>225</v>
      </c>
      <c r="J224" t="s">
        <v>49</v>
      </c>
      <c r="K224" t="s">
        <v>50</v>
      </c>
      <c r="L224">
        <v>52</v>
      </c>
      <c r="M224">
        <v>140</v>
      </c>
      <c r="N224" s="4">
        <v>0.1071</v>
      </c>
      <c r="O224">
        <v>15</v>
      </c>
      <c r="P224" s="5">
        <v>5.66</v>
      </c>
      <c r="Q224" s="4">
        <v>0</v>
      </c>
      <c r="R224">
        <v>0</v>
      </c>
      <c r="S224">
        <v>0</v>
      </c>
      <c r="T224">
        <v>0</v>
      </c>
      <c r="U224">
        <v>0</v>
      </c>
      <c r="V224">
        <v>0</v>
      </c>
      <c r="W224" s="5" t="s">
        <v>65</v>
      </c>
      <c r="X224">
        <v>0</v>
      </c>
      <c r="Y224" s="4">
        <v>0</v>
      </c>
      <c r="Z224">
        <v>0</v>
      </c>
      <c r="AA224" s="5">
        <v>0</v>
      </c>
      <c r="AB224">
        <v>0</v>
      </c>
      <c r="AC224" s="5">
        <v>0</v>
      </c>
      <c r="AD224" s="5">
        <v>85</v>
      </c>
      <c r="AE224" s="5">
        <v>0</v>
      </c>
      <c r="AF224" s="5">
        <v>85</v>
      </c>
      <c r="AG224" s="5">
        <v>0</v>
      </c>
      <c r="AH224" s="5">
        <v>0</v>
      </c>
      <c r="AI224" s="5">
        <v>0</v>
      </c>
    </row>
    <row r="225">
      <c r="A225" s="2" t="str">
        <f>HYPERLINK("https://www.avito.ru/perm/bytovaya_elektronika/h2d_combo_ams2_pro_eu_skorostnoy_3d_printer_8053414976","8053414976")</f>
      </c>
      <c r="B225" t="s">
        <v>61</v>
      </c>
      <c r="C225" t="s">
        <v>62</v>
      </c>
      <c r="D225" t="s">
        <v>226</v>
      </c>
      <c r="E225" t="s">
        <v>38</v>
      </c>
      <c r="F225" t="s">
        <v>39</v>
      </c>
      <c r="G225" t="s">
        <v>40</v>
      </c>
      <c r="H225" s="3" t="str">
        <f>HYPERLINK("https://www.avito.ru/perm/bytovaya_elektronika/h2d_combo_ams2_pro_eu_skorostnoy_3d_printer_8053414976","H2D Combo AMS2 Pro EU скоростной 3Д принтер")</f>
      </c>
      <c r="I225" t="s">
        <v>91</v>
      </c>
      <c r="J225" t="s">
        <v>49</v>
      </c>
      <c r="K225" t="s">
        <v>50</v>
      </c>
      <c r="L225">
        <v>52</v>
      </c>
      <c r="M225">
        <v>212</v>
      </c>
      <c r="N225" s="4">
        <v>0.0707</v>
      </c>
      <c r="O225">
        <v>15</v>
      </c>
      <c r="P225" s="5">
        <v>3.73</v>
      </c>
      <c r="Q225" s="4">
        <v>0</v>
      </c>
      <c r="R225">
        <v>0</v>
      </c>
      <c r="S225">
        <v>0</v>
      </c>
      <c r="T225">
        <v>0</v>
      </c>
      <c r="U225">
        <v>0</v>
      </c>
      <c r="V225">
        <v>0</v>
      </c>
      <c r="W225" s="5" t="s">
        <v>65</v>
      </c>
      <c r="X225">
        <v>0</v>
      </c>
      <c r="Y225" s="4">
        <v>0</v>
      </c>
      <c r="Z225">
        <v>0</v>
      </c>
      <c r="AA225" s="5">
        <v>0</v>
      </c>
      <c r="AB225">
        <v>0</v>
      </c>
      <c r="AC225" s="5">
        <v>0</v>
      </c>
      <c r="AD225" s="5">
        <v>56</v>
      </c>
      <c r="AE225" s="5">
        <v>0</v>
      </c>
      <c r="AF225" s="5">
        <v>56</v>
      </c>
      <c r="AG225" s="5">
        <v>0</v>
      </c>
      <c r="AH225" s="5">
        <v>0</v>
      </c>
      <c r="AI225" s="5">
        <v>0</v>
      </c>
    </row>
    <row r="226">
      <c r="A226" s="2" t="str">
        <f>HYPERLINK("https://www.avito.ru/yaroslavl/bytovaya_elektronika/h2d_combo_ams_2_pro_professionalnaya_seriya_8053422874","8053422874")</f>
      </c>
      <c r="B226" t="s">
        <v>176</v>
      </c>
      <c r="C226" t="s">
        <v>177</v>
      </c>
      <c r="D226" t="s">
        <v>178</v>
      </c>
      <c r="E226" t="s">
        <v>38</v>
      </c>
      <c r="F226" t="s">
        <v>39</v>
      </c>
      <c r="G226" t="s">
        <v>40</v>
      </c>
      <c r="H226" s="3" t="str">
        <f>HYPERLINK("https://www.avito.ru/yaroslavl/bytovaya_elektronika/h2d_combo_ams_2_pro_professionalnaya_seriya_8053422874","H2D Combo AMS 2 Pro профессиональная серия")</f>
      </c>
      <c r="I226" t="s">
        <v>91</v>
      </c>
      <c r="J226" t="s">
        <v>42</v>
      </c>
      <c r="K226" t="s">
        <v>43</v>
      </c>
      <c r="L226">
        <v>50</v>
      </c>
      <c r="M226">
        <v>169</v>
      </c>
      <c r="N226" s="4">
        <v>0.0887</v>
      </c>
      <c r="O226">
        <v>15</v>
      </c>
      <c r="P226" s="5">
        <v>3.73</v>
      </c>
      <c r="Q226" s="4">
        <v>0</v>
      </c>
      <c r="R226">
        <v>0</v>
      </c>
      <c r="S226">
        <v>0</v>
      </c>
      <c r="T226">
        <v>0</v>
      </c>
      <c r="U226">
        <v>0</v>
      </c>
      <c r="V226">
        <v>0</v>
      </c>
      <c r="W226" s="5" t="s">
        <v>65</v>
      </c>
      <c r="X226">
        <v>0</v>
      </c>
      <c r="Y226" s="4">
        <v>0</v>
      </c>
      <c r="Z226">
        <v>0</v>
      </c>
      <c r="AA226" s="5">
        <v>0</v>
      </c>
      <c r="AB226">
        <v>0</v>
      </c>
      <c r="AC226" s="5">
        <v>0</v>
      </c>
      <c r="AD226" s="5">
        <v>56</v>
      </c>
      <c r="AE226" s="5">
        <v>0</v>
      </c>
      <c r="AF226" s="5">
        <v>56</v>
      </c>
      <c r="AG226" s="5">
        <v>0</v>
      </c>
      <c r="AH226" s="5">
        <v>0</v>
      </c>
      <c r="AI226" s="5">
        <v>0</v>
      </c>
    </row>
    <row r="227">
      <c r="A227" s="2" t="str">
        <f>HYPERLINK("https://www.avito.ru/barnaul/bytovaya_elektronika/bambu_lab_h2d_laser_40w_eu_3d_printer_1000_mms_8053474240","8053474240")</f>
      </c>
      <c r="B227" t="s">
        <v>158</v>
      </c>
      <c r="C227" t="s">
        <v>159</v>
      </c>
      <c r="D227" t="s">
        <v>160</v>
      </c>
      <c r="E227" t="s">
        <v>38</v>
      </c>
      <c r="F227" t="s">
        <v>39</v>
      </c>
      <c r="G227" t="s">
        <v>40</v>
      </c>
      <c r="H227" s="3" t="str">
        <f>HYPERLINK("https://www.avito.ru/barnaul/bytovaya_elektronika/bambu_lab_h2d_laser_40w_eu_3d_printer_1000_mms_8053474240","Bambu Lab H2D Laser 40W EU 3D принтер 1000 мм/с")</f>
      </c>
      <c r="I227" t="s">
        <v>57</v>
      </c>
      <c r="J227" t="s">
        <v>42</v>
      </c>
      <c r="K227" t="s">
        <v>43</v>
      </c>
      <c r="L227">
        <v>50</v>
      </c>
      <c r="M227">
        <v>190</v>
      </c>
      <c r="N227" s="4">
        <v>0.0789</v>
      </c>
      <c r="O227">
        <v>15</v>
      </c>
      <c r="P227" s="5">
        <v>3.73</v>
      </c>
      <c r="Q227" s="4">
        <v>0</v>
      </c>
      <c r="R227">
        <v>0</v>
      </c>
      <c r="S227">
        <v>0</v>
      </c>
      <c r="T227">
        <v>0</v>
      </c>
      <c r="U227">
        <v>0</v>
      </c>
      <c r="V227">
        <v>0</v>
      </c>
      <c r="W227" s="5" t="s">
        <v>65</v>
      </c>
      <c r="X227">
        <v>0</v>
      </c>
      <c r="Y227" s="4">
        <v>0</v>
      </c>
      <c r="Z227">
        <v>0</v>
      </c>
      <c r="AA227" s="5">
        <v>0</v>
      </c>
      <c r="AB227">
        <v>0</v>
      </c>
      <c r="AC227" s="5">
        <v>0</v>
      </c>
      <c r="AD227" s="5">
        <v>56</v>
      </c>
      <c r="AE227" s="5">
        <v>0</v>
      </c>
      <c r="AF227" s="5">
        <v>56</v>
      </c>
      <c r="AG227" s="5">
        <v>0</v>
      </c>
      <c r="AH227" s="5">
        <v>0</v>
      </c>
      <c r="AI227" s="5">
        <v>0</v>
      </c>
    </row>
    <row r="228">
      <c r="A228" s="2" t="str">
        <f>HYPERLINK("https://www.avito.ru/novosibirsk/bytovaya_elektronika/h2s_laser_10w_3d_printer_s_kameroy_eu_8053642078","8053642078")</f>
      </c>
      <c r="B228" t="s">
        <v>142</v>
      </c>
      <c r="C228" t="s">
        <v>143</v>
      </c>
      <c r="D228" t="s">
        <v>144</v>
      </c>
      <c r="E228" t="s">
        <v>38</v>
      </c>
      <c r="F228" t="s">
        <v>39</v>
      </c>
      <c r="G228" t="s">
        <v>40</v>
      </c>
      <c r="H228" s="3" t="str">
        <f>HYPERLINK("https://www.avito.ru/novosibirsk/bytovaya_elektronika/h2s_laser_10w_3d_printer_s_kameroy_eu_8053642078","H2S Laser 10W 3D принтер с камерой EU")</f>
      </c>
      <c r="I228" t="s">
        <v>129</v>
      </c>
      <c r="J228" t="s">
        <v>115</v>
      </c>
      <c r="K228" t="s">
        <v>116</v>
      </c>
      <c r="L228">
        <v>51</v>
      </c>
      <c r="M228">
        <v>251</v>
      </c>
      <c r="N228" s="4">
        <v>0.0597</v>
      </c>
      <c r="O228">
        <v>15</v>
      </c>
      <c r="P228" s="5">
        <v>3.73</v>
      </c>
      <c r="Q228" s="4">
        <v>0</v>
      </c>
      <c r="R228">
        <v>0</v>
      </c>
      <c r="S228">
        <v>0</v>
      </c>
      <c r="T228">
        <v>0</v>
      </c>
      <c r="U228">
        <v>0</v>
      </c>
      <c r="V228">
        <v>0</v>
      </c>
      <c r="W228" s="5" t="s">
        <v>65</v>
      </c>
      <c r="X228">
        <v>0</v>
      </c>
      <c r="Y228" s="4">
        <v>0</v>
      </c>
      <c r="Z228">
        <v>0</v>
      </c>
      <c r="AA228" s="5">
        <v>0</v>
      </c>
      <c r="AB228">
        <v>0</v>
      </c>
      <c r="AC228" s="5">
        <v>0</v>
      </c>
      <c r="AD228" s="5">
        <v>56</v>
      </c>
      <c r="AE228" s="5">
        <v>0</v>
      </c>
      <c r="AF228" s="5">
        <v>56</v>
      </c>
      <c r="AG228" s="5">
        <v>0</v>
      </c>
      <c r="AH228" s="5">
        <v>0</v>
      </c>
      <c r="AI228" s="5">
        <v>0</v>
      </c>
    </row>
    <row r="229">
      <c r="A229" s="2" t="str">
        <f>HYPERLINK("https://www.avito.ru/tomsk/bytovaya_elektronika/3d_printer_bambu_lab_h2s_combo_ams_2_pro_8053647014","8053647014")</f>
      </c>
      <c r="B229" t="s">
        <v>169</v>
      </c>
      <c r="C229" t="s">
        <v>170</v>
      </c>
      <c r="D229" t="s">
        <v>171</v>
      </c>
      <c r="E229" t="s">
        <v>38</v>
      </c>
      <c r="F229" t="s">
        <v>39</v>
      </c>
      <c r="G229" t="s">
        <v>40</v>
      </c>
      <c r="H229" s="3" t="str">
        <f>HYPERLINK("https://www.avito.ru/tomsk/bytovaya_elektronika/3d_printer_bambu_lab_h2s_combo_ams_2_pro_8053647014","3Д принтер Bambu Lab H2S Combo AMS 2 PRO")</f>
      </c>
      <c r="I229" t="s">
        <v>48</v>
      </c>
      <c r="J229" t="s">
        <v>115</v>
      </c>
      <c r="K229" t="s">
        <v>116</v>
      </c>
      <c r="L229">
        <v>51</v>
      </c>
      <c r="M229">
        <v>143</v>
      </c>
      <c r="N229" s="4">
        <v>0.1048</v>
      </c>
      <c r="O229">
        <v>15</v>
      </c>
      <c r="P229" s="5">
        <v>3.73</v>
      </c>
      <c r="Q229" s="4">
        <v>0</v>
      </c>
      <c r="R229">
        <v>0</v>
      </c>
      <c r="S229">
        <v>0</v>
      </c>
      <c r="T229">
        <v>0</v>
      </c>
      <c r="U229">
        <v>0</v>
      </c>
      <c r="V229">
        <v>0</v>
      </c>
      <c r="W229" s="5" t="s">
        <v>65</v>
      </c>
      <c r="X229">
        <v>0</v>
      </c>
      <c r="Y229" s="4">
        <v>0</v>
      </c>
      <c r="Z229">
        <v>0</v>
      </c>
      <c r="AA229" s="5">
        <v>0</v>
      </c>
      <c r="AB229">
        <v>0</v>
      </c>
      <c r="AC229" s="5">
        <v>0</v>
      </c>
      <c r="AD229" s="5">
        <v>56</v>
      </c>
      <c r="AE229" s="5">
        <v>0</v>
      </c>
      <c r="AF229" s="5">
        <v>56</v>
      </c>
      <c r="AG229" s="5">
        <v>0</v>
      </c>
      <c r="AH229" s="5">
        <v>0</v>
      </c>
      <c r="AI229" s="5">
        <v>0</v>
      </c>
    </row>
    <row r="230">
      <c r="A230" s="2" t="str">
        <f>HYPERLINK("https://www.avito.ru/sankt-peterburg/bytovaya_elektronika/professionalnyy_3d_printer_h2d_pro_combo_ams_8053653838","8053653838")</f>
      </c>
      <c r="B230" t="s">
        <v>35</v>
      </c>
      <c r="C230" t="s">
        <v>81</v>
      </c>
      <c r="D230" t="s">
        <v>82</v>
      </c>
      <c r="E230" t="s">
        <v>38</v>
      </c>
      <c r="F230" t="s">
        <v>39</v>
      </c>
      <c r="G230" t="s">
        <v>40</v>
      </c>
      <c r="H230" s="3" t="str">
        <f>HYPERLINK("https://www.avito.ru/sankt-peterburg/bytovaya_elektronika/professionalnyy_3d_printer_h2d_pro_combo_ams_8053653838","Профессиональный 3D принтер H2D PRO Combo AMS")</f>
      </c>
      <c r="I230" t="s">
        <v>172</v>
      </c>
      <c r="J230" t="s">
        <v>115</v>
      </c>
      <c r="K230" t="s">
        <v>116</v>
      </c>
      <c r="L230">
        <v>51</v>
      </c>
      <c r="M230">
        <v>198</v>
      </c>
      <c r="N230" s="4">
        <v>0.0757</v>
      </c>
      <c r="O230">
        <v>15</v>
      </c>
      <c r="P230" s="5">
        <v>3.73</v>
      </c>
      <c r="Q230" s="4">
        <v>0</v>
      </c>
      <c r="R230">
        <v>0</v>
      </c>
      <c r="S230">
        <v>0</v>
      </c>
      <c r="T230">
        <v>0</v>
      </c>
      <c r="U230">
        <v>0</v>
      </c>
      <c r="V230">
        <v>0</v>
      </c>
      <c r="W230" s="5" t="s">
        <v>65</v>
      </c>
      <c r="X230">
        <v>3</v>
      </c>
      <c r="Y230" s="4">
        <v>0</v>
      </c>
      <c r="Z230">
        <v>0</v>
      </c>
      <c r="AA230" s="5">
        <v>0</v>
      </c>
      <c r="AB230">
        <v>0</v>
      </c>
      <c r="AC230" s="5">
        <v>0</v>
      </c>
      <c r="AD230" s="5">
        <v>56</v>
      </c>
      <c r="AE230" s="5">
        <v>0</v>
      </c>
      <c r="AF230" s="5">
        <v>56</v>
      </c>
      <c r="AG230" s="5">
        <v>0</v>
      </c>
      <c r="AH230" s="5">
        <v>0</v>
      </c>
      <c r="AI230" s="5">
        <v>0</v>
      </c>
    </row>
    <row r="231">
      <c r="A231" s="2" t="str">
        <f>HYPERLINK("https://www.avito.ru/izhevsk/bytovaya_elektronika/h2d_combo_ams_2_pro_3d_printer_cn_8053695156","8053695156")</f>
      </c>
      <c r="B231" t="s">
        <v>149</v>
      </c>
      <c r="C231" t="s">
        <v>150</v>
      </c>
      <c r="D231" t="s">
        <v>151</v>
      </c>
      <c r="E231" t="s">
        <v>38</v>
      </c>
      <c r="F231" t="s">
        <v>39</v>
      </c>
      <c r="G231" t="s">
        <v>40</v>
      </c>
      <c r="H231" s="3" t="str">
        <f>HYPERLINK("https://www.avito.ru/izhevsk/bytovaya_elektronika/h2d_combo_ams_2_pro_3d_printer_cn_8053695156","H2D Combo AMS 2 Pro 3D принтер CN")</f>
      </c>
      <c r="I231" t="s">
        <v>41</v>
      </c>
      <c r="J231" t="s">
        <v>42</v>
      </c>
      <c r="K231" t="s">
        <v>43</v>
      </c>
      <c r="L231">
        <v>50</v>
      </c>
      <c r="M231">
        <v>148</v>
      </c>
      <c r="N231" s="4">
        <v>0.1013</v>
      </c>
      <c r="O231">
        <v>15</v>
      </c>
      <c r="P231" s="5">
        <v>3.73</v>
      </c>
      <c r="Q231" s="4">
        <v>0</v>
      </c>
      <c r="R231">
        <v>0</v>
      </c>
      <c r="S231">
        <v>0</v>
      </c>
      <c r="T231">
        <v>0</v>
      </c>
      <c r="U231">
        <v>0</v>
      </c>
      <c r="V231">
        <v>0</v>
      </c>
      <c r="W231" s="5" t="s">
        <v>65</v>
      </c>
      <c r="X231">
        <v>1</v>
      </c>
      <c r="Y231" s="4">
        <v>0</v>
      </c>
      <c r="Z231">
        <v>0</v>
      </c>
      <c r="AA231" s="5">
        <v>0</v>
      </c>
      <c r="AB231">
        <v>0</v>
      </c>
      <c r="AC231" s="5">
        <v>0</v>
      </c>
      <c r="AD231" s="5">
        <v>56</v>
      </c>
      <c r="AE231" s="5">
        <v>0</v>
      </c>
      <c r="AF231" s="5">
        <v>56</v>
      </c>
      <c r="AG231" s="5">
        <v>0</v>
      </c>
      <c r="AH231" s="5">
        <v>0</v>
      </c>
      <c r="AI231" s="5">
        <v>0</v>
      </c>
    </row>
    <row r="232">
      <c r="A232" s="2" t="str">
        <f>HYPERLINK("https://www.avito.ru/ulyanovsk/bytovaya_elektronika/3d_printer_elegoo_giga_storm_giga-format_8053799670","8053799670")</f>
      </c>
      <c r="B232" t="s">
        <v>219</v>
      </c>
      <c r="C232" t="s">
        <v>220</v>
      </c>
      <c r="D232" t="s">
        <v>221</v>
      </c>
      <c r="E232" t="s">
        <v>38</v>
      </c>
      <c r="F232" t="s">
        <v>39</v>
      </c>
      <c r="G232" t="s">
        <v>40</v>
      </c>
      <c r="H232" s="3" t="str">
        <f>HYPERLINK("https://www.avito.ru/ulyanovsk/bytovaya_elektronika/3d_printer_elegoo_giga_storm_giga-format_8053799670","3Д принтер Elegoo Giga Storm (Giga-формат)")</f>
      </c>
      <c r="I232" t="s">
        <v>64</v>
      </c>
      <c r="J232" t="s">
        <v>42</v>
      </c>
      <c r="K232" t="s">
        <v>43</v>
      </c>
      <c r="L232">
        <v>50</v>
      </c>
      <c r="M232">
        <v>132</v>
      </c>
      <c r="N232" s="4">
        <v>0.1136</v>
      </c>
      <c r="O232">
        <v>15</v>
      </c>
      <c r="P232" s="5">
        <v>3.73</v>
      </c>
      <c r="Q232" s="4">
        <v>0</v>
      </c>
      <c r="R232">
        <v>0</v>
      </c>
      <c r="S232">
        <v>0</v>
      </c>
      <c r="T232">
        <v>0</v>
      </c>
      <c r="U232">
        <v>0</v>
      </c>
      <c r="V232">
        <v>0</v>
      </c>
      <c r="W232" s="5" t="s">
        <v>65</v>
      </c>
      <c r="X232">
        <v>1</v>
      </c>
      <c r="Y232" s="4">
        <v>0</v>
      </c>
      <c r="Z232">
        <v>0</v>
      </c>
      <c r="AA232" s="5">
        <v>0</v>
      </c>
      <c r="AB232">
        <v>0</v>
      </c>
      <c r="AC232" s="5">
        <v>0</v>
      </c>
      <c r="AD232" s="5">
        <v>56</v>
      </c>
      <c r="AE232" s="5">
        <v>0</v>
      </c>
      <c r="AF232" s="5">
        <v>56</v>
      </c>
      <c r="AG232" s="5">
        <v>0</v>
      </c>
      <c r="AH232" s="5">
        <v>0</v>
      </c>
      <c r="AI232" s="5">
        <v>0</v>
      </c>
    </row>
    <row r="233">
      <c r="A233" s="2" t="str">
        <f>HYPERLINK("https://www.avito.ru/moskva/bytovaya_elektronika/3d_printer_bambu_lab_h2s_nalichie_8021836088","8021836088")</f>
      </c>
      <c r="B233" t="s">
        <v>35</v>
      </c>
      <c r="C233" t="s">
        <v>36</v>
      </c>
      <c r="D233" t="s">
        <v>184</v>
      </c>
      <c r="E233" t="s">
        <v>38</v>
      </c>
      <c r="F233" t="s">
        <v>39</v>
      </c>
      <c r="G233" t="s">
        <v>40</v>
      </c>
      <c r="H233" s="3" t="str">
        <f>HYPERLINK("https://www.avito.ru/moskva/bytovaya_elektronika/3d_printer_bambu_lab_h2s_nalichie_8021836088","3D принтер Bambu Lab H2S наличие")</f>
      </c>
      <c r="I233" t="s">
        <v>48</v>
      </c>
      <c r="J233" t="s">
        <v>185</v>
      </c>
      <c r="K233" t="s">
        <v>186</v>
      </c>
      <c r="L233">
        <v>70</v>
      </c>
      <c r="M233">
        <v>102</v>
      </c>
      <c r="N233" s="4">
        <v>0.1372</v>
      </c>
      <c r="O233">
        <v>14</v>
      </c>
      <c r="P233" s="5">
        <v>3.57</v>
      </c>
      <c r="Q233" s="4">
        <v>0</v>
      </c>
      <c r="R233">
        <v>0</v>
      </c>
      <c r="S233">
        <v>0</v>
      </c>
      <c r="T233">
        <v>0</v>
      </c>
      <c r="U233">
        <v>0</v>
      </c>
      <c r="V233">
        <v>0</v>
      </c>
      <c r="W233" s="5" t="s">
        <v>65</v>
      </c>
      <c r="X233">
        <v>0</v>
      </c>
      <c r="Y233" s="4">
        <v>0</v>
      </c>
      <c r="Z233">
        <v>0</v>
      </c>
      <c r="AA233" s="5">
        <v>0</v>
      </c>
      <c r="AB233">
        <v>0</v>
      </c>
      <c r="AC233" s="5">
        <v>0</v>
      </c>
      <c r="AD233" s="5">
        <v>50.08</v>
      </c>
      <c r="AE233" s="5">
        <v>0</v>
      </c>
      <c r="AF233" s="5">
        <v>50.08</v>
      </c>
      <c r="AG233" s="5">
        <v>0</v>
      </c>
      <c r="AH233" s="5">
        <v>0</v>
      </c>
      <c r="AI233" s="5">
        <v>0</v>
      </c>
    </row>
    <row r="234">
      <c r="A234" s="2" t="str">
        <f>HYPERLINK("https://www.avito.ru/kursk/bytovaya_elektronika/bambu_lab_h2d_combo_ams2_pro_eu_original_8052960864","8052960864")</f>
      </c>
      <c r="B234" t="s">
        <v>227</v>
      </c>
      <c r="C234" t="s">
        <v>228</v>
      </c>
      <c r="D234" t="s">
        <v>229</v>
      </c>
      <c r="E234" t="s">
        <v>38</v>
      </c>
      <c r="F234" t="s">
        <v>39</v>
      </c>
      <c r="G234" t="s">
        <v>40</v>
      </c>
      <c r="H234" s="3" t="str">
        <f>HYPERLINK("https://www.avito.ru/kursk/bytovaya_elektronika/bambu_lab_h2d_combo_ams2_pro_eu_original_8052960864","Bambu Lab H2D Combo AMS2 Pro EU оригинал")</f>
      </c>
      <c r="I234" t="s">
        <v>91</v>
      </c>
      <c r="J234" t="s">
        <v>49</v>
      </c>
      <c r="K234" t="s">
        <v>50</v>
      </c>
      <c r="L234">
        <v>52</v>
      </c>
      <c r="M234">
        <v>143</v>
      </c>
      <c r="N234" s="4">
        <v>0.0979</v>
      </c>
      <c r="O234">
        <v>14</v>
      </c>
      <c r="P234" s="5">
        <v>4</v>
      </c>
      <c r="Q234" s="4">
        <v>0</v>
      </c>
      <c r="R234">
        <v>0</v>
      </c>
      <c r="S234">
        <v>0</v>
      </c>
      <c r="T234">
        <v>0</v>
      </c>
      <c r="U234">
        <v>0</v>
      </c>
      <c r="V234">
        <v>0</v>
      </c>
      <c r="W234" s="5" t="s">
        <v>65</v>
      </c>
      <c r="X234">
        <v>0</v>
      </c>
      <c r="Y234" s="4">
        <v>0</v>
      </c>
      <c r="Z234">
        <v>0</v>
      </c>
      <c r="AA234" s="5">
        <v>0</v>
      </c>
      <c r="AB234">
        <v>0</v>
      </c>
      <c r="AC234" s="5">
        <v>0</v>
      </c>
      <c r="AD234" s="5">
        <v>56</v>
      </c>
      <c r="AE234" s="5">
        <v>0</v>
      </c>
      <c r="AF234" s="5">
        <v>56</v>
      </c>
      <c r="AG234" s="5">
        <v>0</v>
      </c>
      <c r="AH234" s="5">
        <v>0</v>
      </c>
      <c r="AI234" s="5">
        <v>0</v>
      </c>
    </row>
    <row r="235">
      <c r="A235" s="2" t="str">
        <f>HYPERLINK("https://www.avito.ru/sankt-peterburg/bytovaya_elektronika/bambu_lab_h2d_combo_eu_s_ams_dlya_biznesa_8052993858","8052993858")</f>
      </c>
      <c r="B235" t="s">
        <v>35</v>
      </c>
      <c r="C235" t="s">
        <v>81</v>
      </c>
      <c r="D235" t="s">
        <v>82</v>
      </c>
      <c r="E235" t="s">
        <v>38</v>
      </c>
      <c r="F235" t="s">
        <v>39</v>
      </c>
      <c r="G235" t="s">
        <v>40</v>
      </c>
      <c r="H235" s="3" t="str">
        <f>HYPERLINK("https://www.avito.ru/sankt-peterburg/bytovaya_elektronika/bambu_lab_h2d_combo_eu_s_ams_dlya_biznesa_8052993858","Bambu Lab H2D Combo EU с AMS для бизнеса")</f>
      </c>
      <c r="I235" t="s">
        <v>91</v>
      </c>
      <c r="J235" t="s">
        <v>49</v>
      </c>
      <c r="K235" t="s">
        <v>50</v>
      </c>
      <c r="L235">
        <v>52</v>
      </c>
      <c r="M235">
        <v>93</v>
      </c>
      <c r="N235" s="4">
        <v>0.1505</v>
      </c>
      <c r="O235">
        <v>14</v>
      </c>
      <c r="P235" s="5">
        <v>4</v>
      </c>
      <c r="Q235" s="4">
        <v>0</v>
      </c>
      <c r="R235">
        <v>0</v>
      </c>
      <c r="S235">
        <v>0</v>
      </c>
      <c r="T235">
        <v>0</v>
      </c>
      <c r="U235">
        <v>0</v>
      </c>
      <c r="V235">
        <v>0</v>
      </c>
      <c r="W235" s="5" t="s">
        <v>65</v>
      </c>
      <c r="X235">
        <v>1</v>
      </c>
      <c r="Y235" s="4">
        <v>0</v>
      </c>
      <c r="Z235">
        <v>0</v>
      </c>
      <c r="AA235" s="5">
        <v>0</v>
      </c>
      <c r="AB235">
        <v>0</v>
      </c>
      <c r="AC235" s="5">
        <v>0</v>
      </c>
      <c r="AD235" s="5">
        <v>56</v>
      </c>
      <c r="AE235" s="5">
        <v>0</v>
      </c>
      <c r="AF235" s="5">
        <v>56</v>
      </c>
      <c r="AG235" s="5">
        <v>0</v>
      </c>
      <c r="AH235" s="5">
        <v>0</v>
      </c>
      <c r="AI235" s="5">
        <v>0</v>
      </c>
    </row>
    <row r="236">
      <c r="A236" s="2" t="str">
        <f>HYPERLINK("https://www.avito.ru/tomsk/bytovaya_elektronika/3d_printer_h2d_combo_ams_2_pro_1000_mms_cn_8053062064","8053062064")</f>
      </c>
      <c r="B236" t="s">
        <v>169</v>
      </c>
      <c r="C236" t="s">
        <v>170</v>
      </c>
      <c r="D236" t="s">
        <v>171</v>
      </c>
      <c r="E236" t="s">
        <v>38</v>
      </c>
      <c r="F236" t="s">
        <v>39</v>
      </c>
      <c r="G236" t="s">
        <v>40</v>
      </c>
      <c r="H236" s="3" t="str">
        <f>HYPERLINK("https://www.avito.ru/tomsk/bytovaya_elektronika/3d_printer_h2d_combo_ams_2_pro_1000_mms_cn_8053062064","3D принтер H2D Combo AMS 2 Pro 1000 mm/s CN")</f>
      </c>
      <c r="I236" t="s">
        <v>41</v>
      </c>
      <c r="J236" t="s">
        <v>42</v>
      </c>
      <c r="K236" t="s">
        <v>43</v>
      </c>
      <c r="L236">
        <v>50</v>
      </c>
      <c r="M236">
        <v>122</v>
      </c>
      <c r="N236" s="4">
        <v>0.1147</v>
      </c>
      <c r="O236">
        <v>14</v>
      </c>
      <c r="P236" s="5">
        <v>4</v>
      </c>
      <c r="Q236" s="4">
        <v>0</v>
      </c>
      <c r="R236">
        <v>0</v>
      </c>
      <c r="S236">
        <v>0</v>
      </c>
      <c r="T236">
        <v>0</v>
      </c>
      <c r="U236">
        <v>0</v>
      </c>
      <c r="V236">
        <v>0</v>
      </c>
      <c r="W236" s="5" t="s">
        <v>65</v>
      </c>
      <c r="X236">
        <v>0</v>
      </c>
      <c r="Y236" s="4">
        <v>0</v>
      </c>
      <c r="Z236">
        <v>0</v>
      </c>
      <c r="AA236" s="5">
        <v>0</v>
      </c>
      <c r="AB236">
        <v>0</v>
      </c>
      <c r="AC236" s="5">
        <v>0</v>
      </c>
      <c r="AD236" s="5">
        <v>56</v>
      </c>
      <c r="AE236" s="5">
        <v>0</v>
      </c>
      <c r="AF236" s="5">
        <v>56</v>
      </c>
      <c r="AG236" s="5">
        <v>0</v>
      </c>
      <c r="AH236" s="5">
        <v>0</v>
      </c>
      <c r="AI236" s="5">
        <v>0</v>
      </c>
    </row>
    <row r="237">
      <c r="A237" s="2" t="str">
        <f>HYPERLINK("https://www.avito.ru/sankt-peterburg/bytovaya_elektronika/3d_printer_bambu_lab_h2s_laser_10w_350c_dlya_biznesa_eu_8053063298","8053063298")</f>
      </c>
      <c r="B237" t="s">
        <v>35</v>
      </c>
      <c r="C237" t="s">
        <v>81</v>
      </c>
      <c r="D237" t="s">
        <v>82</v>
      </c>
      <c r="E237" t="s">
        <v>38</v>
      </c>
      <c r="F237" t="s">
        <v>39</v>
      </c>
      <c r="G237" t="s">
        <v>40</v>
      </c>
      <c r="H237" s="3" t="str">
        <f>HYPERLINK("https://www.avito.ru/sankt-peterburg/bytovaya_elektronika/3d_printer_bambu_lab_h2s_laser_10w_350c_dlya_biznesa_eu_8053063298","3D принтер Bambu Lab H2S Laser 10W 350C для бизнеса EU")</f>
      </c>
      <c r="I237" t="s">
        <v>129</v>
      </c>
      <c r="J237" t="s">
        <v>115</v>
      </c>
      <c r="K237" t="s">
        <v>116</v>
      </c>
      <c r="L237">
        <v>51</v>
      </c>
      <c r="M237">
        <v>232</v>
      </c>
      <c r="N237" s="4">
        <v>0.0603</v>
      </c>
      <c r="O237">
        <v>14</v>
      </c>
      <c r="P237" s="5">
        <v>4</v>
      </c>
      <c r="Q237" s="4">
        <v>0</v>
      </c>
      <c r="R237">
        <v>0</v>
      </c>
      <c r="S237">
        <v>0</v>
      </c>
      <c r="T237">
        <v>0</v>
      </c>
      <c r="U237">
        <v>0</v>
      </c>
      <c r="V237">
        <v>0</v>
      </c>
      <c r="W237" s="5" t="s">
        <v>65</v>
      </c>
      <c r="X237">
        <v>0</v>
      </c>
      <c r="Y237" s="4">
        <v>0</v>
      </c>
      <c r="Z237">
        <v>0</v>
      </c>
      <c r="AA237" s="5">
        <v>0</v>
      </c>
      <c r="AB237">
        <v>0</v>
      </c>
      <c r="AC237" s="5">
        <v>0</v>
      </c>
      <c r="AD237" s="5">
        <v>56</v>
      </c>
      <c r="AE237" s="5">
        <v>0</v>
      </c>
      <c r="AF237" s="5">
        <v>56</v>
      </c>
      <c r="AG237" s="5">
        <v>0</v>
      </c>
      <c r="AH237" s="5">
        <v>0</v>
      </c>
      <c r="AI237" s="5">
        <v>0</v>
      </c>
    </row>
    <row r="238">
      <c r="A238" s="2" t="str">
        <f>HYPERLINK("https://www.avito.ru/krasnodar/bytovaya_elektronika/h2c_ams_combo_stantsiya_3d_pechati_8053181886","8053181886")</f>
      </c>
      <c r="B238" t="s">
        <v>78</v>
      </c>
      <c r="C238" t="s">
        <v>79</v>
      </c>
      <c r="D238" t="s">
        <v>80</v>
      </c>
      <c r="E238" t="s">
        <v>38</v>
      </c>
      <c r="F238" t="s">
        <v>39</v>
      </c>
      <c r="G238" t="s">
        <v>40</v>
      </c>
      <c r="H238" s="3" t="str">
        <f>HYPERLINK("https://www.avito.ru/krasnodar/bytovaya_elektronika/h2c_ams_combo_stantsiya_3d_pechati_8053181886","H2C AMS Combo станция 3D печати")</f>
      </c>
      <c r="I238" t="s">
        <v>83</v>
      </c>
      <c r="J238" t="s">
        <v>49</v>
      </c>
      <c r="K238" t="s">
        <v>50</v>
      </c>
      <c r="L238">
        <v>52</v>
      </c>
      <c r="M238">
        <v>70</v>
      </c>
      <c r="N238" s="4">
        <v>0.2</v>
      </c>
      <c r="O238">
        <v>14</v>
      </c>
      <c r="P238" s="5">
        <v>4</v>
      </c>
      <c r="Q238" s="4">
        <v>0</v>
      </c>
      <c r="R238">
        <v>0</v>
      </c>
      <c r="S238">
        <v>0</v>
      </c>
      <c r="T238">
        <v>0</v>
      </c>
      <c r="U238">
        <v>0</v>
      </c>
      <c r="V238">
        <v>0</v>
      </c>
      <c r="W238" s="5" t="s">
        <v>65</v>
      </c>
      <c r="X238">
        <v>0</v>
      </c>
      <c r="Y238" s="4">
        <v>0</v>
      </c>
      <c r="Z238">
        <v>0</v>
      </c>
      <c r="AA238" s="5">
        <v>0</v>
      </c>
      <c r="AB238">
        <v>0</v>
      </c>
      <c r="AC238" s="5">
        <v>0</v>
      </c>
      <c r="AD238" s="5">
        <v>56</v>
      </c>
      <c r="AE238" s="5">
        <v>0</v>
      </c>
      <c r="AF238" s="5">
        <v>56</v>
      </c>
      <c r="AG238" s="5">
        <v>0</v>
      </c>
      <c r="AH238" s="5">
        <v>0</v>
      </c>
      <c r="AI238" s="5">
        <v>0</v>
      </c>
    </row>
    <row r="239">
      <c r="A239" s="2" t="str">
        <f>HYPERLINK("https://www.avito.ru/ufa/bytovaya_elektronika/elegoo_giga_storm_stantsiya_3d_pechati_8053215207","8053215207")</f>
      </c>
      <c r="B239" t="s">
        <v>179</v>
      </c>
      <c r="C239" t="s">
        <v>180</v>
      </c>
      <c r="D239" t="s">
        <v>181</v>
      </c>
      <c r="E239" t="s">
        <v>38</v>
      </c>
      <c r="F239" t="s">
        <v>39</v>
      </c>
      <c r="G239" t="s">
        <v>40</v>
      </c>
      <c r="H239" s="3" t="str">
        <f>HYPERLINK("https://www.avito.ru/ufa/bytovaya_elektronika/elegoo_giga_storm_stantsiya_3d_pechati_8053215207","Elegoo Giga Storm станция 3D печати")</f>
      </c>
      <c r="I239" t="s">
        <v>64</v>
      </c>
      <c r="J239" t="s">
        <v>42</v>
      </c>
      <c r="K239" t="s">
        <v>43</v>
      </c>
      <c r="L239">
        <v>50</v>
      </c>
      <c r="M239">
        <v>249</v>
      </c>
      <c r="N239" s="4">
        <v>0.0562</v>
      </c>
      <c r="O239">
        <v>14</v>
      </c>
      <c r="P239" s="5">
        <v>4</v>
      </c>
      <c r="Q239" s="4">
        <v>0</v>
      </c>
      <c r="R239">
        <v>0</v>
      </c>
      <c r="S239">
        <v>0</v>
      </c>
      <c r="T239">
        <v>0</v>
      </c>
      <c r="U239">
        <v>0</v>
      </c>
      <c r="V239">
        <v>0</v>
      </c>
      <c r="W239" s="5" t="s">
        <v>65</v>
      </c>
      <c r="X239">
        <v>0</v>
      </c>
      <c r="Y239" s="4">
        <v>0</v>
      </c>
      <c r="Z239">
        <v>0</v>
      </c>
      <c r="AA239" s="5">
        <v>0</v>
      </c>
      <c r="AB239">
        <v>0</v>
      </c>
      <c r="AC239" s="5">
        <v>0</v>
      </c>
      <c r="AD239" s="5">
        <v>56</v>
      </c>
      <c r="AE239" s="5">
        <v>0</v>
      </c>
      <c r="AF239" s="5">
        <v>56</v>
      </c>
      <c r="AG239" s="5">
        <v>0</v>
      </c>
      <c r="AH239" s="5">
        <v>0</v>
      </c>
      <c r="AI239" s="5">
        <v>0</v>
      </c>
    </row>
    <row r="240">
      <c r="A240" s="2" t="str">
        <f>HYPERLINK("https://www.avito.ru/saratov/bytovaya_elektronika/h2d_combo_ams2_pro_eu_skorostnoy_3d_printer_8053299001","8053299001")</f>
      </c>
      <c r="B240" t="s">
        <v>208</v>
      </c>
      <c r="C240" t="s">
        <v>209</v>
      </c>
      <c r="D240" t="s">
        <v>230</v>
      </c>
      <c r="E240" t="s">
        <v>38</v>
      </c>
      <c r="F240" t="s">
        <v>39</v>
      </c>
      <c r="G240" t="s">
        <v>40</v>
      </c>
      <c r="H240" s="3" t="str">
        <f>HYPERLINK("https://www.avito.ru/saratov/bytovaya_elektronika/h2d_combo_ams2_pro_eu_skorostnoy_3d_printer_8053299001","H2D Combo AMS2 Pro EU скоростной 3Д принтер")</f>
      </c>
      <c r="I240" t="s">
        <v>91</v>
      </c>
      <c r="J240" t="s">
        <v>49</v>
      </c>
      <c r="K240" t="s">
        <v>50</v>
      </c>
      <c r="L240">
        <v>52</v>
      </c>
      <c r="M240">
        <v>172</v>
      </c>
      <c r="N240" s="4">
        <v>0.0813</v>
      </c>
      <c r="O240">
        <v>14</v>
      </c>
      <c r="P240" s="5">
        <v>4</v>
      </c>
      <c r="Q240" s="4">
        <v>0</v>
      </c>
      <c r="R240">
        <v>0</v>
      </c>
      <c r="S240">
        <v>0</v>
      </c>
      <c r="T240">
        <v>0</v>
      </c>
      <c r="U240">
        <v>0</v>
      </c>
      <c r="V240">
        <v>0</v>
      </c>
      <c r="W240" s="5" t="s">
        <v>65</v>
      </c>
      <c r="X240">
        <v>0</v>
      </c>
      <c r="Y240" s="4">
        <v>0</v>
      </c>
      <c r="Z240">
        <v>0</v>
      </c>
      <c r="AA240" s="5">
        <v>0</v>
      </c>
      <c r="AB240">
        <v>0</v>
      </c>
      <c r="AC240" s="5">
        <v>0</v>
      </c>
      <c r="AD240" s="5">
        <v>56</v>
      </c>
      <c r="AE240" s="5">
        <v>0</v>
      </c>
      <c r="AF240" s="5">
        <v>56</v>
      </c>
      <c r="AG240" s="5">
        <v>0</v>
      </c>
      <c r="AH240" s="5">
        <v>0</v>
      </c>
      <c r="AI240" s="5">
        <v>0</v>
      </c>
    </row>
    <row r="241">
      <c r="A241" s="2" t="str">
        <f>HYPERLINK("https://www.avito.ru/moskva/bytovaya_elektronika/h2s_laser_10w_3d_printer_340h320h340_mm_dlya_proizvodstva_eu_8053354140","8053354140")</f>
      </c>
      <c r="B241" t="s">
        <v>35</v>
      </c>
      <c r="C241" t="s">
        <v>36</v>
      </c>
      <c r="D241" t="s">
        <v>37</v>
      </c>
      <c r="E241" t="s">
        <v>38</v>
      </c>
      <c r="F241" t="s">
        <v>39</v>
      </c>
      <c r="G241" t="s">
        <v>40</v>
      </c>
      <c r="H241" s="3" t="str">
        <f>HYPERLINK("https://www.avito.ru/moskva/bytovaya_elektronika/h2s_laser_10w_3d_printer_340h320h340_mm_dlya_proizvodstva_eu_8053354140","H2S Laser 10W 3D принтер 340х320х340 мм для производства EU")</f>
      </c>
      <c r="I241" t="s">
        <v>129</v>
      </c>
      <c r="J241" t="s">
        <v>115</v>
      </c>
      <c r="K241" t="s">
        <v>116</v>
      </c>
      <c r="L241">
        <v>51</v>
      </c>
      <c r="M241">
        <v>152</v>
      </c>
      <c r="N241" s="4">
        <v>0.0921</v>
      </c>
      <c r="O241">
        <v>14</v>
      </c>
      <c r="P241" s="5">
        <v>6.07</v>
      </c>
      <c r="Q241" s="4">
        <v>0.0714</v>
      </c>
      <c r="R241">
        <v>1</v>
      </c>
      <c r="S241">
        <v>1</v>
      </c>
      <c r="T241">
        <v>0</v>
      </c>
      <c r="U241">
        <v>0</v>
      </c>
      <c r="V241">
        <v>0</v>
      </c>
      <c r="W241" s="5">
        <v>85</v>
      </c>
      <c r="X241">
        <v>3</v>
      </c>
      <c r="Y241" s="4">
        <v>0</v>
      </c>
      <c r="Z241">
        <v>0</v>
      </c>
      <c r="AA241" s="5">
        <v>0</v>
      </c>
      <c r="AB241">
        <v>0</v>
      </c>
      <c r="AC241" s="5">
        <v>0</v>
      </c>
      <c r="AD241" s="5">
        <v>85</v>
      </c>
      <c r="AE241" s="5">
        <v>0</v>
      </c>
      <c r="AF241" s="5">
        <v>85</v>
      </c>
      <c r="AG241" s="5">
        <v>0</v>
      </c>
      <c r="AH241" s="5">
        <v>0</v>
      </c>
      <c r="AI241" s="5">
        <v>0</v>
      </c>
    </row>
    <row r="242">
      <c r="A242" s="2" t="str">
        <f>HYPERLINK("https://www.avito.ru/ekaterinburg/bytovaya_elektronika/3d_printer_bambu_lab_h2s_laser_10w_eu_8053459538","8053459538")</f>
      </c>
      <c r="B242" t="s">
        <v>136</v>
      </c>
      <c r="C242" t="s">
        <v>137</v>
      </c>
      <c r="D242" t="s">
        <v>138</v>
      </c>
      <c r="E242" t="s">
        <v>38</v>
      </c>
      <c r="F242" t="s">
        <v>39</v>
      </c>
      <c r="G242" t="s">
        <v>40</v>
      </c>
      <c r="H242" s="3" t="str">
        <f>HYPERLINK("https://www.avito.ru/ekaterinburg/bytovaya_elektronika/3d_printer_bambu_lab_h2s_laser_10w_eu_8053459538","3D принтер Bambu Lab H2S Laser 10W EU")</f>
      </c>
      <c r="I242" t="s">
        <v>129</v>
      </c>
      <c r="J242" t="s">
        <v>115</v>
      </c>
      <c r="K242" t="s">
        <v>116</v>
      </c>
      <c r="L242">
        <v>51</v>
      </c>
      <c r="M242">
        <v>294</v>
      </c>
      <c r="N242" s="4">
        <v>0.0476</v>
      </c>
      <c r="O242">
        <v>14</v>
      </c>
      <c r="P242" s="5">
        <v>4</v>
      </c>
      <c r="Q242" s="4">
        <v>0</v>
      </c>
      <c r="R242">
        <v>0</v>
      </c>
      <c r="S242">
        <v>0</v>
      </c>
      <c r="T242">
        <v>0</v>
      </c>
      <c r="U242">
        <v>0</v>
      </c>
      <c r="V242">
        <v>0</v>
      </c>
      <c r="W242" s="5" t="s">
        <v>65</v>
      </c>
      <c r="X242">
        <v>1</v>
      </c>
      <c r="Y242" s="4">
        <v>0</v>
      </c>
      <c r="Z242">
        <v>0</v>
      </c>
      <c r="AA242" s="5">
        <v>0</v>
      </c>
      <c r="AB242">
        <v>0</v>
      </c>
      <c r="AC242" s="5">
        <v>0</v>
      </c>
      <c r="AD242" s="5">
        <v>56</v>
      </c>
      <c r="AE242" s="5">
        <v>0</v>
      </c>
      <c r="AF242" s="5">
        <v>56</v>
      </c>
      <c r="AG242" s="5">
        <v>0</v>
      </c>
      <c r="AH242" s="5">
        <v>0</v>
      </c>
      <c r="AI242" s="5">
        <v>0</v>
      </c>
    </row>
    <row r="243">
      <c r="A243" s="2" t="str">
        <f>HYPERLINK("https://www.avito.ru/samara/bytovaya_elektronika/3d_printer_elegoo_giga_storm_s_avtokalibrovkoy_8053480787","8053480787")</f>
      </c>
      <c r="B243" t="s">
        <v>173</v>
      </c>
      <c r="C243" t="s">
        <v>174</v>
      </c>
      <c r="D243" t="s">
        <v>175</v>
      </c>
      <c r="E243" t="s">
        <v>38</v>
      </c>
      <c r="F243" t="s">
        <v>39</v>
      </c>
      <c r="G243" t="s">
        <v>40</v>
      </c>
      <c r="H243" s="3" t="str">
        <f>HYPERLINK("https://www.avito.ru/samara/bytovaya_elektronika/3d_printer_elegoo_giga_storm_s_avtokalibrovkoy_8053480787","3D принтер Elegoo Giga Storm с автокалибровкой")</f>
      </c>
      <c r="I243" t="s">
        <v>64</v>
      </c>
      <c r="J243" t="s">
        <v>42</v>
      </c>
      <c r="K243" t="s">
        <v>43</v>
      </c>
      <c r="L243">
        <v>50</v>
      </c>
      <c r="M243">
        <v>271</v>
      </c>
      <c r="N243" s="4">
        <v>0.0516</v>
      </c>
      <c r="O243">
        <v>14</v>
      </c>
      <c r="P243" s="5">
        <v>4</v>
      </c>
      <c r="Q243" s="4">
        <v>0</v>
      </c>
      <c r="R243">
        <v>0</v>
      </c>
      <c r="S243">
        <v>0</v>
      </c>
      <c r="T243">
        <v>0</v>
      </c>
      <c r="U243">
        <v>0</v>
      </c>
      <c r="V243">
        <v>0</v>
      </c>
      <c r="W243" s="5" t="s">
        <v>65</v>
      </c>
      <c r="X243">
        <v>1</v>
      </c>
      <c r="Y243" s="4">
        <v>0</v>
      </c>
      <c r="Z243">
        <v>0</v>
      </c>
      <c r="AA243" s="5">
        <v>0</v>
      </c>
      <c r="AB243">
        <v>0</v>
      </c>
      <c r="AC243" s="5">
        <v>0</v>
      </c>
      <c r="AD243" s="5">
        <v>56</v>
      </c>
      <c r="AE243" s="5">
        <v>0</v>
      </c>
      <c r="AF243" s="5">
        <v>56</v>
      </c>
      <c r="AG243" s="5">
        <v>0</v>
      </c>
      <c r="AH243" s="5">
        <v>0</v>
      </c>
      <c r="AI243" s="5">
        <v>0</v>
      </c>
    </row>
    <row r="244">
      <c r="A244" s="2" t="str">
        <f>HYPERLINK("https://www.avito.ru/rostov-na-donu/bytovaya_elektronika/3d_printer_h2d_laser_40w_eu_dlya_proizvodstva_8053485220","8053485220")</f>
      </c>
      <c r="B244" t="s">
        <v>88</v>
      </c>
      <c r="C244" t="s">
        <v>89</v>
      </c>
      <c r="D244" t="s">
        <v>90</v>
      </c>
      <c r="E244" t="s">
        <v>38</v>
      </c>
      <c r="F244" t="s">
        <v>39</v>
      </c>
      <c r="G244" t="s">
        <v>40</v>
      </c>
      <c r="H244" s="3" t="str">
        <f>HYPERLINK("https://www.avito.ru/rostov-na-donu/bytovaya_elektronika/3d_printer_h2d_laser_40w_eu_dlya_proizvodstva_8053485220","3D принтер H2D Laser 40W EU для производства")</f>
      </c>
      <c r="I244" t="s">
        <v>57</v>
      </c>
      <c r="J244" t="s">
        <v>42</v>
      </c>
      <c r="K244" t="s">
        <v>43</v>
      </c>
      <c r="L244">
        <v>50</v>
      </c>
      <c r="M244">
        <v>258</v>
      </c>
      <c r="N244" s="4">
        <v>0.0542</v>
      </c>
      <c r="O244">
        <v>14</v>
      </c>
      <c r="P244" s="5">
        <v>4</v>
      </c>
      <c r="Q244" s="4">
        <v>0</v>
      </c>
      <c r="R244">
        <v>0</v>
      </c>
      <c r="S244">
        <v>0</v>
      </c>
      <c r="T244">
        <v>0</v>
      </c>
      <c r="U244">
        <v>0</v>
      </c>
      <c r="V244">
        <v>0</v>
      </c>
      <c r="W244" s="5" t="s">
        <v>65</v>
      </c>
      <c r="X244">
        <v>0</v>
      </c>
      <c r="Y244" s="4">
        <v>0</v>
      </c>
      <c r="Z244">
        <v>0</v>
      </c>
      <c r="AA244" s="5">
        <v>0</v>
      </c>
      <c r="AB244">
        <v>0</v>
      </c>
      <c r="AC244" s="5">
        <v>0</v>
      </c>
      <c r="AD244" s="5">
        <v>56</v>
      </c>
      <c r="AE244" s="5">
        <v>0</v>
      </c>
      <c r="AF244" s="5">
        <v>56</v>
      </c>
      <c r="AG244" s="5">
        <v>0</v>
      </c>
      <c r="AH244" s="5">
        <v>0</v>
      </c>
      <c r="AI244" s="5">
        <v>0</v>
      </c>
    </row>
    <row r="245">
      <c r="A245" s="2" t="str">
        <f>HYPERLINK("https://www.avito.ru/tolyatti/bytovaya_elektronika/bambu_lab_h2c_ams_combo_eu_versiya_8053654031","8053654031")</f>
      </c>
      <c r="B245" t="s">
        <v>173</v>
      </c>
      <c r="C245" t="s">
        <v>216</v>
      </c>
      <c r="D245" t="s">
        <v>217</v>
      </c>
      <c r="E245" t="s">
        <v>38</v>
      </c>
      <c r="F245" t="s">
        <v>39</v>
      </c>
      <c r="G245" t="s">
        <v>40</v>
      </c>
      <c r="H245" s="3" t="str">
        <f>HYPERLINK("https://www.avito.ru/tolyatti/bytovaya_elektronika/bambu_lab_h2c_ams_combo_eu_versiya_8053654031","Bambu Lab H2C AMS Combo (EU версия)")</f>
      </c>
      <c r="I245" t="s">
        <v>83</v>
      </c>
      <c r="J245" t="s">
        <v>49</v>
      </c>
      <c r="K245" t="s">
        <v>50</v>
      </c>
      <c r="L245">
        <v>52</v>
      </c>
      <c r="M245">
        <v>131</v>
      </c>
      <c r="N245" s="4">
        <v>0.1068</v>
      </c>
      <c r="O245">
        <v>14</v>
      </c>
      <c r="P245" s="5">
        <v>4</v>
      </c>
      <c r="Q245" s="4">
        <v>0</v>
      </c>
      <c r="R245">
        <v>0</v>
      </c>
      <c r="S245">
        <v>0</v>
      </c>
      <c r="T245">
        <v>0</v>
      </c>
      <c r="U245">
        <v>0</v>
      </c>
      <c r="V245">
        <v>0</v>
      </c>
      <c r="W245" s="5" t="s">
        <v>65</v>
      </c>
      <c r="X245">
        <v>1</v>
      </c>
      <c r="Y245" s="4">
        <v>0</v>
      </c>
      <c r="Z245">
        <v>0</v>
      </c>
      <c r="AA245" s="5">
        <v>0</v>
      </c>
      <c r="AB245">
        <v>0</v>
      </c>
      <c r="AC245" s="5">
        <v>0</v>
      </c>
      <c r="AD245" s="5">
        <v>56</v>
      </c>
      <c r="AE245" s="5">
        <v>0</v>
      </c>
      <c r="AF245" s="5">
        <v>56</v>
      </c>
      <c r="AG245" s="5">
        <v>0</v>
      </c>
      <c r="AH245" s="5">
        <v>0</v>
      </c>
      <c r="AI245" s="5">
        <v>0</v>
      </c>
    </row>
    <row r="246">
      <c r="A246" s="2" t="str">
        <f>HYPERLINK("https://www.avito.ru/krasnoyarsk/bytovaya_elektronika/3d_printer_h2d_combo_ams_2_pro_s_wi-fi_cn_8053717737","8053717737")</f>
      </c>
      <c r="B246" t="s">
        <v>139</v>
      </c>
      <c r="C246" t="s">
        <v>140</v>
      </c>
      <c r="D246" t="s">
        <v>141</v>
      </c>
      <c r="E246" t="s">
        <v>38</v>
      </c>
      <c r="F246" t="s">
        <v>39</v>
      </c>
      <c r="G246" t="s">
        <v>40</v>
      </c>
      <c r="H246" s="3" t="str">
        <f>HYPERLINK("https://www.avito.ru/krasnoyarsk/bytovaya_elektronika/3d_printer_h2d_combo_ams_2_pro_s_wi-fi_cn_8053717737","3D принтер H2D Combo AMS 2 Pro с Wi-Fi CN")</f>
      </c>
      <c r="I246" t="s">
        <v>41</v>
      </c>
      <c r="J246" t="s">
        <v>42</v>
      </c>
      <c r="K246" t="s">
        <v>43</v>
      </c>
      <c r="L246">
        <v>50</v>
      </c>
      <c r="M246">
        <v>121</v>
      </c>
      <c r="N246" s="4">
        <v>0.1157</v>
      </c>
      <c r="O246">
        <v>14</v>
      </c>
      <c r="P246" s="5">
        <v>4</v>
      </c>
      <c r="Q246" s="4">
        <v>0</v>
      </c>
      <c r="R246">
        <v>0</v>
      </c>
      <c r="S246">
        <v>0</v>
      </c>
      <c r="T246">
        <v>0</v>
      </c>
      <c r="U246">
        <v>0</v>
      </c>
      <c r="V246">
        <v>0</v>
      </c>
      <c r="W246" s="5" t="s">
        <v>65</v>
      </c>
      <c r="X246">
        <v>0</v>
      </c>
      <c r="Y246" s="4">
        <v>0</v>
      </c>
      <c r="Z246">
        <v>0</v>
      </c>
      <c r="AA246" s="5">
        <v>0</v>
      </c>
      <c r="AB246">
        <v>0</v>
      </c>
      <c r="AC246" s="5">
        <v>0</v>
      </c>
      <c r="AD246" s="5">
        <v>56</v>
      </c>
      <c r="AE246" s="5">
        <v>0</v>
      </c>
      <c r="AF246" s="5">
        <v>56</v>
      </c>
      <c r="AG246" s="5">
        <v>0</v>
      </c>
      <c r="AH246" s="5">
        <v>0</v>
      </c>
      <c r="AI246" s="5">
        <v>0</v>
      </c>
    </row>
    <row r="247">
      <c r="A247" s="2" t="str">
        <f>HYPERLINK("https://www.avito.ru/sankt-peterburg/bytovaya_elektronika/promyshlennyy_3d_printer_elegoo_giga_storm_8052923907","8052923907")</f>
      </c>
      <c r="B247" t="s">
        <v>35</v>
      </c>
      <c r="C247" t="s">
        <v>81</v>
      </c>
      <c r="D247" t="s">
        <v>82</v>
      </c>
      <c r="E247" t="s">
        <v>38</v>
      </c>
      <c r="F247" t="s">
        <v>39</v>
      </c>
      <c r="G247" t="s">
        <v>40</v>
      </c>
      <c r="H247" s="3" t="str">
        <f>HYPERLINK("https://www.avito.ru/sankt-peterburg/bytovaya_elektronika/promyshlennyy_3d_printer_elegoo_giga_storm_8052923907","Промышленный 3D принтер Elegoo Giga Storm")</f>
      </c>
      <c r="I247" t="s">
        <v>64</v>
      </c>
      <c r="J247" t="s">
        <v>42</v>
      </c>
      <c r="K247" t="s">
        <v>43</v>
      </c>
      <c r="L247">
        <v>50</v>
      </c>
      <c r="M247">
        <v>209</v>
      </c>
      <c r="N247" s="4">
        <v>0.0622</v>
      </c>
      <c r="O247">
        <v>13</v>
      </c>
      <c r="P247" s="5">
        <v>4.3</v>
      </c>
      <c r="Q247" s="4">
        <v>0</v>
      </c>
      <c r="R247">
        <v>0</v>
      </c>
      <c r="S247">
        <v>0</v>
      </c>
      <c r="T247">
        <v>0</v>
      </c>
      <c r="U247">
        <v>0</v>
      </c>
      <c r="V247">
        <v>0</v>
      </c>
      <c r="W247" s="5" t="s">
        <v>65</v>
      </c>
      <c r="X247">
        <v>0</v>
      </c>
      <c r="Y247" s="4">
        <v>0</v>
      </c>
      <c r="Z247">
        <v>0</v>
      </c>
      <c r="AA247" s="5">
        <v>0</v>
      </c>
      <c r="AB247">
        <v>0</v>
      </c>
      <c r="AC247" s="5">
        <v>0</v>
      </c>
      <c r="AD247" s="5">
        <v>56</v>
      </c>
      <c r="AE247" s="5">
        <v>0</v>
      </c>
      <c r="AF247" s="5">
        <v>56</v>
      </c>
      <c r="AG247" s="5">
        <v>0</v>
      </c>
      <c r="AH247" s="5">
        <v>0</v>
      </c>
      <c r="AI247" s="5">
        <v>0</v>
      </c>
    </row>
    <row r="248">
      <c r="A248" s="2" t="str">
        <f>HYPERLINK("https://www.avito.ru/rostov-na-donu/bytovaya_elektronika/bambu_lab_h2s_laser_10w_original_eu_8053008083","8053008083")</f>
      </c>
      <c r="B248" t="s">
        <v>88</v>
      </c>
      <c r="C248" t="s">
        <v>89</v>
      </c>
      <c r="D248" t="s">
        <v>90</v>
      </c>
      <c r="E248" t="s">
        <v>38</v>
      </c>
      <c r="F248" t="s">
        <v>39</v>
      </c>
      <c r="G248" t="s">
        <v>40</v>
      </c>
      <c r="H248" s="3" t="str">
        <f>HYPERLINK("https://www.avito.ru/rostov-na-donu/bytovaya_elektronika/bambu_lab_h2s_laser_10w_original_eu_8053008083","Bambu Lab H2S Laser 10W оригинал EU")</f>
      </c>
      <c r="I248" t="s">
        <v>129</v>
      </c>
      <c r="J248" t="s">
        <v>115</v>
      </c>
      <c r="K248" t="s">
        <v>116</v>
      </c>
      <c r="L248">
        <v>51</v>
      </c>
      <c r="M248">
        <v>223</v>
      </c>
      <c r="N248" s="4">
        <v>0.0582</v>
      </c>
      <c r="O248">
        <v>13</v>
      </c>
      <c r="P248" s="5">
        <v>4.3</v>
      </c>
      <c r="Q248" s="4">
        <v>0</v>
      </c>
      <c r="R248">
        <v>0</v>
      </c>
      <c r="S248">
        <v>0</v>
      </c>
      <c r="T248">
        <v>0</v>
      </c>
      <c r="U248">
        <v>0</v>
      </c>
      <c r="V248">
        <v>0</v>
      </c>
      <c r="W248" s="5" t="s">
        <v>65</v>
      </c>
      <c r="X248">
        <v>0</v>
      </c>
      <c r="Y248" s="4">
        <v>0</v>
      </c>
      <c r="Z248">
        <v>0</v>
      </c>
      <c r="AA248" s="5">
        <v>0</v>
      </c>
      <c r="AB248">
        <v>0</v>
      </c>
      <c r="AC248" s="5">
        <v>0</v>
      </c>
      <c r="AD248" s="5">
        <v>56</v>
      </c>
      <c r="AE248" s="5">
        <v>0</v>
      </c>
      <c r="AF248" s="5">
        <v>56</v>
      </c>
      <c r="AG248" s="5">
        <v>0</v>
      </c>
      <c r="AH248" s="5">
        <v>0</v>
      </c>
      <c r="AI248" s="5">
        <v>0</v>
      </c>
    </row>
    <row r="249">
      <c r="A249" s="2" t="str">
        <f>HYPERLINK("https://www.avito.ru/ufa/bytovaya_elektronika/sverhbystryy_3d_printer_h2s_combo_ams_2_pro_8053014728","8053014728")</f>
      </c>
      <c r="B249" t="s">
        <v>179</v>
      </c>
      <c r="C249" t="s">
        <v>180</v>
      </c>
      <c r="D249" t="s">
        <v>181</v>
      </c>
      <c r="E249" t="s">
        <v>38</v>
      </c>
      <c r="F249" t="s">
        <v>39</v>
      </c>
      <c r="G249" t="s">
        <v>40</v>
      </c>
      <c r="H249" s="3" t="str">
        <f>HYPERLINK("https://www.avito.ru/ufa/bytovaya_elektronika/sverhbystryy_3d_printer_h2s_combo_ams_2_pro_8053014728","Сверхбыстрый 3D принтер H2S Combo AMS 2 PRO")</f>
      </c>
      <c r="I249" t="s">
        <v>48</v>
      </c>
      <c r="J249" t="s">
        <v>49</v>
      </c>
      <c r="K249" t="s">
        <v>50</v>
      </c>
      <c r="L249">
        <v>52</v>
      </c>
      <c r="M249">
        <v>63</v>
      </c>
      <c r="N249" s="4">
        <v>0.2063</v>
      </c>
      <c r="O249">
        <v>13</v>
      </c>
      <c r="P249" s="5">
        <v>4.3</v>
      </c>
      <c r="Q249" s="4">
        <v>0</v>
      </c>
      <c r="R249">
        <v>0</v>
      </c>
      <c r="S249">
        <v>0</v>
      </c>
      <c r="T249">
        <v>0</v>
      </c>
      <c r="U249">
        <v>0</v>
      </c>
      <c r="V249">
        <v>0</v>
      </c>
      <c r="W249" s="5" t="s">
        <v>65</v>
      </c>
      <c r="X249">
        <v>2</v>
      </c>
      <c r="Y249" s="4">
        <v>0</v>
      </c>
      <c r="Z249">
        <v>0</v>
      </c>
      <c r="AA249" s="5">
        <v>0</v>
      </c>
      <c r="AB249">
        <v>0</v>
      </c>
      <c r="AC249" s="5">
        <v>0</v>
      </c>
      <c r="AD249" s="5">
        <v>56</v>
      </c>
      <c r="AE249" s="5">
        <v>0</v>
      </c>
      <c r="AF249" s="5">
        <v>56</v>
      </c>
      <c r="AG249" s="5">
        <v>0</v>
      </c>
      <c r="AH249" s="5">
        <v>0</v>
      </c>
      <c r="AI249" s="5">
        <v>0</v>
      </c>
    </row>
    <row r="250">
      <c r="A250" s="2" t="str">
        <f>HYPERLINK("https://www.avito.ru/voronezh/bytovaya_elektronika/3d_printer_bambu_lab_h2d_laser_40w_eu_8053044111","8053044111")</f>
      </c>
      <c r="B250" t="s">
        <v>109</v>
      </c>
      <c r="C250" t="s">
        <v>110</v>
      </c>
      <c r="D250" t="s">
        <v>111</v>
      </c>
      <c r="E250" t="s">
        <v>38</v>
      </c>
      <c r="F250" t="s">
        <v>39</v>
      </c>
      <c r="G250" t="s">
        <v>40</v>
      </c>
      <c r="H250" s="3" t="str">
        <f>HYPERLINK("https://www.avito.ru/voronezh/bytovaya_elektronika/3d_printer_bambu_lab_h2d_laser_40w_eu_8053044111","3D принтер Bambu Lab H2D Laser 40W EU")</f>
      </c>
      <c r="I250" t="s">
        <v>57</v>
      </c>
      <c r="J250" t="s">
        <v>42</v>
      </c>
      <c r="K250" t="s">
        <v>43</v>
      </c>
      <c r="L250">
        <v>50</v>
      </c>
      <c r="M250">
        <v>144</v>
      </c>
      <c r="N250" s="4">
        <v>0.0902</v>
      </c>
      <c r="O250">
        <v>13</v>
      </c>
      <c r="P250" s="5">
        <v>4.3</v>
      </c>
      <c r="Q250" s="4">
        <v>0</v>
      </c>
      <c r="R250">
        <v>0</v>
      </c>
      <c r="S250">
        <v>0</v>
      </c>
      <c r="T250">
        <v>0</v>
      </c>
      <c r="U250">
        <v>0</v>
      </c>
      <c r="V250">
        <v>0</v>
      </c>
      <c r="W250" s="5" t="s">
        <v>65</v>
      </c>
      <c r="X250">
        <v>0</v>
      </c>
      <c r="Y250" s="4">
        <v>0</v>
      </c>
      <c r="Z250">
        <v>0</v>
      </c>
      <c r="AA250" s="5">
        <v>0</v>
      </c>
      <c r="AB250">
        <v>0</v>
      </c>
      <c r="AC250" s="5">
        <v>0</v>
      </c>
      <c r="AD250" s="5">
        <v>56</v>
      </c>
      <c r="AE250" s="5">
        <v>0</v>
      </c>
      <c r="AF250" s="5">
        <v>56</v>
      </c>
      <c r="AG250" s="5">
        <v>0</v>
      </c>
      <c r="AH250" s="5">
        <v>0</v>
      </c>
      <c r="AI250" s="5">
        <v>0</v>
      </c>
    </row>
    <row r="251">
      <c r="A251" s="2" t="str">
        <f>HYPERLINK("https://www.avito.ru/saratov/bytovaya_elektronika/h2d_combo_ams_2_pro_printer_3d_skorostnoy_cn_8053233021","8053233021")</f>
      </c>
      <c r="B251" t="s">
        <v>208</v>
      </c>
      <c r="C251" t="s">
        <v>209</v>
      </c>
      <c r="D251" t="s">
        <v>210</v>
      </c>
      <c r="E251" t="s">
        <v>38</v>
      </c>
      <c r="F251" t="s">
        <v>39</v>
      </c>
      <c r="G251" t="s">
        <v>40</v>
      </c>
      <c r="H251" s="3" t="str">
        <f>HYPERLINK("https://www.avito.ru/saratov/bytovaya_elektronika/h2d_combo_ams_2_pro_printer_3d_skorostnoy_cn_8053233021","H2D Combo AMS 2 Pro принтер 3Д скоростной CN")</f>
      </c>
      <c r="I251" t="s">
        <v>41</v>
      </c>
      <c r="J251" t="s">
        <v>42</v>
      </c>
      <c r="K251" t="s">
        <v>43</v>
      </c>
      <c r="L251">
        <v>50</v>
      </c>
      <c r="M251">
        <v>130</v>
      </c>
      <c r="N251" s="4">
        <v>0.1</v>
      </c>
      <c r="O251">
        <v>13</v>
      </c>
      <c r="P251" s="5">
        <v>4.3</v>
      </c>
      <c r="Q251" s="4">
        <v>0</v>
      </c>
      <c r="R251">
        <v>0</v>
      </c>
      <c r="S251">
        <v>0</v>
      </c>
      <c r="T251">
        <v>0</v>
      </c>
      <c r="U251">
        <v>0</v>
      </c>
      <c r="V251">
        <v>0</v>
      </c>
      <c r="W251" s="5" t="s">
        <v>65</v>
      </c>
      <c r="X251">
        <v>0</v>
      </c>
      <c r="Y251" s="4">
        <v>0</v>
      </c>
      <c r="Z251">
        <v>0</v>
      </c>
      <c r="AA251" s="5">
        <v>0</v>
      </c>
      <c r="AB251">
        <v>0</v>
      </c>
      <c r="AC251" s="5">
        <v>0</v>
      </c>
      <c r="AD251" s="5">
        <v>56</v>
      </c>
      <c r="AE251" s="5">
        <v>0</v>
      </c>
      <c r="AF251" s="5">
        <v>56</v>
      </c>
      <c r="AG251" s="5">
        <v>0</v>
      </c>
      <c r="AH251" s="5">
        <v>0</v>
      </c>
      <c r="AI251" s="5">
        <v>0</v>
      </c>
    </row>
    <row r="252">
      <c r="A252" s="2" t="str">
        <f>HYPERLINK("https://www.avito.ru/kemerovo/bytovaya_elektronika/3d_printer_h2d_combo_ams_2_pro_skorostnoy_cn_8053240410","8053240410")</f>
      </c>
      <c r="B252" t="s">
        <v>99</v>
      </c>
      <c r="C252" t="s">
        <v>100</v>
      </c>
      <c r="D252" t="s">
        <v>101</v>
      </c>
      <c r="E252" t="s">
        <v>38</v>
      </c>
      <c r="F252" t="s">
        <v>39</v>
      </c>
      <c r="G252" t="s">
        <v>40</v>
      </c>
      <c r="H252" s="3" t="str">
        <f>HYPERLINK("https://www.avito.ru/kemerovo/bytovaya_elektronika/3d_printer_h2d_combo_ams_2_pro_skorostnoy_cn_8053240410","3D принтер H2D Combo AMS 2 Pro скоростной CN")</f>
      </c>
      <c r="I252" t="s">
        <v>41</v>
      </c>
      <c r="J252" t="s">
        <v>42</v>
      </c>
      <c r="K252" t="s">
        <v>43</v>
      </c>
      <c r="L252">
        <v>50</v>
      </c>
      <c r="M252">
        <v>154</v>
      </c>
      <c r="N252" s="4">
        <v>0.0844</v>
      </c>
      <c r="O252">
        <v>13</v>
      </c>
      <c r="P252" s="5">
        <v>4.3</v>
      </c>
      <c r="Q252" s="4">
        <v>0</v>
      </c>
      <c r="R252">
        <v>0</v>
      </c>
      <c r="S252">
        <v>0</v>
      </c>
      <c r="T252">
        <v>0</v>
      </c>
      <c r="U252">
        <v>0</v>
      </c>
      <c r="V252">
        <v>0</v>
      </c>
      <c r="W252" s="5" t="s">
        <v>65</v>
      </c>
      <c r="X252">
        <v>1</v>
      </c>
      <c r="Y252" s="4">
        <v>0</v>
      </c>
      <c r="Z252">
        <v>0</v>
      </c>
      <c r="AA252" s="5">
        <v>0</v>
      </c>
      <c r="AB252">
        <v>0</v>
      </c>
      <c r="AC252" s="5">
        <v>0</v>
      </c>
      <c r="AD252" s="5">
        <v>56</v>
      </c>
      <c r="AE252" s="5">
        <v>0</v>
      </c>
      <c r="AF252" s="5">
        <v>56</v>
      </c>
      <c r="AG252" s="5">
        <v>0</v>
      </c>
      <c r="AH252" s="5">
        <v>0</v>
      </c>
      <c r="AI252" s="5">
        <v>0</v>
      </c>
    </row>
    <row r="253">
      <c r="A253" s="2" t="str">
        <f>HYPERLINK("https://www.avito.ru/mahachkala/bytovaya_elektronika/h2s_combo_ams_2_pro_printer_3d_bambu_lab_8053345998","8053345998")</f>
      </c>
      <c r="B253" t="s">
        <v>106</v>
      </c>
      <c r="C253" t="s">
        <v>107</v>
      </c>
      <c r="D253" t="s">
        <v>108</v>
      </c>
      <c r="E253" t="s">
        <v>38</v>
      </c>
      <c r="F253" t="s">
        <v>39</v>
      </c>
      <c r="G253" t="s">
        <v>40</v>
      </c>
      <c r="H253" s="3" t="str">
        <f>HYPERLINK("https://www.avito.ru/mahachkala/bytovaya_elektronika/h2s_combo_ams_2_pro_printer_3d_bambu_lab_8053345998","H2S Combo AMS 2 PRO принтер 3D Bambu Lab")</f>
      </c>
      <c r="I253" t="s">
        <v>48</v>
      </c>
      <c r="J253" t="s">
        <v>115</v>
      </c>
      <c r="K253" t="s">
        <v>116</v>
      </c>
      <c r="L253">
        <v>51</v>
      </c>
      <c r="M253">
        <v>147</v>
      </c>
      <c r="N253" s="4">
        <v>0.0884</v>
      </c>
      <c r="O253">
        <v>13</v>
      </c>
      <c r="P253" s="5">
        <v>4.3</v>
      </c>
      <c r="Q253" s="4">
        <v>0.0769</v>
      </c>
      <c r="R253">
        <v>1</v>
      </c>
      <c r="S253">
        <v>1</v>
      </c>
      <c r="T253">
        <v>0</v>
      </c>
      <c r="U253">
        <v>0</v>
      </c>
      <c r="V253">
        <v>0</v>
      </c>
      <c r="W253" s="5">
        <v>56</v>
      </c>
      <c r="X253">
        <v>1</v>
      </c>
      <c r="Y253" s="4">
        <v>0</v>
      </c>
      <c r="Z253">
        <v>0</v>
      </c>
      <c r="AA253" s="5">
        <v>0</v>
      </c>
      <c r="AB253">
        <v>0</v>
      </c>
      <c r="AC253" s="5">
        <v>0</v>
      </c>
      <c r="AD253" s="5">
        <v>56</v>
      </c>
      <c r="AE253" s="5">
        <v>0</v>
      </c>
      <c r="AF253" s="5">
        <v>56</v>
      </c>
      <c r="AG253" s="5">
        <v>0</v>
      </c>
      <c r="AH253" s="5">
        <v>0</v>
      </c>
      <c r="AI253" s="5">
        <v>0</v>
      </c>
    </row>
    <row r="254">
      <c r="A254" s="2" t="str">
        <f>HYPERLINK("https://www.avito.ru/ekaterinburg/bytovaya_elektronika/3d_printer_elegoo_giga_storm_300_mms_8053372960","8053372960")</f>
      </c>
      <c r="B254" t="s">
        <v>136</v>
      </c>
      <c r="C254" t="s">
        <v>137</v>
      </c>
      <c r="D254" t="s">
        <v>138</v>
      </c>
      <c r="E254" t="s">
        <v>38</v>
      </c>
      <c r="F254" t="s">
        <v>39</v>
      </c>
      <c r="G254" t="s">
        <v>40</v>
      </c>
      <c r="H254" s="3" t="str">
        <f>HYPERLINK("https://www.avito.ru/ekaterinburg/bytovaya_elektronika/3d_printer_elegoo_giga_storm_300_mms_8053372960","3D принтер Elegoo Giga Storm 300 мм/с")</f>
      </c>
      <c r="I254" t="s">
        <v>64</v>
      </c>
      <c r="J254" t="s">
        <v>42</v>
      </c>
      <c r="K254" t="s">
        <v>43</v>
      </c>
      <c r="L254">
        <v>50</v>
      </c>
      <c r="M254">
        <v>154</v>
      </c>
      <c r="N254" s="4">
        <v>0.0844</v>
      </c>
      <c r="O254">
        <v>13</v>
      </c>
      <c r="P254" s="5">
        <v>4.3</v>
      </c>
      <c r="Q254" s="4">
        <v>0</v>
      </c>
      <c r="R254">
        <v>0</v>
      </c>
      <c r="S254">
        <v>0</v>
      </c>
      <c r="T254">
        <v>0</v>
      </c>
      <c r="U254">
        <v>0</v>
      </c>
      <c r="V254">
        <v>0</v>
      </c>
      <c r="W254" s="5" t="s">
        <v>65</v>
      </c>
      <c r="X254">
        <v>0</v>
      </c>
      <c r="Y254" s="4">
        <v>0</v>
      </c>
      <c r="Z254">
        <v>0</v>
      </c>
      <c r="AA254" s="5">
        <v>0</v>
      </c>
      <c r="AB254">
        <v>0</v>
      </c>
      <c r="AC254" s="5">
        <v>0</v>
      </c>
      <c r="AD254" s="5">
        <v>56</v>
      </c>
      <c r="AE254" s="5">
        <v>0</v>
      </c>
      <c r="AF254" s="5">
        <v>56</v>
      </c>
      <c r="AG254" s="5">
        <v>0</v>
      </c>
      <c r="AH254" s="5">
        <v>0</v>
      </c>
      <c r="AI254" s="5">
        <v>0</v>
      </c>
    </row>
    <row r="255">
      <c r="A255" s="2" t="str">
        <f>HYPERLINK("https://www.avito.ru/krasnoyarsk/bytovaya_elektronika/inzhenernyy_3d_printer_bambu_lab_h2d_pro_combo_ams_8053549461","8053549461")</f>
      </c>
      <c r="B255" t="s">
        <v>139</v>
      </c>
      <c r="C255" t="s">
        <v>140</v>
      </c>
      <c r="D255" t="s">
        <v>141</v>
      </c>
      <c r="E255" t="s">
        <v>38</v>
      </c>
      <c r="F255" t="s">
        <v>39</v>
      </c>
      <c r="G255" t="s">
        <v>40</v>
      </c>
      <c r="H255" s="3" t="str">
        <f>HYPERLINK("https://www.avito.ru/krasnoyarsk/bytovaya_elektronika/inzhenernyy_3d_printer_bambu_lab_h2d_pro_combo_ams_8053549461","Инженерный 3D принтер Bambu Lab H2D PRO Combo AMS")</f>
      </c>
      <c r="I255" t="s">
        <v>172</v>
      </c>
      <c r="J255" t="s">
        <v>115</v>
      </c>
      <c r="K255" t="s">
        <v>116</v>
      </c>
      <c r="L255">
        <v>51</v>
      </c>
      <c r="M255">
        <v>147</v>
      </c>
      <c r="N255" s="4">
        <v>0.0884</v>
      </c>
      <c r="O255">
        <v>13</v>
      </c>
      <c r="P255" s="5">
        <v>4.3</v>
      </c>
      <c r="Q255" s="4">
        <v>0</v>
      </c>
      <c r="R255">
        <v>0</v>
      </c>
      <c r="S255">
        <v>0</v>
      </c>
      <c r="T255">
        <v>0</v>
      </c>
      <c r="U255">
        <v>0</v>
      </c>
      <c r="V255">
        <v>0</v>
      </c>
      <c r="W255" s="5" t="s">
        <v>65</v>
      </c>
      <c r="X255">
        <v>1</v>
      </c>
      <c r="Y255" s="4">
        <v>0</v>
      </c>
      <c r="Z255">
        <v>0</v>
      </c>
      <c r="AA255" s="5">
        <v>0</v>
      </c>
      <c r="AB255">
        <v>0</v>
      </c>
      <c r="AC255" s="5">
        <v>0</v>
      </c>
      <c r="AD255" s="5">
        <v>56</v>
      </c>
      <c r="AE255" s="5">
        <v>0</v>
      </c>
      <c r="AF255" s="5">
        <v>56</v>
      </c>
      <c r="AG255" s="5">
        <v>0</v>
      </c>
      <c r="AH255" s="5">
        <v>0</v>
      </c>
      <c r="AI255" s="5">
        <v>0</v>
      </c>
    </row>
    <row r="256">
      <c r="A256" s="2" t="str">
        <f>HYPERLINK("https://www.avito.ru/novosibirsk/bytovaya_elektronika/3d-printer_bambu_lab_h2c_combo_eu_ams_8053589601","8053589601")</f>
      </c>
      <c r="B256" t="s">
        <v>142</v>
      </c>
      <c r="C256" t="s">
        <v>143</v>
      </c>
      <c r="D256" t="s">
        <v>144</v>
      </c>
      <c r="E256" t="s">
        <v>38</v>
      </c>
      <c r="F256" t="s">
        <v>39</v>
      </c>
      <c r="G256" t="s">
        <v>40</v>
      </c>
      <c r="H256" s="3" t="str">
        <f>HYPERLINK("https://www.avito.ru/novosibirsk/bytovaya_elektronika/3d-printer_bambu_lab_h2c_combo_eu_ams_8053589601","3D-принтер Bambu Lab H2C Combo EU AMS")</f>
      </c>
      <c r="I256" t="s">
        <v>83</v>
      </c>
      <c r="J256" t="s">
        <v>115</v>
      </c>
      <c r="K256" t="s">
        <v>116</v>
      </c>
      <c r="L256">
        <v>51</v>
      </c>
      <c r="M256">
        <v>77</v>
      </c>
      <c r="N256" s="4">
        <v>0.1688</v>
      </c>
      <c r="O256">
        <v>13</v>
      </c>
      <c r="P256" s="5">
        <v>4.3</v>
      </c>
      <c r="Q256" s="4">
        <v>0.0769</v>
      </c>
      <c r="R256">
        <v>1</v>
      </c>
      <c r="S256">
        <v>1</v>
      </c>
      <c r="T256">
        <v>0</v>
      </c>
      <c r="U256">
        <v>0</v>
      </c>
      <c r="V256">
        <v>0</v>
      </c>
      <c r="W256" s="5">
        <v>56</v>
      </c>
      <c r="X256">
        <v>1</v>
      </c>
      <c r="Y256" s="4">
        <v>0</v>
      </c>
      <c r="Z256">
        <v>0</v>
      </c>
      <c r="AA256" s="5">
        <v>0</v>
      </c>
      <c r="AB256">
        <v>0</v>
      </c>
      <c r="AC256" s="5">
        <v>0</v>
      </c>
      <c r="AD256" s="5">
        <v>56</v>
      </c>
      <c r="AE256" s="5">
        <v>0</v>
      </c>
      <c r="AF256" s="5">
        <v>56</v>
      </c>
      <c r="AG256" s="5">
        <v>0</v>
      </c>
      <c r="AH256" s="5">
        <v>0</v>
      </c>
      <c r="AI256" s="5">
        <v>0</v>
      </c>
    </row>
    <row r="257">
      <c r="A257" s="2" t="str">
        <f>HYPERLINK("https://www.avito.ru/tyumen/bytovaya_elektronika/bambu_lab_h2c_ams_combo_3d-pechat_eu-versiya_8053708053","8053708053")</f>
      </c>
      <c r="B257" t="s">
        <v>145</v>
      </c>
      <c r="C257" t="s">
        <v>146</v>
      </c>
      <c r="D257" t="s">
        <v>147</v>
      </c>
      <c r="E257" t="s">
        <v>38</v>
      </c>
      <c r="F257" t="s">
        <v>39</v>
      </c>
      <c r="G257" t="s">
        <v>40</v>
      </c>
      <c r="H257" s="3" t="str">
        <f>HYPERLINK("https://www.avito.ru/tyumen/bytovaya_elektronika/bambu_lab_h2c_ams_combo_3d-pechat_eu-versiya_8053708053","Bambu Lab H2C AMS Combo 3D-печать EU-версия")</f>
      </c>
      <c r="I257" t="s">
        <v>83</v>
      </c>
      <c r="J257" t="s">
        <v>49</v>
      </c>
      <c r="K257" t="s">
        <v>50</v>
      </c>
      <c r="L257">
        <v>52</v>
      </c>
      <c r="M257">
        <v>213</v>
      </c>
      <c r="N257" s="4">
        <v>0.061</v>
      </c>
      <c r="O257">
        <v>13</v>
      </c>
      <c r="P257" s="5">
        <v>4.3</v>
      </c>
      <c r="Q257" s="4">
        <v>0</v>
      </c>
      <c r="R257">
        <v>0</v>
      </c>
      <c r="S257">
        <v>0</v>
      </c>
      <c r="T257">
        <v>0</v>
      </c>
      <c r="U257">
        <v>0</v>
      </c>
      <c r="V257">
        <v>0</v>
      </c>
      <c r="W257" s="5" t="s">
        <v>65</v>
      </c>
      <c r="X257">
        <v>1</v>
      </c>
      <c r="Y257" s="4">
        <v>0</v>
      </c>
      <c r="Z257">
        <v>0</v>
      </c>
      <c r="AA257" s="5">
        <v>0</v>
      </c>
      <c r="AB257">
        <v>0</v>
      </c>
      <c r="AC257" s="5">
        <v>0</v>
      </c>
      <c r="AD257" s="5">
        <v>56</v>
      </c>
      <c r="AE257" s="5">
        <v>0</v>
      </c>
      <c r="AF257" s="5">
        <v>56</v>
      </c>
      <c r="AG257" s="5">
        <v>0</v>
      </c>
      <c r="AH257" s="5">
        <v>0</v>
      </c>
      <c r="AI257" s="5">
        <v>0</v>
      </c>
    </row>
    <row r="258">
      <c r="A258" s="2" t="str">
        <f>HYPERLINK("https://www.avito.ru/novosibirsk/bytovaya_elektronika/3d-printer_bambu_lab_h2d_combo_eu_ams_2_pro_8052978563","8052978563")</f>
      </c>
      <c r="B258" t="s">
        <v>142</v>
      </c>
      <c r="C258" t="s">
        <v>143</v>
      </c>
      <c r="D258" t="s">
        <v>144</v>
      </c>
      <c r="E258" t="s">
        <v>38</v>
      </c>
      <c r="F258" t="s">
        <v>39</v>
      </c>
      <c r="G258" t="s">
        <v>40</v>
      </c>
      <c r="H258" s="3" t="str">
        <f>HYPERLINK("https://www.avito.ru/novosibirsk/bytovaya_elektronika/3d-printer_bambu_lab_h2d_combo_eu_ams_2_pro_8052978563","3D-принтер Bambu Lab H2D Combo EU AMS 2 Pro")</f>
      </c>
      <c r="I258" t="s">
        <v>91</v>
      </c>
      <c r="J258" t="s">
        <v>49</v>
      </c>
      <c r="K258" t="s">
        <v>50</v>
      </c>
      <c r="L258">
        <v>52</v>
      </c>
      <c r="M258">
        <v>65</v>
      </c>
      <c r="N258" s="4">
        <v>0.1846</v>
      </c>
      <c r="O258">
        <v>12</v>
      </c>
      <c r="P258" s="5">
        <v>4.66</v>
      </c>
      <c r="Q258" s="4">
        <v>0</v>
      </c>
      <c r="R258">
        <v>0</v>
      </c>
      <c r="S258">
        <v>0</v>
      </c>
      <c r="T258">
        <v>0</v>
      </c>
      <c r="U258">
        <v>0</v>
      </c>
      <c r="V258">
        <v>0</v>
      </c>
      <c r="W258" s="5" t="s">
        <v>65</v>
      </c>
      <c r="X258">
        <v>0</v>
      </c>
      <c r="Y258" s="4">
        <v>0</v>
      </c>
      <c r="Z258">
        <v>0</v>
      </c>
      <c r="AA258" s="5">
        <v>0</v>
      </c>
      <c r="AB258">
        <v>0</v>
      </c>
      <c r="AC258" s="5">
        <v>0</v>
      </c>
      <c r="AD258" s="5">
        <v>56</v>
      </c>
      <c r="AE258" s="5">
        <v>0</v>
      </c>
      <c r="AF258" s="5">
        <v>56</v>
      </c>
      <c r="AG258" s="5">
        <v>0</v>
      </c>
      <c r="AH258" s="5">
        <v>0</v>
      </c>
      <c r="AI258" s="5">
        <v>0</v>
      </c>
    </row>
    <row r="259">
      <c r="A259" s="2" t="str">
        <f>HYPERLINK("https://www.avito.ru/tomsk/bytovaya_elektronika/3d_printer_bambu_lab_h2d_combo_ams_2_pro_8053013142","8053013142")</f>
      </c>
      <c r="B259" t="s">
        <v>169</v>
      </c>
      <c r="C259" t="s">
        <v>170</v>
      </c>
      <c r="D259" t="s">
        <v>171</v>
      </c>
      <c r="E259" t="s">
        <v>38</v>
      </c>
      <c r="F259" t="s">
        <v>39</v>
      </c>
      <c r="G259" t="s">
        <v>40</v>
      </c>
      <c r="H259" s="3" t="str">
        <f>HYPERLINK("https://www.avito.ru/tomsk/bytovaya_elektronika/3d_printer_bambu_lab_h2d_combo_ams_2_pro_8053013142","3Д принтер Bambu Lab H2D Combo AMS 2 Pro")</f>
      </c>
      <c r="I259" t="s">
        <v>91</v>
      </c>
      <c r="J259" t="s">
        <v>42</v>
      </c>
      <c r="K259" t="s">
        <v>43</v>
      </c>
      <c r="L259">
        <v>50</v>
      </c>
      <c r="M259">
        <v>95</v>
      </c>
      <c r="N259" s="4">
        <v>0.1263</v>
      </c>
      <c r="O259">
        <v>12</v>
      </c>
      <c r="P259" s="5">
        <v>4.66</v>
      </c>
      <c r="Q259" s="4">
        <v>0</v>
      </c>
      <c r="R259">
        <v>0</v>
      </c>
      <c r="S259">
        <v>0</v>
      </c>
      <c r="T259">
        <v>0</v>
      </c>
      <c r="U259">
        <v>0</v>
      </c>
      <c r="V259">
        <v>0</v>
      </c>
      <c r="W259" s="5" t="s">
        <v>65</v>
      </c>
      <c r="X259">
        <v>0</v>
      </c>
      <c r="Y259" s="4">
        <v>0</v>
      </c>
      <c r="Z259">
        <v>0</v>
      </c>
      <c r="AA259" s="5">
        <v>0</v>
      </c>
      <c r="AB259">
        <v>0</v>
      </c>
      <c r="AC259" s="5">
        <v>0</v>
      </c>
      <c r="AD259" s="5">
        <v>56</v>
      </c>
      <c r="AE259" s="5">
        <v>0</v>
      </c>
      <c r="AF259" s="5">
        <v>56</v>
      </c>
      <c r="AG259" s="5">
        <v>0</v>
      </c>
      <c r="AH259" s="5">
        <v>0</v>
      </c>
      <c r="AI259" s="5">
        <v>0</v>
      </c>
    </row>
    <row r="260">
      <c r="A260" s="2" t="str">
        <f>HYPERLINK("https://www.avito.ru/barnaul/bytovaya_elektronika/3d_printer_h2d_laser_10w_eu_s_videokameroy_8053034285","8053034285")</f>
      </c>
      <c r="B260" t="s">
        <v>158</v>
      </c>
      <c r="C260" t="s">
        <v>159</v>
      </c>
      <c r="D260" t="s">
        <v>160</v>
      </c>
      <c r="E260" t="s">
        <v>38</v>
      </c>
      <c r="F260" t="s">
        <v>39</v>
      </c>
      <c r="G260" t="s">
        <v>40</v>
      </c>
      <c r="H260" s="3" t="str">
        <f>HYPERLINK("https://www.avito.ru/barnaul/bytovaya_elektronika/3d_printer_h2d_laser_10w_eu_s_videokameroy_8053034285","3D принтер H2D Laser 10W EU с видеокамерой")</f>
      </c>
      <c r="I260" t="s">
        <v>95</v>
      </c>
      <c r="J260" t="s">
        <v>42</v>
      </c>
      <c r="K260" t="s">
        <v>43</v>
      </c>
      <c r="L260">
        <v>50</v>
      </c>
      <c r="M260">
        <v>115</v>
      </c>
      <c r="N260" s="4">
        <v>0.1043</v>
      </c>
      <c r="O260">
        <v>12</v>
      </c>
      <c r="P260" s="5">
        <v>4.66</v>
      </c>
      <c r="Q260" s="4">
        <v>0</v>
      </c>
      <c r="R260">
        <v>0</v>
      </c>
      <c r="S260">
        <v>0</v>
      </c>
      <c r="T260">
        <v>0</v>
      </c>
      <c r="U260">
        <v>0</v>
      </c>
      <c r="V260">
        <v>0</v>
      </c>
      <c r="W260" s="5" t="s">
        <v>65</v>
      </c>
      <c r="X260">
        <v>0</v>
      </c>
      <c r="Y260" s="4">
        <v>0</v>
      </c>
      <c r="Z260">
        <v>0</v>
      </c>
      <c r="AA260" s="5">
        <v>0</v>
      </c>
      <c r="AB260">
        <v>0</v>
      </c>
      <c r="AC260" s="5">
        <v>0</v>
      </c>
      <c r="AD260" s="5">
        <v>56</v>
      </c>
      <c r="AE260" s="5">
        <v>0</v>
      </c>
      <c r="AF260" s="5">
        <v>56</v>
      </c>
      <c r="AG260" s="5">
        <v>0</v>
      </c>
      <c r="AH260" s="5">
        <v>0</v>
      </c>
      <c r="AI260" s="5">
        <v>0</v>
      </c>
    </row>
    <row r="261">
      <c r="A261" s="2" t="str">
        <f>HYPERLINK("https://www.avito.ru/ufa/bytovaya_elektronika/h2d_laser_10w_eu_3d_printer_350c_hotend_8053250985","8053250985")</f>
      </c>
      <c r="B261" t="s">
        <v>179</v>
      </c>
      <c r="C261" t="s">
        <v>180</v>
      </c>
      <c r="D261" t="s">
        <v>181</v>
      </c>
      <c r="E261" t="s">
        <v>38</v>
      </c>
      <c r="F261" t="s">
        <v>39</v>
      </c>
      <c r="G261" t="s">
        <v>40</v>
      </c>
      <c r="H261" s="3" t="str">
        <f>HYPERLINK("https://www.avito.ru/ufa/bytovaya_elektronika/h2d_laser_10w_eu_3d_printer_350c_hotend_8053250985","H2D Laser 10W EU 3D принтер 350C хотенд")</f>
      </c>
      <c r="I261" t="s">
        <v>95</v>
      </c>
      <c r="J261" t="s">
        <v>42</v>
      </c>
      <c r="K261" t="s">
        <v>43</v>
      </c>
      <c r="L261">
        <v>50</v>
      </c>
      <c r="M261">
        <v>178</v>
      </c>
      <c r="N261" s="4">
        <v>0.0674</v>
      </c>
      <c r="O261">
        <v>12</v>
      </c>
      <c r="P261" s="5">
        <v>4.66</v>
      </c>
      <c r="Q261" s="4">
        <v>0</v>
      </c>
      <c r="R261">
        <v>0</v>
      </c>
      <c r="S261">
        <v>0</v>
      </c>
      <c r="T261">
        <v>0</v>
      </c>
      <c r="U261">
        <v>0</v>
      </c>
      <c r="V261">
        <v>0</v>
      </c>
      <c r="W261" s="5" t="s">
        <v>65</v>
      </c>
      <c r="X261">
        <v>0</v>
      </c>
      <c r="Y261" s="4">
        <v>0</v>
      </c>
      <c r="Z261">
        <v>0</v>
      </c>
      <c r="AA261" s="5">
        <v>0</v>
      </c>
      <c r="AB261">
        <v>0</v>
      </c>
      <c r="AC261" s="5">
        <v>0</v>
      </c>
      <c r="AD261" s="5">
        <v>56</v>
      </c>
      <c r="AE261" s="5">
        <v>0</v>
      </c>
      <c r="AF261" s="5">
        <v>56</v>
      </c>
      <c r="AG261" s="5">
        <v>0</v>
      </c>
      <c r="AH261" s="5">
        <v>0</v>
      </c>
      <c r="AI261" s="5">
        <v>0</v>
      </c>
    </row>
    <row r="262">
      <c r="A262" s="2" t="str">
        <f>HYPERLINK("https://www.avito.ru/moskva/bytovaya_elektronika/elegoo_giga_storm_3d_printer_1000mm_vysota_8053280278","8053280278")</f>
      </c>
      <c r="B262" t="s">
        <v>35</v>
      </c>
      <c r="C262" t="s">
        <v>36</v>
      </c>
      <c r="D262" t="s">
        <v>37</v>
      </c>
      <c r="E262" t="s">
        <v>38</v>
      </c>
      <c r="F262" t="s">
        <v>39</v>
      </c>
      <c r="G262" t="s">
        <v>40</v>
      </c>
      <c r="H262" s="3" t="str">
        <f>HYPERLINK("https://www.avito.ru/moskva/bytovaya_elektronika/elegoo_giga_storm_3d_printer_1000mm_vysota_8053280278","Elegoo Giga Storm 3D принтер 1000мм высота")</f>
      </c>
      <c r="I262" t="s">
        <v>64</v>
      </c>
      <c r="J262" t="s">
        <v>42</v>
      </c>
      <c r="K262" t="s">
        <v>43</v>
      </c>
      <c r="L262">
        <v>50</v>
      </c>
      <c r="M262">
        <v>99</v>
      </c>
      <c r="N262" s="4">
        <v>0.1212</v>
      </c>
      <c r="O262">
        <v>12</v>
      </c>
      <c r="P262" s="5">
        <v>7.08</v>
      </c>
      <c r="Q262" s="4">
        <v>0</v>
      </c>
      <c r="R262">
        <v>0</v>
      </c>
      <c r="S262">
        <v>0</v>
      </c>
      <c r="T262">
        <v>0</v>
      </c>
      <c r="U262">
        <v>0</v>
      </c>
      <c r="V262">
        <v>0</v>
      </c>
      <c r="W262" s="5" t="s">
        <v>65</v>
      </c>
      <c r="X262">
        <v>0</v>
      </c>
      <c r="Y262" s="4">
        <v>0</v>
      </c>
      <c r="Z262">
        <v>0</v>
      </c>
      <c r="AA262" s="5">
        <v>0</v>
      </c>
      <c r="AB262">
        <v>0</v>
      </c>
      <c r="AC262" s="5">
        <v>0</v>
      </c>
      <c r="AD262" s="5">
        <v>85</v>
      </c>
      <c r="AE262" s="5">
        <v>0</v>
      </c>
      <c r="AF262" s="5">
        <v>85</v>
      </c>
      <c r="AG262" s="5">
        <v>0</v>
      </c>
      <c r="AH262" s="5">
        <v>0</v>
      </c>
      <c r="AI262" s="5">
        <v>0</v>
      </c>
    </row>
    <row r="263">
      <c r="A263" s="2" t="str">
        <f>HYPERLINK("https://www.avito.ru/astrahan/bytovaya_elektronika/h2d_combo_ams_2_pro_dlya_biznesa_i_kb_8053305849","8053305849")</f>
      </c>
      <c r="B263" t="s">
        <v>119</v>
      </c>
      <c r="C263" t="s">
        <v>120</v>
      </c>
      <c r="D263" t="s">
        <v>121</v>
      </c>
      <c r="E263" t="s">
        <v>38</v>
      </c>
      <c r="F263" t="s">
        <v>39</v>
      </c>
      <c r="G263" t="s">
        <v>40</v>
      </c>
      <c r="H263" s="3" t="str">
        <f>HYPERLINK("https://www.avito.ru/astrahan/bytovaya_elektronika/h2d_combo_ams_2_pro_dlya_biznesa_i_kb_8053305849","H2D Combo AMS 2 Pro для бизнеса и кб")</f>
      </c>
      <c r="I263" t="s">
        <v>91</v>
      </c>
      <c r="J263" t="s">
        <v>42</v>
      </c>
      <c r="K263" t="s">
        <v>43</v>
      </c>
      <c r="L263">
        <v>50</v>
      </c>
      <c r="M263">
        <v>98</v>
      </c>
      <c r="N263" s="4">
        <v>0.1224</v>
      </c>
      <c r="O263">
        <v>12</v>
      </c>
      <c r="P263" s="5">
        <v>4.66</v>
      </c>
      <c r="Q263" s="4">
        <v>0</v>
      </c>
      <c r="R263">
        <v>0</v>
      </c>
      <c r="S263">
        <v>0</v>
      </c>
      <c r="T263">
        <v>0</v>
      </c>
      <c r="U263">
        <v>0</v>
      </c>
      <c r="V263">
        <v>0</v>
      </c>
      <c r="W263" s="5" t="s">
        <v>65</v>
      </c>
      <c r="X263">
        <v>3</v>
      </c>
      <c r="Y263" s="4">
        <v>0</v>
      </c>
      <c r="Z263">
        <v>0</v>
      </c>
      <c r="AA263" s="5">
        <v>0</v>
      </c>
      <c r="AB263">
        <v>0</v>
      </c>
      <c r="AC263" s="5">
        <v>0</v>
      </c>
      <c r="AD263" s="5">
        <v>56</v>
      </c>
      <c r="AE263" s="5">
        <v>0</v>
      </c>
      <c r="AF263" s="5">
        <v>56</v>
      </c>
      <c r="AG263" s="5">
        <v>0</v>
      </c>
      <c r="AH263" s="5">
        <v>0</v>
      </c>
      <c r="AI263" s="5">
        <v>0</v>
      </c>
    </row>
    <row r="264">
      <c r="A264" s="2" t="str">
        <f>HYPERLINK("https://www.avito.ru/tula/bytovaya_elektronika/bambu_lab_h2d_combo_ams2_pro_eu_professionalnyy_8053400778","8053400778")</f>
      </c>
      <c r="B264" t="s">
        <v>152</v>
      </c>
      <c r="C264" t="s">
        <v>153</v>
      </c>
      <c r="D264" t="s">
        <v>231</v>
      </c>
      <c r="E264" t="s">
        <v>38</v>
      </c>
      <c r="F264" t="s">
        <v>39</v>
      </c>
      <c r="G264" t="s">
        <v>40</v>
      </c>
      <c r="H264" s="3" t="str">
        <f>HYPERLINK("https://www.avito.ru/tula/bytovaya_elektronika/bambu_lab_h2d_combo_ams2_pro_eu_professionalnyy_8053400778","Bambu Lab H2D Combo AMS2 Pro EU профессиональный")</f>
      </c>
      <c r="I264" t="s">
        <v>91</v>
      </c>
      <c r="J264" t="s">
        <v>49</v>
      </c>
      <c r="K264" t="s">
        <v>50</v>
      </c>
      <c r="L264">
        <v>52</v>
      </c>
      <c r="M264">
        <v>106</v>
      </c>
      <c r="N264" s="4">
        <v>0.1132</v>
      </c>
      <c r="O264">
        <v>12</v>
      </c>
      <c r="P264" s="5">
        <v>4.66</v>
      </c>
      <c r="Q264" s="4">
        <v>0</v>
      </c>
      <c r="R264">
        <v>0</v>
      </c>
      <c r="S264">
        <v>0</v>
      </c>
      <c r="T264">
        <v>0</v>
      </c>
      <c r="U264">
        <v>0</v>
      </c>
      <c r="V264">
        <v>0</v>
      </c>
      <c r="W264" s="5" t="s">
        <v>65</v>
      </c>
      <c r="X264">
        <v>0</v>
      </c>
      <c r="Y264" s="4">
        <v>0</v>
      </c>
      <c r="Z264">
        <v>0</v>
      </c>
      <c r="AA264" s="5">
        <v>0</v>
      </c>
      <c r="AB264">
        <v>0</v>
      </c>
      <c r="AC264" s="5">
        <v>0</v>
      </c>
      <c r="AD264" s="5">
        <v>56</v>
      </c>
      <c r="AE264" s="5">
        <v>0</v>
      </c>
      <c r="AF264" s="5">
        <v>56</v>
      </c>
      <c r="AG264" s="5">
        <v>0</v>
      </c>
      <c r="AH264" s="5">
        <v>0</v>
      </c>
      <c r="AI264" s="5">
        <v>0</v>
      </c>
    </row>
    <row r="265">
      <c r="A265" s="2" t="str">
        <f>HYPERLINK("https://www.avito.ru/vladivostok/bytovaya_elektronika/h2d_laser_10w_eu_3d_printer_350c_hotend_8053470520","8053470520")</f>
      </c>
      <c r="B265" t="s">
        <v>190</v>
      </c>
      <c r="C265" t="s">
        <v>191</v>
      </c>
      <c r="D265" t="s">
        <v>192</v>
      </c>
      <c r="E265" t="s">
        <v>38</v>
      </c>
      <c r="F265" t="s">
        <v>39</v>
      </c>
      <c r="G265" t="s">
        <v>40</v>
      </c>
      <c r="H265" s="3" t="str">
        <f>HYPERLINK("https://www.avito.ru/vladivostok/bytovaya_elektronika/h2d_laser_10w_eu_3d_printer_350c_hotend_8053470520","H2D Laser 10W EU 3D принтер 350C хотенд")</f>
      </c>
      <c r="I265" t="s">
        <v>95</v>
      </c>
      <c r="J265" t="s">
        <v>42</v>
      </c>
      <c r="K265" t="s">
        <v>43</v>
      </c>
      <c r="L265">
        <v>50</v>
      </c>
      <c r="M265">
        <v>224</v>
      </c>
      <c r="N265" s="4">
        <v>0.0535</v>
      </c>
      <c r="O265">
        <v>12</v>
      </c>
      <c r="P265" s="5">
        <v>4.66</v>
      </c>
      <c r="Q265" s="4">
        <v>0</v>
      </c>
      <c r="R265">
        <v>0</v>
      </c>
      <c r="S265">
        <v>0</v>
      </c>
      <c r="T265">
        <v>0</v>
      </c>
      <c r="U265">
        <v>0</v>
      </c>
      <c r="V265">
        <v>0</v>
      </c>
      <c r="W265" s="5" t="s">
        <v>65</v>
      </c>
      <c r="X265">
        <v>0</v>
      </c>
      <c r="Y265" s="4">
        <v>0</v>
      </c>
      <c r="Z265">
        <v>0</v>
      </c>
      <c r="AA265" s="5">
        <v>0</v>
      </c>
      <c r="AB265">
        <v>0</v>
      </c>
      <c r="AC265" s="5">
        <v>0</v>
      </c>
      <c r="AD265" s="5">
        <v>56</v>
      </c>
      <c r="AE265" s="5">
        <v>0</v>
      </c>
      <c r="AF265" s="5">
        <v>56</v>
      </c>
      <c r="AG265" s="5">
        <v>0</v>
      </c>
      <c r="AH265" s="5">
        <v>0</v>
      </c>
      <c r="AI265" s="5">
        <v>0</v>
      </c>
    </row>
    <row r="266">
      <c r="A266" s="2" t="str">
        <f>HYPERLINK("https://www.avito.ru/tolyatti/bytovaya_elektronika/3d_printer_h2d_combo_ams_2_pro_s_ii-kameroy_8053487731","8053487731")</f>
      </c>
      <c r="B266" t="s">
        <v>173</v>
      </c>
      <c r="C266" t="s">
        <v>216</v>
      </c>
      <c r="D266" t="s">
        <v>217</v>
      </c>
      <c r="E266" t="s">
        <v>38</v>
      </c>
      <c r="F266" t="s">
        <v>39</v>
      </c>
      <c r="G266" t="s">
        <v>40</v>
      </c>
      <c r="H266" s="3" t="str">
        <f>HYPERLINK("https://www.avito.ru/tolyatti/bytovaya_elektronika/3d_printer_h2d_combo_ams_2_pro_s_ii-kameroy_8053487731","3D принтер H2D Combo AMS 2 Pro с ии-камерой")</f>
      </c>
      <c r="I266" t="s">
        <v>91</v>
      </c>
      <c r="J266" t="s">
        <v>42</v>
      </c>
      <c r="K266" t="s">
        <v>43</v>
      </c>
      <c r="L266">
        <v>50</v>
      </c>
      <c r="M266">
        <v>154</v>
      </c>
      <c r="N266" s="4">
        <v>0.0779</v>
      </c>
      <c r="O266">
        <v>12</v>
      </c>
      <c r="P266" s="5">
        <v>4.66</v>
      </c>
      <c r="Q266" s="4">
        <v>0</v>
      </c>
      <c r="R266">
        <v>0</v>
      </c>
      <c r="S266">
        <v>0</v>
      </c>
      <c r="T266">
        <v>0</v>
      </c>
      <c r="U266">
        <v>0</v>
      </c>
      <c r="V266">
        <v>0</v>
      </c>
      <c r="W266" s="5" t="s">
        <v>65</v>
      </c>
      <c r="X266">
        <v>0</v>
      </c>
      <c r="Y266" s="4">
        <v>0</v>
      </c>
      <c r="Z266">
        <v>0</v>
      </c>
      <c r="AA266" s="5">
        <v>0</v>
      </c>
      <c r="AB266">
        <v>0</v>
      </c>
      <c r="AC266" s="5">
        <v>0</v>
      </c>
      <c r="AD266" s="5">
        <v>56</v>
      </c>
      <c r="AE266" s="5">
        <v>0</v>
      </c>
      <c r="AF266" s="5">
        <v>56</v>
      </c>
      <c r="AG266" s="5">
        <v>0</v>
      </c>
      <c r="AH266" s="5">
        <v>0</v>
      </c>
      <c r="AI266" s="5">
        <v>0</v>
      </c>
    </row>
    <row r="267">
      <c r="A267" s="2" t="str">
        <f>HYPERLINK("https://www.avito.ru/voronezh/bytovaya_elektronika/professionalnyy_3d_printer_h2s_laser_10w_eu_8053583179","8053583179")</f>
      </c>
      <c r="B267" t="s">
        <v>109</v>
      </c>
      <c r="C267" t="s">
        <v>110</v>
      </c>
      <c r="D267" t="s">
        <v>111</v>
      </c>
      <c r="E267" t="s">
        <v>38</v>
      </c>
      <c r="F267" t="s">
        <v>39</v>
      </c>
      <c r="G267" t="s">
        <v>40</v>
      </c>
      <c r="H267" s="3" t="str">
        <f>HYPERLINK("https://www.avito.ru/voronezh/bytovaya_elektronika/professionalnyy_3d_printer_h2s_laser_10w_eu_8053583179","Профессиональный 3D принтер H2S Laser 10W EU")</f>
      </c>
      <c r="I267" t="s">
        <v>129</v>
      </c>
      <c r="J267" t="s">
        <v>115</v>
      </c>
      <c r="K267" t="s">
        <v>116</v>
      </c>
      <c r="L267">
        <v>51</v>
      </c>
      <c r="M267">
        <v>192</v>
      </c>
      <c r="N267" s="4">
        <v>0.0625</v>
      </c>
      <c r="O267">
        <v>12</v>
      </c>
      <c r="P267" s="5">
        <v>4.66</v>
      </c>
      <c r="Q267" s="4">
        <v>0</v>
      </c>
      <c r="R267">
        <v>0</v>
      </c>
      <c r="S267">
        <v>0</v>
      </c>
      <c r="T267">
        <v>0</v>
      </c>
      <c r="U267">
        <v>0</v>
      </c>
      <c r="V267">
        <v>0</v>
      </c>
      <c r="W267" s="5" t="s">
        <v>65</v>
      </c>
      <c r="X267">
        <v>0</v>
      </c>
      <c r="Y267" s="4">
        <v>0</v>
      </c>
      <c r="Z267">
        <v>0</v>
      </c>
      <c r="AA267" s="5">
        <v>0</v>
      </c>
      <c r="AB267">
        <v>0</v>
      </c>
      <c r="AC267" s="5">
        <v>0</v>
      </c>
      <c r="AD267" s="5">
        <v>56</v>
      </c>
      <c r="AE267" s="5">
        <v>0</v>
      </c>
      <c r="AF267" s="5">
        <v>56</v>
      </c>
      <c r="AG267" s="5">
        <v>0</v>
      </c>
      <c r="AH267" s="5">
        <v>0</v>
      </c>
      <c r="AI267" s="5">
        <v>0</v>
      </c>
    </row>
    <row r="268">
      <c r="A268" s="2" t="str">
        <f>HYPERLINK("https://www.avito.ru/yaroslavl/bytovaya_elektronika/3d_printer_bambu_lab_h2d_laser_10w_eu_8053700171","8053700171")</f>
      </c>
      <c r="B268" t="s">
        <v>176</v>
      </c>
      <c r="C268" t="s">
        <v>177</v>
      </c>
      <c r="D268" t="s">
        <v>178</v>
      </c>
      <c r="E268" t="s">
        <v>38</v>
      </c>
      <c r="F268" t="s">
        <v>39</v>
      </c>
      <c r="G268" t="s">
        <v>40</v>
      </c>
      <c r="H268" s="3" t="str">
        <f>HYPERLINK("https://www.avito.ru/yaroslavl/bytovaya_elektronika/3d_printer_bambu_lab_h2d_laser_10w_eu_8053700171","3D принтер Bambu Lab H2D Laser 10W EU")</f>
      </c>
      <c r="I268" t="s">
        <v>95</v>
      </c>
      <c r="J268" t="s">
        <v>42</v>
      </c>
      <c r="K268" t="s">
        <v>43</v>
      </c>
      <c r="L268">
        <v>50</v>
      </c>
      <c r="M268">
        <v>117</v>
      </c>
      <c r="N268" s="4">
        <v>0.1025</v>
      </c>
      <c r="O268">
        <v>12</v>
      </c>
      <c r="P268" s="5">
        <v>4.66</v>
      </c>
      <c r="Q268" s="4">
        <v>0</v>
      </c>
      <c r="R268">
        <v>0</v>
      </c>
      <c r="S268">
        <v>0</v>
      </c>
      <c r="T268">
        <v>0</v>
      </c>
      <c r="U268">
        <v>0</v>
      </c>
      <c r="V268">
        <v>0</v>
      </c>
      <c r="W268" s="5" t="s">
        <v>65</v>
      </c>
      <c r="X268">
        <v>0</v>
      </c>
      <c r="Y268" s="4">
        <v>0</v>
      </c>
      <c r="Z268">
        <v>0</v>
      </c>
      <c r="AA268" s="5">
        <v>0</v>
      </c>
      <c r="AB268">
        <v>0</v>
      </c>
      <c r="AC268" s="5">
        <v>0</v>
      </c>
      <c r="AD268" s="5">
        <v>56</v>
      </c>
      <c r="AE268" s="5">
        <v>0</v>
      </c>
      <c r="AF268" s="5">
        <v>56</v>
      </c>
      <c r="AG268" s="5">
        <v>0</v>
      </c>
      <c r="AH268" s="5">
        <v>0</v>
      </c>
      <c r="AI268" s="5">
        <v>0</v>
      </c>
    </row>
    <row r="269">
      <c r="A269" s="2" t="str">
        <f>HYPERLINK("https://www.avito.ru/volgograd/bytovaya_elektronika/bambu_lab_h2d_laser_10w_eu_350h320h325_mm_8053718971","8053718971")</f>
      </c>
      <c r="B269" t="s">
        <v>196</v>
      </c>
      <c r="C269" t="s">
        <v>197</v>
      </c>
      <c r="D269" t="s">
        <v>198</v>
      </c>
      <c r="E269" t="s">
        <v>38</v>
      </c>
      <c r="F269" t="s">
        <v>39</v>
      </c>
      <c r="G269" t="s">
        <v>40</v>
      </c>
      <c r="H269" s="3" t="str">
        <f>HYPERLINK("https://www.avito.ru/volgograd/bytovaya_elektronika/bambu_lab_h2d_laser_10w_eu_350h320h325_mm_8053718971","Bambu Lab H2D Laser 10W EU 350х320х325 мм")</f>
      </c>
      <c r="I269" t="s">
        <v>95</v>
      </c>
      <c r="J269" t="s">
        <v>42</v>
      </c>
      <c r="K269" t="s">
        <v>43</v>
      </c>
      <c r="L269">
        <v>50</v>
      </c>
      <c r="M269">
        <v>90</v>
      </c>
      <c r="N269" s="4">
        <v>0.1333</v>
      </c>
      <c r="O269">
        <v>12</v>
      </c>
      <c r="P269" s="5">
        <v>4.66</v>
      </c>
      <c r="Q269" s="4">
        <v>0</v>
      </c>
      <c r="R269">
        <v>0</v>
      </c>
      <c r="S269">
        <v>0</v>
      </c>
      <c r="T269">
        <v>0</v>
      </c>
      <c r="U269">
        <v>0</v>
      </c>
      <c r="V269">
        <v>0</v>
      </c>
      <c r="W269" s="5" t="s">
        <v>65</v>
      </c>
      <c r="X269">
        <v>1</v>
      </c>
      <c r="Y269" s="4">
        <v>0</v>
      </c>
      <c r="Z269">
        <v>0</v>
      </c>
      <c r="AA269" s="5">
        <v>0</v>
      </c>
      <c r="AB269">
        <v>0</v>
      </c>
      <c r="AC269" s="5">
        <v>0</v>
      </c>
      <c r="AD269" s="5">
        <v>56</v>
      </c>
      <c r="AE269" s="5">
        <v>0</v>
      </c>
      <c r="AF269" s="5">
        <v>56</v>
      </c>
      <c r="AG269" s="5">
        <v>0</v>
      </c>
      <c r="AH269" s="5">
        <v>0</v>
      </c>
      <c r="AI269" s="5">
        <v>0</v>
      </c>
    </row>
    <row r="270">
      <c r="A270" s="2" t="str">
        <f>HYPERLINK("https://www.avito.ru/ekaterinburg/bytovaya_elektronika/professionalnyy_3d_printer_h2c_combo_ams_cn_8053768375","8053768375")</f>
      </c>
      <c r="B270" t="s">
        <v>136</v>
      </c>
      <c r="C270" t="s">
        <v>137</v>
      </c>
      <c r="D270" t="s">
        <v>138</v>
      </c>
      <c r="E270" t="s">
        <v>38</v>
      </c>
      <c r="F270" t="s">
        <v>39</v>
      </c>
      <c r="G270" t="s">
        <v>40</v>
      </c>
      <c r="H270" s="3" t="str">
        <f>HYPERLINK("https://www.avito.ru/ekaterinburg/bytovaya_elektronika/professionalnyy_3d_printer_h2c_combo_ams_cn_8053768375","Профессиональный 3D принтер H2C Combo AMS CN")</f>
      </c>
      <c r="I270" t="s">
        <v>163</v>
      </c>
      <c r="J270" t="s">
        <v>115</v>
      </c>
      <c r="K270" t="s">
        <v>116</v>
      </c>
      <c r="L270">
        <v>51</v>
      </c>
      <c r="M270">
        <v>92</v>
      </c>
      <c r="N270" s="4">
        <v>0.1304</v>
      </c>
      <c r="O270">
        <v>12</v>
      </c>
      <c r="P270" s="5">
        <v>4.66</v>
      </c>
      <c r="Q270" s="4">
        <v>0.0833</v>
      </c>
      <c r="R270">
        <v>1</v>
      </c>
      <c r="S270">
        <v>1</v>
      </c>
      <c r="T270">
        <v>0</v>
      </c>
      <c r="U270">
        <v>0</v>
      </c>
      <c r="V270">
        <v>0</v>
      </c>
      <c r="W270" s="5">
        <v>56</v>
      </c>
      <c r="X270">
        <v>0</v>
      </c>
      <c r="Y270" s="4">
        <v>0</v>
      </c>
      <c r="Z270">
        <v>0</v>
      </c>
      <c r="AA270" s="5">
        <v>0</v>
      </c>
      <c r="AB270">
        <v>0</v>
      </c>
      <c r="AC270" s="5">
        <v>0</v>
      </c>
      <c r="AD270" s="5">
        <v>56</v>
      </c>
      <c r="AE270" s="5">
        <v>0</v>
      </c>
      <c r="AF270" s="5">
        <v>56</v>
      </c>
      <c r="AG270" s="5">
        <v>0</v>
      </c>
      <c r="AH270" s="5">
        <v>0</v>
      </c>
      <c r="AI270" s="5">
        <v>0</v>
      </c>
    </row>
    <row r="271">
      <c r="A271" s="2" t="str">
        <f>HYPERLINK("https://www.avito.ru/tyumen/bytovaya_elektronika/professionalnyy_3d_printer_h2s_laser_10w_eu_8053817315","8053817315")</f>
      </c>
      <c r="B271" t="s">
        <v>145</v>
      </c>
      <c r="C271" t="s">
        <v>146</v>
      </c>
      <c r="D271" t="s">
        <v>147</v>
      </c>
      <c r="E271" t="s">
        <v>38</v>
      </c>
      <c r="F271" t="s">
        <v>39</v>
      </c>
      <c r="G271" t="s">
        <v>40</v>
      </c>
      <c r="H271" s="3" t="str">
        <f>HYPERLINK("https://www.avito.ru/tyumen/bytovaya_elektronika/professionalnyy_3d_printer_h2s_laser_10w_eu_8053817315","Профессиональный 3D принтер H2S Laser 10W EU")</f>
      </c>
      <c r="I271" t="s">
        <v>129</v>
      </c>
      <c r="J271" t="s">
        <v>115</v>
      </c>
      <c r="K271" t="s">
        <v>116</v>
      </c>
      <c r="L271">
        <v>51</v>
      </c>
      <c r="M271">
        <v>187</v>
      </c>
      <c r="N271" s="4">
        <v>0.0641</v>
      </c>
      <c r="O271">
        <v>12</v>
      </c>
      <c r="P271" s="5">
        <v>4.66</v>
      </c>
      <c r="Q271" s="4">
        <v>0</v>
      </c>
      <c r="R271">
        <v>0</v>
      </c>
      <c r="S271">
        <v>0</v>
      </c>
      <c r="T271">
        <v>0</v>
      </c>
      <c r="U271">
        <v>0</v>
      </c>
      <c r="V271">
        <v>0</v>
      </c>
      <c r="W271" s="5" t="s">
        <v>65</v>
      </c>
      <c r="X271">
        <v>1</v>
      </c>
      <c r="Y271" s="4">
        <v>0</v>
      </c>
      <c r="Z271">
        <v>0</v>
      </c>
      <c r="AA271" s="5">
        <v>0</v>
      </c>
      <c r="AB271">
        <v>0</v>
      </c>
      <c r="AC271" s="5">
        <v>0</v>
      </c>
      <c r="AD271" s="5">
        <v>56</v>
      </c>
      <c r="AE271" s="5">
        <v>0</v>
      </c>
      <c r="AF271" s="5">
        <v>56</v>
      </c>
      <c r="AG271" s="5">
        <v>0</v>
      </c>
      <c r="AH271" s="5">
        <v>0</v>
      </c>
      <c r="AI271" s="5">
        <v>0</v>
      </c>
    </row>
    <row r="272">
      <c r="A272" s="2" t="str">
        <f>HYPERLINK("https://www.avito.ru/krasnoyarsk/bytovaya_elektronika/3d_printer_h2d_laser_40w_eu_350_gradusov_8053853418","8053853418")</f>
      </c>
      <c r="B272" t="s">
        <v>139</v>
      </c>
      <c r="C272" t="s">
        <v>140</v>
      </c>
      <c r="D272" t="s">
        <v>141</v>
      </c>
      <c r="E272" t="s">
        <v>38</v>
      </c>
      <c r="F272" t="s">
        <v>39</v>
      </c>
      <c r="G272" t="s">
        <v>40</v>
      </c>
      <c r="H272" s="3" t="str">
        <f>HYPERLINK("https://www.avito.ru/krasnoyarsk/bytovaya_elektronika/3d_printer_h2d_laser_40w_eu_350_gradusov_8053853418","3Д принтер H2D Laser 40W EU 350 градусов")</f>
      </c>
      <c r="I272" t="s">
        <v>57</v>
      </c>
      <c r="J272" t="s">
        <v>42</v>
      </c>
      <c r="K272" t="s">
        <v>43</v>
      </c>
      <c r="L272">
        <v>50</v>
      </c>
      <c r="M272">
        <v>84</v>
      </c>
      <c r="N272" s="4">
        <v>0.1428</v>
      </c>
      <c r="O272">
        <v>12</v>
      </c>
      <c r="P272" s="5">
        <v>4.66</v>
      </c>
      <c r="Q272" s="4">
        <v>0</v>
      </c>
      <c r="R272">
        <v>0</v>
      </c>
      <c r="S272">
        <v>0</v>
      </c>
      <c r="T272">
        <v>0</v>
      </c>
      <c r="U272">
        <v>0</v>
      </c>
      <c r="V272">
        <v>0</v>
      </c>
      <c r="W272" s="5" t="s">
        <v>65</v>
      </c>
      <c r="X272">
        <v>0</v>
      </c>
      <c r="Y272" s="4">
        <v>0</v>
      </c>
      <c r="Z272">
        <v>0</v>
      </c>
      <c r="AA272" s="5">
        <v>0</v>
      </c>
      <c r="AB272">
        <v>0</v>
      </c>
      <c r="AC272" s="5">
        <v>0</v>
      </c>
      <c r="AD272" s="5">
        <v>56</v>
      </c>
      <c r="AE272" s="5">
        <v>0</v>
      </c>
      <c r="AF272" s="5">
        <v>56</v>
      </c>
      <c r="AG272" s="5">
        <v>0</v>
      </c>
      <c r="AH272" s="5">
        <v>0</v>
      </c>
      <c r="AI272" s="5">
        <v>0</v>
      </c>
    </row>
    <row r="273">
      <c r="A273" s="2" t="str">
        <f>HYPERLINK("https://www.avito.ru/habarovsk/bytovaya_elektronika/h2d_combo_ams_2_pro_3d_printer_35_litrov_8052965397","8052965397")</f>
      </c>
      <c r="B273" t="s">
        <v>92</v>
      </c>
      <c r="C273" t="s">
        <v>93</v>
      </c>
      <c r="D273" t="s">
        <v>94</v>
      </c>
      <c r="E273" t="s">
        <v>38</v>
      </c>
      <c r="F273" t="s">
        <v>39</v>
      </c>
      <c r="G273" t="s">
        <v>40</v>
      </c>
      <c r="H273" s="3" t="str">
        <f>HYPERLINK("https://www.avito.ru/habarovsk/bytovaya_elektronika/h2d_combo_ams_2_pro_3d_printer_35_litrov_8052965397","H2D Combo AMS 2 Pro 3D принтер 35 литров")</f>
      </c>
      <c r="I273" t="s">
        <v>41</v>
      </c>
      <c r="J273" t="s">
        <v>42</v>
      </c>
      <c r="K273" t="s">
        <v>43</v>
      </c>
      <c r="L273">
        <v>50</v>
      </c>
      <c r="M273">
        <v>81</v>
      </c>
      <c r="N273" s="4">
        <v>0.1358</v>
      </c>
      <c r="O273">
        <v>11</v>
      </c>
      <c r="P273" s="5">
        <v>5.09</v>
      </c>
      <c r="Q273" s="4">
        <v>0</v>
      </c>
      <c r="R273">
        <v>0</v>
      </c>
      <c r="S273">
        <v>0</v>
      </c>
      <c r="T273">
        <v>0</v>
      </c>
      <c r="U273">
        <v>0</v>
      </c>
      <c r="V273">
        <v>0</v>
      </c>
      <c r="W273" s="5" t="s">
        <v>65</v>
      </c>
      <c r="X273">
        <v>0</v>
      </c>
      <c r="Y273" s="4">
        <v>0</v>
      </c>
      <c r="Z273">
        <v>0</v>
      </c>
      <c r="AA273" s="5">
        <v>0</v>
      </c>
      <c r="AB273">
        <v>0</v>
      </c>
      <c r="AC273" s="5">
        <v>0</v>
      </c>
      <c r="AD273" s="5">
        <v>56</v>
      </c>
      <c r="AE273" s="5">
        <v>0</v>
      </c>
      <c r="AF273" s="5">
        <v>56</v>
      </c>
      <c r="AG273" s="5">
        <v>0</v>
      </c>
      <c r="AH273" s="5">
        <v>0</v>
      </c>
      <c r="AI273" s="5">
        <v>0</v>
      </c>
    </row>
    <row r="274">
      <c r="A274" s="2" t="str">
        <f>HYPERLINK("https://www.avito.ru/sankt-peterburg/bytovaya_elektronika/skorostnoy_3d_printer_elegoo_giga_storm_8053060825","8053060825")</f>
      </c>
      <c r="B274" t="s">
        <v>35</v>
      </c>
      <c r="C274" t="s">
        <v>81</v>
      </c>
      <c r="D274" t="s">
        <v>82</v>
      </c>
      <c r="E274" t="s">
        <v>38</v>
      </c>
      <c r="F274" t="s">
        <v>39</v>
      </c>
      <c r="G274" t="s">
        <v>40</v>
      </c>
      <c r="H274" s="3" t="str">
        <f>HYPERLINK("https://www.avito.ru/sankt-peterburg/bytovaya_elektronika/skorostnoy_3d_printer_elegoo_giga_storm_8053060825","Скоростной 3D принтер Elegoo Giga Storm")</f>
      </c>
      <c r="I274" t="s">
        <v>64</v>
      </c>
      <c r="J274" t="s">
        <v>42</v>
      </c>
      <c r="K274" t="s">
        <v>43</v>
      </c>
      <c r="L274">
        <v>50</v>
      </c>
      <c r="M274">
        <v>163</v>
      </c>
      <c r="N274" s="4">
        <v>0.0674</v>
      </c>
      <c r="O274">
        <v>11</v>
      </c>
      <c r="P274" s="5">
        <v>5.09</v>
      </c>
      <c r="Q274" s="4">
        <v>0</v>
      </c>
      <c r="R274">
        <v>0</v>
      </c>
      <c r="S274">
        <v>0</v>
      </c>
      <c r="T274">
        <v>0</v>
      </c>
      <c r="U274">
        <v>0</v>
      </c>
      <c r="V274">
        <v>0</v>
      </c>
      <c r="W274" s="5" t="s">
        <v>65</v>
      </c>
      <c r="X274">
        <v>1</v>
      </c>
      <c r="Y274" s="4">
        <v>0</v>
      </c>
      <c r="Z274">
        <v>0</v>
      </c>
      <c r="AA274" s="5">
        <v>0</v>
      </c>
      <c r="AB274">
        <v>0</v>
      </c>
      <c r="AC274" s="5">
        <v>0</v>
      </c>
      <c r="AD274" s="5">
        <v>56</v>
      </c>
      <c r="AE274" s="5">
        <v>0</v>
      </c>
      <c r="AF274" s="5">
        <v>56</v>
      </c>
      <c r="AG274" s="5">
        <v>0</v>
      </c>
      <c r="AH274" s="5">
        <v>0</v>
      </c>
      <c r="AI274" s="5">
        <v>0</v>
      </c>
    </row>
    <row r="275">
      <c r="A275" s="2" t="str">
        <f>HYPERLINK("https://www.avito.ru/tolyatti/bytovaya_elektronika/3d_printer_h2d_laser_40w_eu_dlya_biznesa_i_kb_8053141863","8053141863")</f>
      </c>
      <c r="B275" t="s">
        <v>173</v>
      </c>
      <c r="C275" t="s">
        <v>216</v>
      </c>
      <c r="D275" t="s">
        <v>217</v>
      </c>
      <c r="E275" t="s">
        <v>38</v>
      </c>
      <c r="F275" t="s">
        <v>39</v>
      </c>
      <c r="G275" t="s">
        <v>40</v>
      </c>
      <c r="H275" s="3" t="str">
        <f>HYPERLINK("https://www.avito.ru/tolyatti/bytovaya_elektronika/3d_printer_h2d_laser_40w_eu_dlya_biznesa_i_kb_8053141863","3D принтер H2D Laser 40W EU для бизнеса и кб")</f>
      </c>
      <c r="I275" t="s">
        <v>57</v>
      </c>
      <c r="J275" t="s">
        <v>42</v>
      </c>
      <c r="K275" t="s">
        <v>43</v>
      </c>
      <c r="L275">
        <v>50</v>
      </c>
      <c r="M275">
        <v>143</v>
      </c>
      <c r="N275" s="4">
        <v>0.0769</v>
      </c>
      <c r="O275">
        <v>11</v>
      </c>
      <c r="P275" s="5">
        <v>5.09</v>
      </c>
      <c r="Q275" s="4">
        <v>0</v>
      </c>
      <c r="R275">
        <v>0</v>
      </c>
      <c r="S275">
        <v>0</v>
      </c>
      <c r="T275">
        <v>0</v>
      </c>
      <c r="U275">
        <v>0</v>
      </c>
      <c r="V275">
        <v>0</v>
      </c>
      <c r="W275" s="5" t="s">
        <v>65</v>
      </c>
      <c r="X275">
        <v>0</v>
      </c>
      <c r="Y275" s="4">
        <v>0</v>
      </c>
      <c r="Z275">
        <v>0</v>
      </c>
      <c r="AA275" s="5">
        <v>0</v>
      </c>
      <c r="AB275">
        <v>0</v>
      </c>
      <c r="AC275" s="5">
        <v>0</v>
      </c>
      <c r="AD275" s="5">
        <v>56</v>
      </c>
      <c r="AE275" s="5">
        <v>0</v>
      </c>
      <c r="AF275" s="5">
        <v>56</v>
      </c>
      <c r="AG275" s="5">
        <v>0</v>
      </c>
      <c r="AH275" s="5">
        <v>0</v>
      </c>
      <c r="AI275" s="5">
        <v>0</v>
      </c>
    </row>
    <row r="276">
      <c r="A276" s="2" t="str">
        <f>HYPERLINK("https://www.avito.ru/kemerovo/bytovaya_elektronika/3d_printer_h2d_combo_ams_2_pro_s_ii-kameroy_8053159206","8053159206")</f>
      </c>
      <c r="B276" t="s">
        <v>99</v>
      </c>
      <c r="C276" t="s">
        <v>100</v>
      </c>
      <c r="D276" t="s">
        <v>101</v>
      </c>
      <c r="E276" t="s">
        <v>38</v>
      </c>
      <c r="F276" t="s">
        <v>39</v>
      </c>
      <c r="G276" t="s">
        <v>40</v>
      </c>
      <c r="H276" s="3" t="str">
        <f>HYPERLINK("https://www.avito.ru/kemerovo/bytovaya_elektronika/3d_printer_h2d_combo_ams_2_pro_s_ii-kameroy_8053159206","3D принтер H2D Combo AMS 2 Pro с ии-камерой")</f>
      </c>
      <c r="I276" t="s">
        <v>91</v>
      </c>
      <c r="J276" t="s">
        <v>42</v>
      </c>
      <c r="K276" t="s">
        <v>43</v>
      </c>
      <c r="L276">
        <v>50</v>
      </c>
      <c r="M276">
        <v>174</v>
      </c>
      <c r="N276" s="4">
        <v>0.0632</v>
      </c>
      <c r="O276">
        <v>11</v>
      </c>
      <c r="P276" s="5">
        <v>5.09</v>
      </c>
      <c r="Q276" s="4">
        <v>0</v>
      </c>
      <c r="R276">
        <v>0</v>
      </c>
      <c r="S276">
        <v>0</v>
      </c>
      <c r="T276">
        <v>0</v>
      </c>
      <c r="U276">
        <v>0</v>
      </c>
      <c r="V276">
        <v>0</v>
      </c>
      <c r="W276" s="5" t="s">
        <v>65</v>
      </c>
      <c r="X276">
        <v>0</v>
      </c>
      <c r="Y276" s="4">
        <v>0</v>
      </c>
      <c r="Z276">
        <v>0</v>
      </c>
      <c r="AA276" s="5">
        <v>0</v>
      </c>
      <c r="AB276">
        <v>0</v>
      </c>
      <c r="AC276" s="5">
        <v>0</v>
      </c>
      <c r="AD276" s="5">
        <v>56</v>
      </c>
      <c r="AE276" s="5">
        <v>0</v>
      </c>
      <c r="AF276" s="5">
        <v>56</v>
      </c>
      <c r="AG276" s="5">
        <v>0</v>
      </c>
      <c r="AH276" s="5">
        <v>0</v>
      </c>
      <c r="AI276" s="5">
        <v>0</v>
      </c>
    </row>
    <row r="277">
      <c r="A277" s="2" t="str">
        <f>HYPERLINK("https://www.avito.ru/ekaterinburg/bytovaya_elektronika/bambu_lab_h2s_eu_novyy_zakrytyy_3d-printer_8053206901","8053206901")</f>
      </c>
      <c r="B277" t="s">
        <v>136</v>
      </c>
      <c r="C277" t="s">
        <v>137</v>
      </c>
      <c r="D277" t="s">
        <v>138</v>
      </c>
      <c r="E277" t="s">
        <v>38</v>
      </c>
      <c r="F277" t="s">
        <v>39</v>
      </c>
      <c r="G277" t="s">
        <v>40</v>
      </c>
      <c r="H277" s="3" t="str">
        <f>HYPERLINK("https://www.avito.ru/ekaterinburg/bytovaya_elektronika/bambu_lab_h2s_eu_novyy_zakrytyy_3d-printer_8053206901","Bambu Lab H2S EU новый закрытый 3D-принтер")</f>
      </c>
      <c r="I277" t="s">
        <v>48</v>
      </c>
      <c r="J277" t="s">
        <v>49</v>
      </c>
      <c r="K277" t="s">
        <v>50</v>
      </c>
      <c r="L277">
        <v>52</v>
      </c>
      <c r="M277">
        <v>65</v>
      </c>
      <c r="N277" s="4">
        <v>0.1692</v>
      </c>
      <c r="O277">
        <v>11</v>
      </c>
      <c r="P277" s="5">
        <v>5.09</v>
      </c>
      <c r="Q277" s="4">
        <v>0</v>
      </c>
      <c r="R277">
        <v>0</v>
      </c>
      <c r="S277">
        <v>0</v>
      </c>
      <c r="T277">
        <v>0</v>
      </c>
      <c r="U277">
        <v>0</v>
      </c>
      <c r="V277">
        <v>0</v>
      </c>
      <c r="W277" s="5" t="s">
        <v>65</v>
      </c>
      <c r="X277">
        <v>1</v>
      </c>
      <c r="Y277" s="4">
        <v>0</v>
      </c>
      <c r="Z277">
        <v>0</v>
      </c>
      <c r="AA277" s="5">
        <v>0</v>
      </c>
      <c r="AB277">
        <v>0</v>
      </c>
      <c r="AC277" s="5">
        <v>0</v>
      </c>
      <c r="AD277" s="5">
        <v>56</v>
      </c>
      <c r="AE277" s="5">
        <v>0</v>
      </c>
      <c r="AF277" s="5">
        <v>56</v>
      </c>
      <c r="AG277" s="5">
        <v>0</v>
      </c>
      <c r="AH277" s="5">
        <v>0</v>
      </c>
      <c r="AI277" s="5">
        <v>0</v>
      </c>
    </row>
    <row r="278">
      <c r="A278" s="2" t="str">
        <f>HYPERLINK("https://www.avito.ru/samara/bytovaya_elektronika/bambu_lab_h2d_laser_40w_eu_novyy_8053393003","8053393003")</f>
      </c>
      <c r="B278" t="s">
        <v>173</v>
      </c>
      <c r="C278" t="s">
        <v>174</v>
      </c>
      <c r="D278" t="s">
        <v>175</v>
      </c>
      <c r="E278" t="s">
        <v>38</v>
      </c>
      <c r="F278" t="s">
        <v>39</v>
      </c>
      <c r="G278" t="s">
        <v>40</v>
      </c>
      <c r="H278" s="3" t="str">
        <f>HYPERLINK("https://www.avito.ru/samara/bytovaya_elektronika/bambu_lab_h2d_laser_40w_eu_novyy_8053393003","Bambu Lab H2D Laser 40W EU новый")</f>
      </c>
      <c r="I278" t="s">
        <v>57</v>
      </c>
      <c r="J278" t="s">
        <v>42</v>
      </c>
      <c r="K278" t="s">
        <v>43</v>
      </c>
      <c r="L278">
        <v>50</v>
      </c>
      <c r="M278">
        <v>143</v>
      </c>
      <c r="N278" s="4">
        <v>0.0769</v>
      </c>
      <c r="O278">
        <v>11</v>
      </c>
      <c r="P278" s="5">
        <v>5.09</v>
      </c>
      <c r="Q278" s="4">
        <v>0</v>
      </c>
      <c r="R278">
        <v>0</v>
      </c>
      <c r="S278">
        <v>0</v>
      </c>
      <c r="T278">
        <v>0</v>
      </c>
      <c r="U278">
        <v>0</v>
      </c>
      <c r="V278">
        <v>0</v>
      </c>
      <c r="W278" s="5" t="s">
        <v>65</v>
      </c>
      <c r="X278">
        <v>0</v>
      </c>
      <c r="Y278" s="4">
        <v>0</v>
      </c>
      <c r="Z278">
        <v>0</v>
      </c>
      <c r="AA278" s="5">
        <v>0</v>
      </c>
      <c r="AB278">
        <v>0</v>
      </c>
      <c r="AC278" s="5">
        <v>0</v>
      </c>
      <c r="AD278" s="5">
        <v>56</v>
      </c>
      <c r="AE278" s="5">
        <v>0</v>
      </c>
      <c r="AF278" s="5">
        <v>56</v>
      </c>
      <c r="AG278" s="5">
        <v>0</v>
      </c>
      <c r="AH278" s="5">
        <v>0</v>
      </c>
      <c r="AI278" s="5">
        <v>0</v>
      </c>
    </row>
    <row r="279">
      <c r="A279" s="2" t="str">
        <f>HYPERLINK("https://www.avito.ru/sankt-peterburg/bytovaya_elektronika/h2d_combo_ams2_pro_eu_1000_mms_sankt-peterburg_8053459779","8053459779")</f>
      </c>
      <c r="B279" t="s">
        <v>35</v>
      </c>
      <c r="C279" t="s">
        <v>81</v>
      </c>
      <c r="D279" t="s">
        <v>81</v>
      </c>
      <c r="E279" t="s">
        <v>38</v>
      </c>
      <c r="F279" t="s">
        <v>39</v>
      </c>
      <c r="G279" t="s">
        <v>40</v>
      </c>
      <c r="H279" s="3" t="str">
        <f>HYPERLINK("https://www.avito.ru/sankt-peterburg/bytovaya_elektronika/h2d_combo_ams2_pro_eu_1000_mms_sankt-peterburg_8053459779","H2D Combo AMS2 Pro EU 1000 мм/с Санкт-Петербург")</f>
      </c>
      <c r="I279" t="s">
        <v>225</v>
      </c>
      <c r="J279" t="s">
        <v>49</v>
      </c>
      <c r="K279" t="s">
        <v>50</v>
      </c>
      <c r="L279">
        <v>52</v>
      </c>
      <c r="M279">
        <v>121</v>
      </c>
      <c r="N279" s="4">
        <v>0.0909</v>
      </c>
      <c r="O279">
        <v>11</v>
      </c>
      <c r="P279" s="5">
        <v>5.09</v>
      </c>
      <c r="Q279" s="4">
        <v>0</v>
      </c>
      <c r="R279">
        <v>0</v>
      </c>
      <c r="S279">
        <v>0</v>
      </c>
      <c r="T279">
        <v>0</v>
      </c>
      <c r="U279">
        <v>0</v>
      </c>
      <c r="V279">
        <v>0</v>
      </c>
      <c r="W279" s="5" t="s">
        <v>65</v>
      </c>
      <c r="X279">
        <v>0</v>
      </c>
      <c r="Y279" s="4">
        <v>0</v>
      </c>
      <c r="Z279">
        <v>0</v>
      </c>
      <c r="AA279" s="5">
        <v>0</v>
      </c>
      <c r="AB279">
        <v>0</v>
      </c>
      <c r="AC279" s="5">
        <v>0</v>
      </c>
      <c r="AD279" s="5">
        <v>56</v>
      </c>
      <c r="AE279" s="5">
        <v>0</v>
      </c>
      <c r="AF279" s="5">
        <v>56</v>
      </c>
      <c r="AG279" s="5">
        <v>0</v>
      </c>
      <c r="AH279" s="5">
        <v>0</v>
      </c>
      <c r="AI279" s="5">
        <v>0</v>
      </c>
    </row>
    <row r="280">
      <c r="A280" s="2" t="str">
        <f>HYPERLINK("https://www.avito.ru/saratov/bytovaya_elektronika/3d_printer_h2d_laser_10w_eu_skorostnoy_1000_mms_8053524849","8053524849")</f>
      </c>
      <c r="B280" t="s">
        <v>208</v>
      </c>
      <c r="C280" t="s">
        <v>209</v>
      </c>
      <c r="D280" t="s">
        <v>210</v>
      </c>
      <c r="E280" t="s">
        <v>38</v>
      </c>
      <c r="F280" t="s">
        <v>39</v>
      </c>
      <c r="G280" t="s">
        <v>40</v>
      </c>
      <c r="H280" s="3" t="str">
        <f>HYPERLINK("https://www.avito.ru/saratov/bytovaya_elektronika/3d_printer_h2d_laser_10w_eu_skorostnoy_1000_mms_8053524849","3Д принтер H2D Laser 10W EU скоростной 1000 мм/с")</f>
      </c>
      <c r="I280" t="s">
        <v>95</v>
      </c>
      <c r="J280" t="s">
        <v>42</v>
      </c>
      <c r="K280" t="s">
        <v>43</v>
      </c>
      <c r="L280">
        <v>50</v>
      </c>
      <c r="M280">
        <v>155</v>
      </c>
      <c r="N280" s="4">
        <v>0.0709</v>
      </c>
      <c r="O280">
        <v>11</v>
      </c>
      <c r="P280" s="5">
        <v>5.09</v>
      </c>
      <c r="Q280" s="4">
        <v>0</v>
      </c>
      <c r="R280">
        <v>0</v>
      </c>
      <c r="S280">
        <v>0</v>
      </c>
      <c r="T280">
        <v>0</v>
      </c>
      <c r="U280">
        <v>0</v>
      </c>
      <c r="V280">
        <v>0</v>
      </c>
      <c r="W280" s="5" t="s">
        <v>65</v>
      </c>
      <c r="X280">
        <v>1</v>
      </c>
      <c r="Y280" s="4">
        <v>0</v>
      </c>
      <c r="Z280">
        <v>0</v>
      </c>
      <c r="AA280" s="5">
        <v>0</v>
      </c>
      <c r="AB280">
        <v>0</v>
      </c>
      <c r="AC280" s="5">
        <v>0</v>
      </c>
      <c r="AD280" s="5">
        <v>56</v>
      </c>
      <c r="AE280" s="5">
        <v>0</v>
      </c>
      <c r="AF280" s="5">
        <v>56</v>
      </c>
      <c r="AG280" s="5">
        <v>0</v>
      </c>
      <c r="AH280" s="5">
        <v>0</v>
      </c>
      <c r="AI280" s="5">
        <v>0</v>
      </c>
    </row>
    <row r="281">
      <c r="A281" s="2" t="str">
        <f>HYPERLINK("https://www.avito.ru/voronezh/bytovaya_elektronika/3d_printer_h2d_combo_ams_2_pro_novyy_v_upakovke_8053583400","8053583400")</f>
      </c>
      <c r="B281" t="s">
        <v>109</v>
      </c>
      <c r="C281" t="s">
        <v>110</v>
      </c>
      <c r="D281" t="s">
        <v>111</v>
      </c>
      <c r="E281" t="s">
        <v>38</v>
      </c>
      <c r="F281" t="s">
        <v>39</v>
      </c>
      <c r="G281" t="s">
        <v>40</v>
      </c>
      <c r="H281" s="3" t="str">
        <f>HYPERLINK("https://www.avito.ru/voronezh/bytovaya_elektronika/3d_printer_h2d_combo_ams_2_pro_novyy_v_upakovke_8053583400","3D принтер H2D Combo AMS 2 Pro новый в упаковке")</f>
      </c>
      <c r="I281" t="s">
        <v>91</v>
      </c>
      <c r="J281" t="s">
        <v>42</v>
      </c>
      <c r="K281" t="s">
        <v>43</v>
      </c>
      <c r="L281">
        <v>50</v>
      </c>
      <c r="M281">
        <v>146</v>
      </c>
      <c r="N281" s="4">
        <v>0.0753</v>
      </c>
      <c r="O281">
        <v>11</v>
      </c>
      <c r="P281" s="5">
        <v>5.09</v>
      </c>
      <c r="Q281" s="4">
        <v>0</v>
      </c>
      <c r="R281">
        <v>0</v>
      </c>
      <c r="S281">
        <v>0</v>
      </c>
      <c r="T281">
        <v>0</v>
      </c>
      <c r="U281">
        <v>0</v>
      </c>
      <c r="V281">
        <v>0</v>
      </c>
      <c r="W281" s="5" t="s">
        <v>65</v>
      </c>
      <c r="X281">
        <v>1</v>
      </c>
      <c r="Y281" s="4">
        <v>0</v>
      </c>
      <c r="Z281">
        <v>0</v>
      </c>
      <c r="AA281" s="5">
        <v>0</v>
      </c>
      <c r="AB281">
        <v>0</v>
      </c>
      <c r="AC281" s="5">
        <v>0</v>
      </c>
      <c r="AD281" s="5">
        <v>56</v>
      </c>
      <c r="AE281" s="5">
        <v>0</v>
      </c>
      <c r="AF281" s="5">
        <v>56</v>
      </c>
      <c r="AG281" s="5">
        <v>0</v>
      </c>
      <c r="AH281" s="5">
        <v>0</v>
      </c>
      <c r="AI281" s="5">
        <v>0</v>
      </c>
    </row>
    <row r="282">
      <c r="A282" s="2" t="str">
        <f>HYPERLINK("https://www.avito.ru/irkutsk/bytovaya_elektronika/h2d_combo_ams2_pro_eu_3d_printer_ams_sistema_8053640897","8053640897")</f>
      </c>
      <c r="B282" t="s">
        <v>133</v>
      </c>
      <c r="C282" t="s">
        <v>134</v>
      </c>
      <c r="D282" t="s">
        <v>232</v>
      </c>
      <c r="E282" t="s">
        <v>38</v>
      </c>
      <c r="F282" t="s">
        <v>39</v>
      </c>
      <c r="G282" t="s">
        <v>40</v>
      </c>
      <c r="H282" s="3" t="str">
        <f>HYPERLINK("https://www.avito.ru/irkutsk/bytovaya_elektronika/h2d_combo_ams2_pro_eu_3d_printer_ams_sistema_8053640897","H2D Combo AMS2 Pro EU 3D принтер (амс система)")</f>
      </c>
      <c r="I282" t="s">
        <v>91</v>
      </c>
      <c r="J282" t="s">
        <v>49</v>
      </c>
      <c r="K282" t="s">
        <v>50</v>
      </c>
      <c r="L282">
        <v>52</v>
      </c>
      <c r="M282">
        <v>226</v>
      </c>
      <c r="N282" s="4">
        <v>0.0486</v>
      </c>
      <c r="O282">
        <v>11</v>
      </c>
      <c r="P282" s="5">
        <v>5.09</v>
      </c>
      <c r="Q282" s="4">
        <v>0</v>
      </c>
      <c r="R282">
        <v>0</v>
      </c>
      <c r="S282">
        <v>0</v>
      </c>
      <c r="T282">
        <v>0</v>
      </c>
      <c r="U282">
        <v>0</v>
      </c>
      <c r="V282">
        <v>0</v>
      </c>
      <c r="W282" s="5" t="s">
        <v>65</v>
      </c>
      <c r="X282">
        <v>0</v>
      </c>
      <c r="Y282" s="4">
        <v>0</v>
      </c>
      <c r="Z282">
        <v>0</v>
      </c>
      <c r="AA282" s="5">
        <v>0</v>
      </c>
      <c r="AB282">
        <v>0</v>
      </c>
      <c r="AC282" s="5">
        <v>0</v>
      </c>
      <c r="AD282" s="5">
        <v>56</v>
      </c>
      <c r="AE282" s="5">
        <v>0</v>
      </c>
      <c r="AF282" s="5">
        <v>56</v>
      </c>
      <c r="AG282" s="5">
        <v>0</v>
      </c>
      <c r="AH282" s="5">
        <v>0</v>
      </c>
      <c r="AI282" s="5">
        <v>0</v>
      </c>
    </row>
    <row r="283">
      <c r="A283" s="2" t="str">
        <f>HYPERLINK("https://www.avito.ru/lipetsk/bytovaya_elektronika/bambu_lab_h2d_combo_ams2_pro_eu_eu-versiya_8053644010","8053644010")</f>
      </c>
      <c r="B283" t="s">
        <v>187</v>
      </c>
      <c r="C283" t="s">
        <v>188</v>
      </c>
      <c r="D283" t="s">
        <v>233</v>
      </c>
      <c r="E283" t="s">
        <v>38</v>
      </c>
      <c r="F283" t="s">
        <v>39</v>
      </c>
      <c r="G283" t="s">
        <v>40</v>
      </c>
      <c r="H283" s="3" t="str">
        <f>HYPERLINK("https://www.avito.ru/lipetsk/bytovaya_elektronika/bambu_lab_h2d_combo_ams2_pro_eu_eu-versiya_8053644010","Bambu Lab H2D Combo AMS2 Pro EU EU-версия")</f>
      </c>
      <c r="I283" t="s">
        <v>91</v>
      </c>
      <c r="J283" t="s">
        <v>49</v>
      </c>
      <c r="K283" t="s">
        <v>50</v>
      </c>
      <c r="L283">
        <v>52</v>
      </c>
      <c r="M283">
        <v>87</v>
      </c>
      <c r="N283" s="4">
        <v>0.1264</v>
      </c>
      <c r="O283">
        <v>11</v>
      </c>
      <c r="P283" s="5">
        <v>5.09</v>
      </c>
      <c r="Q283" s="4">
        <v>0</v>
      </c>
      <c r="R283">
        <v>0</v>
      </c>
      <c r="S283">
        <v>0</v>
      </c>
      <c r="T283">
        <v>0</v>
      </c>
      <c r="U283">
        <v>0</v>
      </c>
      <c r="V283">
        <v>0</v>
      </c>
      <c r="W283" s="5" t="s">
        <v>65</v>
      </c>
      <c r="X283">
        <v>0</v>
      </c>
      <c r="Y283" s="4">
        <v>0</v>
      </c>
      <c r="Z283">
        <v>0</v>
      </c>
      <c r="AA283" s="5">
        <v>0</v>
      </c>
      <c r="AB283">
        <v>0</v>
      </c>
      <c r="AC283" s="5">
        <v>0</v>
      </c>
      <c r="AD283" s="5">
        <v>56</v>
      </c>
      <c r="AE283" s="5">
        <v>0</v>
      </c>
      <c r="AF283" s="5">
        <v>56</v>
      </c>
      <c r="AG283" s="5">
        <v>0</v>
      </c>
      <c r="AH283" s="5">
        <v>0</v>
      </c>
      <c r="AI283" s="5">
        <v>0</v>
      </c>
    </row>
    <row r="284">
      <c r="A284" s="2" t="str">
        <f>HYPERLINK("https://www.avito.ru/ryazan/bytovaya_elektronika/h2d_combo_ams_2_pro_dlya_biznesa_8053822279","8053822279")</f>
      </c>
      <c r="B284" t="s">
        <v>122</v>
      </c>
      <c r="C284" t="s">
        <v>123</v>
      </c>
      <c r="D284" t="s">
        <v>124</v>
      </c>
      <c r="E284" t="s">
        <v>38</v>
      </c>
      <c r="F284" t="s">
        <v>39</v>
      </c>
      <c r="G284" t="s">
        <v>40</v>
      </c>
      <c r="H284" s="3" t="str">
        <f>HYPERLINK("https://www.avito.ru/ryazan/bytovaya_elektronika/h2d_combo_ams_2_pro_dlya_biznesa_8053822279","H2D Combo AMS 2 Pro для бизнеса")</f>
      </c>
      <c r="I284" t="s">
        <v>91</v>
      </c>
      <c r="J284" t="s">
        <v>42</v>
      </c>
      <c r="K284" t="s">
        <v>43</v>
      </c>
      <c r="L284">
        <v>50</v>
      </c>
      <c r="M284">
        <v>99</v>
      </c>
      <c r="N284" s="4">
        <v>0.1111</v>
      </c>
      <c r="O284">
        <v>11</v>
      </c>
      <c r="P284" s="5">
        <v>5.09</v>
      </c>
      <c r="Q284" s="4">
        <v>0</v>
      </c>
      <c r="R284">
        <v>0</v>
      </c>
      <c r="S284">
        <v>0</v>
      </c>
      <c r="T284">
        <v>0</v>
      </c>
      <c r="U284">
        <v>0</v>
      </c>
      <c r="V284">
        <v>0</v>
      </c>
      <c r="W284" s="5" t="s">
        <v>65</v>
      </c>
      <c r="X284">
        <v>0</v>
      </c>
      <c r="Y284" s="4">
        <v>0</v>
      </c>
      <c r="Z284">
        <v>0</v>
      </c>
      <c r="AA284" s="5">
        <v>0</v>
      </c>
      <c r="AB284">
        <v>0</v>
      </c>
      <c r="AC284" s="5">
        <v>0</v>
      </c>
      <c r="AD284" s="5">
        <v>56</v>
      </c>
      <c r="AE284" s="5">
        <v>0</v>
      </c>
      <c r="AF284" s="5">
        <v>56</v>
      </c>
      <c r="AG284" s="5">
        <v>0</v>
      </c>
      <c r="AH284" s="5">
        <v>0</v>
      </c>
      <c r="AI284" s="5">
        <v>0</v>
      </c>
    </row>
    <row r="285">
      <c r="A285" s="2" t="str">
        <f>HYPERLINK("https://www.avito.ru/ulyanovsk/bytovaya_elektronika/3d_printer_h2d_laser_10w_eu_skorostnoy_1000_mms_8053830345","8053830345")</f>
      </c>
      <c r="B285" t="s">
        <v>219</v>
      </c>
      <c r="C285" t="s">
        <v>220</v>
      </c>
      <c r="D285" t="s">
        <v>221</v>
      </c>
      <c r="E285" t="s">
        <v>38</v>
      </c>
      <c r="F285" t="s">
        <v>39</v>
      </c>
      <c r="G285" t="s">
        <v>40</v>
      </c>
      <c r="H285" s="3" t="str">
        <f>HYPERLINK("https://www.avito.ru/ulyanovsk/bytovaya_elektronika/3d_printer_h2d_laser_10w_eu_skorostnoy_1000_mms_8053830345","3Д принтер H2D Laser 10W EU скоростной 1000 мм/с")</f>
      </c>
      <c r="I285" t="s">
        <v>95</v>
      </c>
      <c r="J285" t="s">
        <v>42</v>
      </c>
      <c r="K285" t="s">
        <v>43</v>
      </c>
      <c r="L285">
        <v>50</v>
      </c>
      <c r="M285">
        <v>142</v>
      </c>
      <c r="N285" s="4">
        <v>0.0774</v>
      </c>
      <c r="O285">
        <v>11</v>
      </c>
      <c r="P285" s="5">
        <v>5.09</v>
      </c>
      <c r="Q285" s="4">
        <v>0</v>
      </c>
      <c r="R285">
        <v>0</v>
      </c>
      <c r="S285">
        <v>0</v>
      </c>
      <c r="T285">
        <v>0</v>
      </c>
      <c r="U285">
        <v>0</v>
      </c>
      <c r="V285">
        <v>0</v>
      </c>
      <c r="W285" s="5" t="s">
        <v>65</v>
      </c>
      <c r="X285">
        <v>0</v>
      </c>
      <c r="Y285" s="4">
        <v>0</v>
      </c>
      <c r="Z285">
        <v>0</v>
      </c>
      <c r="AA285" s="5">
        <v>0</v>
      </c>
      <c r="AB285">
        <v>0</v>
      </c>
      <c r="AC285" s="5">
        <v>0</v>
      </c>
      <c r="AD285" s="5">
        <v>56</v>
      </c>
      <c r="AE285" s="5">
        <v>0</v>
      </c>
      <c r="AF285" s="5">
        <v>56</v>
      </c>
      <c r="AG285" s="5">
        <v>0</v>
      </c>
      <c r="AH285" s="5">
        <v>0</v>
      </c>
      <c r="AI285" s="5">
        <v>0</v>
      </c>
    </row>
    <row r="286">
      <c r="A286" s="2" t="str">
        <f>HYPERLINK("https://www.avito.ru/novokuznetsk/bytovaya_elektronika/3d_printer_h2d_combo_ams_2_pro_v_moskve_8053876564","8053876564")</f>
      </c>
      <c r="B286" t="s">
        <v>99</v>
      </c>
      <c r="C286" t="s">
        <v>211</v>
      </c>
      <c r="D286" t="s">
        <v>212</v>
      </c>
      <c r="E286" t="s">
        <v>38</v>
      </c>
      <c r="F286" t="s">
        <v>39</v>
      </c>
      <c r="G286" t="s">
        <v>40</v>
      </c>
      <c r="H286" s="3" t="str">
        <f>HYPERLINK("https://www.avito.ru/novokuznetsk/bytovaya_elektronika/3d_printer_h2d_combo_ams_2_pro_v_moskve_8053876564","3D принтер H2D Combo AMS 2 Pro в Москве")</f>
      </c>
      <c r="I286" t="s">
        <v>91</v>
      </c>
      <c r="J286" t="s">
        <v>42</v>
      </c>
      <c r="K286" t="s">
        <v>43</v>
      </c>
      <c r="L286">
        <v>50</v>
      </c>
      <c r="M286">
        <v>67</v>
      </c>
      <c r="N286" s="4">
        <v>0.1641</v>
      </c>
      <c r="O286">
        <v>11</v>
      </c>
      <c r="P286" s="5">
        <v>5.09</v>
      </c>
      <c r="Q286" s="4">
        <v>0</v>
      </c>
      <c r="R286">
        <v>0</v>
      </c>
      <c r="S286">
        <v>0</v>
      </c>
      <c r="T286">
        <v>0</v>
      </c>
      <c r="U286">
        <v>0</v>
      </c>
      <c r="V286">
        <v>0</v>
      </c>
      <c r="W286" s="5" t="s">
        <v>65</v>
      </c>
      <c r="X286">
        <v>0</v>
      </c>
      <c r="Y286" s="4">
        <v>0</v>
      </c>
      <c r="Z286">
        <v>0</v>
      </c>
      <c r="AA286" s="5">
        <v>0</v>
      </c>
      <c r="AB286">
        <v>0</v>
      </c>
      <c r="AC286" s="5">
        <v>0</v>
      </c>
      <c r="AD286" s="5">
        <v>56</v>
      </c>
      <c r="AE286" s="5">
        <v>0</v>
      </c>
      <c r="AF286" s="5">
        <v>56</v>
      </c>
      <c r="AG286" s="5">
        <v>0</v>
      </c>
      <c r="AH286" s="5">
        <v>0</v>
      </c>
      <c r="AI286" s="5">
        <v>0</v>
      </c>
    </row>
    <row r="287">
      <c r="A287" s="2" t="str">
        <f>HYPERLINK("https://www.avito.ru/moskva/bytovaya_elektronika/3d-printer_bambu_lab_p2s_combo_7989248918","7989248918")</f>
      </c>
      <c r="B287" t="s">
        <v>35</v>
      </c>
      <c r="C287" t="s">
        <v>36</v>
      </c>
      <c r="D287" t="s">
        <v>234</v>
      </c>
      <c r="E287" t="s">
        <v>38</v>
      </c>
      <c r="F287" t="s">
        <v>39</v>
      </c>
      <c r="G287" t="s">
        <v>40</v>
      </c>
      <c r="H287" s="3" t="str">
        <f>HYPERLINK("https://www.avito.ru/moskva/bytovaya_elektronika/3d-printer_bambu_lab_p2s_combo_7989248918","3D-принтер Bambu Lab P2S Combo")</f>
      </c>
      <c r="I287" t="s">
        <v>128</v>
      </c>
      <c r="J287" t="s">
        <v>97</v>
      </c>
      <c r="K287" t="s">
        <v>98</v>
      </c>
      <c r="L287">
        <v>79</v>
      </c>
      <c r="M287">
        <v>41</v>
      </c>
      <c r="N287" s="4">
        <v>0.2439</v>
      </c>
      <c r="O287">
        <v>10</v>
      </c>
      <c r="P287" s="5">
        <v>2.19</v>
      </c>
      <c r="Q287" s="4">
        <v>0</v>
      </c>
      <c r="R287">
        <v>0</v>
      </c>
      <c r="S287">
        <v>0</v>
      </c>
      <c r="T287">
        <v>0</v>
      </c>
      <c r="U287">
        <v>0</v>
      </c>
      <c r="V287">
        <v>0</v>
      </c>
      <c r="W287" s="5" t="s">
        <v>65</v>
      </c>
      <c r="X287">
        <v>0</v>
      </c>
      <c r="Y287" s="4">
        <v>0</v>
      </c>
      <c r="Z287">
        <v>0</v>
      </c>
      <c r="AA287" s="5">
        <v>0</v>
      </c>
      <c r="AB287">
        <v>0</v>
      </c>
      <c r="AC287" s="5">
        <v>0</v>
      </c>
      <c r="AD287" s="5">
        <v>21.91</v>
      </c>
      <c r="AE287" s="5">
        <v>0</v>
      </c>
      <c r="AF287" s="5">
        <v>21.91</v>
      </c>
      <c r="AG287" s="5">
        <v>0</v>
      </c>
      <c r="AH287" s="5">
        <v>0</v>
      </c>
      <c r="AI287" s="5">
        <v>0</v>
      </c>
    </row>
    <row r="288">
      <c r="A288" s="2" t="str">
        <f>HYPERLINK("https://www.avito.ru/kaliningrad/bytovaya_elektronika/h2d_combo_ams2_pro_eu_3d_printer_ams_sistema_8052938775","8052938775")</f>
      </c>
      <c r="B288" t="s">
        <v>103</v>
      </c>
      <c r="C288" t="s">
        <v>104</v>
      </c>
      <c r="D288" t="s">
        <v>235</v>
      </c>
      <c r="E288" t="s">
        <v>38</v>
      </c>
      <c r="F288" t="s">
        <v>39</v>
      </c>
      <c r="G288" t="s">
        <v>40</v>
      </c>
      <c r="H288" s="3" t="str">
        <f>HYPERLINK("https://www.avito.ru/kaliningrad/bytovaya_elektronika/h2d_combo_ams2_pro_eu_3d_printer_ams_sistema_8052938775","H2D Combo AMS2 Pro EU 3D принтер (амс система)")</f>
      </c>
      <c r="I288" t="s">
        <v>91</v>
      </c>
      <c r="J288" t="s">
        <v>49</v>
      </c>
      <c r="K288" t="s">
        <v>50</v>
      </c>
      <c r="L288">
        <v>52</v>
      </c>
      <c r="M288">
        <v>112</v>
      </c>
      <c r="N288" s="4">
        <v>0.0892</v>
      </c>
      <c r="O288">
        <v>10</v>
      </c>
      <c r="P288" s="5">
        <v>5.6</v>
      </c>
      <c r="Q288" s="4">
        <v>0</v>
      </c>
      <c r="R288">
        <v>0</v>
      </c>
      <c r="S288">
        <v>0</v>
      </c>
      <c r="T288">
        <v>0</v>
      </c>
      <c r="U288">
        <v>0</v>
      </c>
      <c r="V288">
        <v>0</v>
      </c>
      <c r="W288" s="5" t="s">
        <v>65</v>
      </c>
      <c r="X288">
        <v>0</v>
      </c>
      <c r="Y288" s="4">
        <v>0</v>
      </c>
      <c r="Z288">
        <v>0</v>
      </c>
      <c r="AA288" s="5">
        <v>0</v>
      </c>
      <c r="AB288">
        <v>0</v>
      </c>
      <c r="AC288" s="5">
        <v>0</v>
      </c>
      <c r="AD288" s="5">
        <v>56</v>
      </c>
      <c r="AE288" s="5">
        <v>0</v>
      </c>
      <c r="AF288" s="5">
        <v>56</v>
      </c>
      <c r="AG288" s="5">
        <v>0</v>
      </c>
      <c r="AH288" s="5">
        <v>0</v>
      </c>
      <c r="AI288" s="5">
        <v>0</v>
      </c>
    </row>
    <row r="289">
      <c r="A289" s="2" t="str">
        <f>HYPERLINK("https://www.avito.ru/ulyanovsk/bytovaya_elektronika/promyshlennyy_3d_printer_h2s_laser_10w_eu_8052965028","8052965028")</f>
      </c>
      <c r="B289" t="s">
        <v>219</v>
      </c>
      <c r="C289" t="s">
        <v>220</v>
      </c>
      <c r="D289" t="s">
        <v>221</v>
      </c>
      <c r="E289" t="s">
        <v>38</v>
      </c>
      <c r="F289" t="s">
        <v>39</v>
      </c>
      <c r="G289" t="s">
        <v>40</v>
      </c>
      <c r="H289" s="3" t="str">
        <f>HYPERLINK("https://www.avito.ru/ulyanovsk/bytovaya_elektronika/promyshlennyy_3d_printer_h2s_laser_10w_eu_8052965028","Промышленный 3D принтер H2S Laser 10W EU")</f>
      </c>
      <c r="I289" t="s">
        <v>129</v>
      </c>
      <c r="J289" t="s">
        <v>115</v>
      </c>
      <c r="K289" t="s">
        <v>116</v>
      </c>
      <c r="L289">
        <v>51</v>
      </c>
      <c r="M289">
        <v>138</v>
      </c>
      <c r="N289" s="4">
        <v>0.0724</v>
      </c>
      <c r="O289">
        <v>10</v>
      </c>
      <c r="P289" s="5">
        <v>5.6</v>
      </c>
      <c r="Q289" s="4">
        <v>0</v>
      </c>
      <c r="R289">
        <v>0</v>
      </c>
      <c r="S289">
        <v>0</v>
      </c>
      <c r="T289">
        <v>0</v>
      </c>
      <c r="U289">
        <v>0</v>
      </c>
      <c r="V289">
        <v>0</v>
      </c>
      <c r="W289" s="5" t="s">
        <v>65</v>
      </c>
      <c r="X289">
        <v>0</v>
      </c>
      <c r="Y289" s="4">
        <v>0</v>
      </c>
      <c r="Z289">
        <v>0</v>
      </c>
      <c r="AA289" s="5">
        <v>0</v>
      </c>
      <c r="AB289">
        <v>0</v>
      </c>
      <c r="AC289" s="5">
        <v>0</v>
      </c>
      <c r="AD289" s="5">
        <v>56</v>
      </c>
      <c r="AE289" s="5">
        <v>0</v>
      </c>
      <c r="AF289" s="5">
        <v>56</v>
      </c>
      <c r="AG289" s="5">
        <v>0</v>
      </c>
      <c r="AH289" s="5">
        <v>0</v>
      </c>
      <c r="AI289" s="5">
        <v>0</v>
      </c>
    </row>
    <row r="290">
      <c r="A290" s="2" t="str">
        <f>HYPERLINK("https://www.avito.ru/yaroslavl/bytovaya_elektronika/h2s_laser_10w_3d_printer_s_lazernym_modulem_eu_8052998979","8052998979")</f>
      </c>
      <c r="B290" t="s">
        <v>176</v>
      </c>
      <c r="C290" t="s">
        <v>177</v>
      </c>
      <c r="D290" t="s">
        <v>178</v>
      </c>
      <c r="E290" t="s">
        <v>38</v>
      </c>
      <c r="F290" t="s">
        <v>39</v>
      </c>
      <c r="G290" t="s">
        <v>40</v>
      </c>
      <c r="H290" s="3" t="str">
        <f>HYPERLINK("https://www.avito.ru/yaroslavl/bytovaya_elektronika/h2s_laser_10w_3d_printer_s_lazernym_modulem_eu_8052998979","H2S Laser 10W 3D принтер с лазерным модулем EU")</f>
      </c>
      <c r="I290" t="s">
        <v>129</v>
      </c>
      <c r="J290" t="s">
        <v>115</v>
      </c>
      <c r="K290" t="s">
        <v>116</v>
      </c>
      <c r="L290">
        <v>51</v>
      </c>
      <c r="M290">
        <v>482</v>
      </c>
      <c r="N290" s="4">
        <v>0.0207</v>
      </c>
      <c r="O290">
        <v>10</v>
      </c>
      <c r="P290" s="5">
        <v>5.6</v>
      </c>
      <c r="Q290" s="4">
        <v>0</v>
      </c>
      <c r="R290">
        <v>0</v>
      </c>
      <c r="S290">
        <v>0</v>
      </c>
      <c r="T290">
        <v>0</v>
      </c>
      <c r="U290">
        <v>0</v>
      </c>
      <c r="V290">
        <v>0</v>
      </c>
      <c r="W290" s="5" t="s">
        <v>65</v>
      </c>
      <c r="X290">
        <v>0</v>
      </c>
      <c r="Y290" s="4">
        <v>0</v>
      </c>
      <c r="Z290">
        <v>0</v>
      </c>
      <c r="AA290" s="5">
        <v>0</v>
      </c>
      <c r="AB290">
        <v>0</v>
      </c>
      <c r="AC290" s="5">
        <v>0</v>
      </c>
      <c r="AD290" s="5">
        <v>56</v>
      </c>
      <c r="AE290" s="5">
        <v>0</v>
      </c>
      <c r="AF290" s="5">
        <v>56</v>
      </c>
      <c r="AG290" s="5">
        <v>0</v>
      </c>
      <c r="AH290" s="5">
        <v>0</v>
      </c>
      <c r="AI290" s="5">
        <v>0</v>
      </c>
    </row>
    <row r="291">
      <c r="A291" s="2" t="str">
        <f>HYPERLINK("https://www.avito.ru/samara/bytovaya_elektronika/h2d_laser_10w_eu_3d_printer_dlya_inzhenerov_8053039714","8053039714")</f>
      </c>
      <c r="B291" t="s">
        <v>173</v>
      </c>
      <c r="C291" t="s">
        <v>174</v>
      </c>
      <c r="D291" t="s">
        <v>175</v>
      </c>
      <c r="E291" t="s">
        <v>38</v>
      </c>
      <c r="F291" t="s">
        <v>39</v>
      </c>
      <c r="G291" t="s">
        <v>40</v>
      </c>
      <c r="H291" s="3" t="str">
        <f>HYPERLINK("https://www.avito.ru/samara/bytovaya_elektronika/h2d_laser_10w_eu_3d_printer_dlya_inzhenerov_8053039714","H2D Laser 10W EU 3D принтер для инженеров")</f>
      </c>
      <c r="I291" t="s">
        <v>95</v>
      </c>
      <c r="J291" t="s">
        <v>42</v>
      </c>
      <c r="K291" t="s">
        <v>43</v>
      </c>
      <c r="L291">
        <v>50</v>
      </c>
      <c r="M291">
        <v>119</v>
      </c>
      <c r="N291" s="4">
        <v>0.084</v>
      </c>
      <c r="O291">
        <v>10</v>
      </c>
      <c r="P291" s="5">
        <v>5.6</v>
      </c>
      <c r="Q291" s="4">
        <v>0</v>
      </c>
      <c r="R291">
        <v>0</v>
      </c>
      <c r="S291">
        <v>0</v>
      </c>
      <c r="T291">
        <v>0</v>
      </c>
      <c r="U291">
        <v>0</v>
      </c>
      <c r="V291">
        <v>0</v>
      </c>
      <c r="W291" s="5" t="s">
        <v>65</v>
      </c>
      <c r="X291">
        <v>0</v>
      </c>
      <c r="Y291" s="4">
        <v>0</v>
      </c>
      <c r="Z291">
        <v>0</v>
      </c>
      <c r="AA291" s="5">
        <v>0</v>
      </c>
      <c r="AB291">
        <v>0</v>
      </c>
      <c r="AC291" s="5">
        <v>0</v>
      </c>
      <c r="AD291" s="5">
        <v>56</v>
      </c>
      <c r="AE291" s="5">
        <v>0</v>
      </c>
      <c r="AF291" s="5">
        <v>56</v>
      </c>
      <c r="AG291" s="5">
        <v>0</v>
      </c>
      <c r="AH291" s="5">
        <v>0</v>
      </c>
      <c r="AI291" s="5">
        <v>0</v>
      </c>
    </row>
    <row r="292">
      <c r="A292" s="2" t="str">
        <f>HYPERLINK("https://www.avito.ru/ulyanovsk/bytovaya_elektronika/bambu_lab_h2s_combo_ams_2_pro_8053048356","8053048356")</f>
      </c>
      <c r="B292" t="s">
        <v>219</v>
      </c>
      <c r="C292" t="s">
        <v>220</v>
      </c>
      <c r="D292" t="s">
        <v>221</v>
      </c>
      <c r="E292" t="s">
        <v>38</v>
      </c>
      <c r="F292" t="s">
        <v>39</v>
      </c>
      <c r="G292" t="s">
        <v>40</v>
      </c>
      <c r="H292" s="3" t="str">
        <f>HYPERLINK("https://www.avito.ru/ulyanovsk/bytovaya_elektronika/bambu_lab_h2s_combo_ams_2_pro_8053048356","Bambu Lab H2S Combo AMS 2 PRO")</f>
      </c>
      <c r="I292" t="s">
        <v>48</v>
      </c>
      <c r="J292" t="s">
        <v>115</v>
      </c>
      <c r="K292" t="s">
        <v>116</v>
      </c>
      <c r="L292">
        <v>51</v>
      </c>
      <c r="M292">
        <v>108</v>
      </c>
      <c r="N292" s="4">
        <v>0.0925</v>
      </c>
      <c r="O292">
        <v>10</v>
      </c>
      <c r="P292" s="5">
        <v>5.6</v>
      </c>
      <c r="Q292" s="4">
        <v>0.1</v>
      </c>
      <c r="R292">
        <v>1</v>
      </c>
      <c r="S292">
        <v>1</v>
      </c>
      <c r="T292">
        <v>0</v>
      </c>
      <c r="U292">
        <v>0</v>
      </c>
      <c r="V292">
        <v>0</v>
      </c>
      <c r="W292" s="5">
        <v>56</v>
      </c>
      <c r="X292">
        <v>1</v>
      </c>
      <c r="Y292" s="4">
        <v>0</v>
      </c>
      <c r="Z292">
        <v>0</v>
      </c>
      <c r="AA292" s="5">
        <v>0</v>
      </c>
      <c r="AB292">
        <v>0</v>
      </c>
      <c r="AC292" s="5">
        <v>0</v>
      </c>
      <c r="AD292" s="5">
        <v>56</v>
      </c>
      <c r="AE292" s="5">
        <v>0</v>
      </c>
      <c r="AF292" s="5">
        <v>56</v>
      </c>
      <c r="AG292" s="5">
        <v>0</v>
      </c>
      <c r="AH292" s="5">
        <v>0</v>
      </c>
      <c r="AI292" s="5">
        <v>0</v>
      </c>
    </row>
    <row r="293">
      <c r="A293" s="2" t="str">
        <f>HYPERLINK("https://www.avito.ru/krasnoyarsk/bytovaya_elektronika/h2s_laser_10w_3d_printer_s_lazerom_10vt_eu_8053057281","8053057281")</f>
      </c>
      <c r="B293" t="s">
        <v>139</v>
      </c>
      <c r="C293" t="s">
        <v>140</v>
      </c>
      <c r="D293" t="s">
        <v>141</v>
      </c>
      <c r="E293" t="s">
        <v>38</v>
      </c>
      <c r="F293" t="s">
        <v>39</v>
      </c>
      <c r="G293" t="s">
        <v>40</v>
      </c>
      <c r="H293" s="3" t="str">
        <f>HYPERLINK("https://www.avito.ru/krasnoyarsk/bytovaya_elektronika/h2s_laser_10w_3d_printer_s_lazerom_10vt_eu_8053057281","H2S Laser 10W 3D принтер с лазером 10Вт EU")</f>
      </c>
      <c r="I293" t="s">
        <v>129</v>
      </c>
      <c r="J293" t="s">
        <v>115</v>
      </c>
      <c r="K293" t="s">
        <v>116</v>
      </c>
      <c r="L293">
        <v>51</v>
      </c>
      <c r="M293">
        <v>140</v>
      </c>
      <c r="N293" s="4">
        <v>0.0714</v>
      </c>
      <c r="O293">
        <v>10</v>
      </c>
      <c r="P293" s="5">
        <v>5.6</v>
      </c>
      <c r="Q293" s="4">
        <v>0</v>
      </c>
      <c r="R293">
        <v>0</v>
      </c>
      <c r="S293">
        <v>0</v>
      </c>
      <c r="T293">
        <v>0</v>
      </c>
      <c r="U293">
        <v>0</v>
      </c>
      <c r="V293">
        <v>0</v>
      </c>
      <c r="W293" s="5" t="s">
        <v>65</v>
      </c>
      <c r="X293">
        <v>0</v>
      </c>
      <c r="Y293" s="4">
        <v>0</v>
      </c>
      <c r="Z293">
        <v>0</v>
      </c>
      <c r="AA293" s="5">
        <v>0</v>
      </c>
      <c r="AB293">
        <v>0</v>
      </c>
      <c r="AC293" s="5">
        <v>0</v>
      </c>
      <c r="AD293" s="5">
        <v>56</v>
      </c>
      <c r="AE293" s="5">
        <v>0</v>
      </c>
      <c r="AF293" s="5">
        <v>56</v>
      </c>
      <c r="AG293" s="5">
        <v>0</v>
      </c>
      <c r="AH293" s="5">
        <v>0</v>
      </c>
      <c r="AI293" s="5">
        <v>0</v>
      </c>
    </row>
    <row r="294">
      <c r="A294" s="2" t="str">
        <f>HYPERLINK("https://www.avito.ru/orenburg/bytovaya_elektronika/h2d_combo_ams_2_pro_3d_printer_dlya_inzhenerov_8053117023","8053117023")</f>
      </c>
      <c r="B294" t="s">
        <v>193</v>
      </c>
      <c r="C294" t="s">
        <v>194</v>
      </c>
      <c r="D294" t="s">
        <v>195</v>
      </c>
      <c r="E294" t="s">
        <v>38</v>
      </c>
      <c r="F294" t="s">
        <v>39</v>
      </c>
      <c r="G294" t="s">
        <v>40</v>
      </c>
      <c r="H294" s="3" t="str">
        <f>HYPERLINK("https://www.avito.ru/orenburg/bytovaya_elektronika/h2d_combo_ams_2_pro_3d_printer_dlya_inzhenerov_8053117023","H2D Combo AMS 2 Pro 3D принтер для инженеров")</f>
      </c>
      <c r="I294" t="s">
        <v>91</v>
      </c>
      <c r="J294" t="s">
        <v>42</v>
      </c>
      <c r="K294" t="s">
        <v>43</v>
      </c>
      <c r="L294">
        <v>50</v>
      </c>
      <c r="M294">
        <v>177</v>
      </c>
      <c r="N294" s="4">
        <v>0.0564</v>
      </c>
      <c r="O294">
        <v>10</v>
      </c>
      <c r="P294" s="5">
        <v>5.6</v>
      </c>
      <c r="Q294" s="4">
        <v>0</v>
      </c>
      <c r="R294">
        <v>0</v>
      </c>
      <c r="S294">
        <v>0</v>
      </c>
      <c r="T294">
        <v>0</v>
      </c>
      <c r="U294">
        <v>0</v>
      </c>
      <c r="V294">
        <v>0</v>
      </c>
      <c r="W294" s="5" t="s">
        <v>65</v>
      </c>
      <c r="X294">
        <v>1</v>
      </c>
      <c r="Y294" s="4">
        <v>0</v>
      </c>
      <c r="Z294">
        <v>0</v>
      </c>
      <c r="AA294" s="5">
        <v>0</v>
      </c>
      <c r="AB294">
        <v>0</v>
      </c>
      <c r="AC294" s="5">
        <v>0</v>
      </c>
      <c r="AD294" s="5">
        <v>56</v>
      </c>
      <c r="AE294" s="5">
        <v>0</v>
      </c>
      <c r="AF294" s="5">
        <v>56</v>
      </c>
      <c r="AG294" s="5">
        <v>0</v>
      </c>
      <c r="AH294" s="5">
        <v>0</v>
      </c>
      <c r="AI294" s="5">
        <v>0</v>
      </c>
    </row>
    <row r="295">
      <c r="A295" s="2" t="str">
        <f>HYPERLINK("https://www.avito.ru/kazan/bytovaya_elektronika/3d-printer_bambu_lab_h2c_combo_laser_10_vt_8053240785","8053240785")</f>
      </c>
      <c r="B295" t="s">
        <v>112</v>
      </c>
      <c r="C295" t="s">
        <v>131</v>
      </c>
      <c r="D295" t="s">
        <v>132</v>
      </c>
      <c r="E295" t="s">
        <v>38</v>
      </c>
      <c r="F295" t="s">
        <v>39</v>
      </c>
      <c r="G295" t="s">
        <v>40</v>
      </c>
      <c r="H295" s="3" t="str">
        <f>HYPERLINK("https://www.avito.ru/kazan/bytovaya_elektronika/3d-printer_bambu_lab_h2c_combo_laser_10_vt_8053240785","3D-принтер Bambu Lab H2C Combo Laser 10 Вт")</f>
      </c>
      <c r="I295" t="s">
        <v>69</v>
      </c>
      <c r="J295" t="s">
        <v>49</v>
      </c>
      <c r="K295" t="s">
        <v>50</v>
      </c>
      <c r="L295">
        <v>52</v>
      </c>
      <c r="M295">
        <v>84</v>
      </c>
      <c r="N295" s="4">
        <v>0.119</v>
      </c>
      <c r="O295">
        <v>10</v>
      </c>
      <c r="P295" s="5">
        <v>5.6</v>
      </c>
      <c r="Q295" s="4">
        <v>0.1</v>
      </c>
      <c r="R295">
        <v>1</v>
      </c>
      <c r="S295">
        <v>1</v>
      </c>
      <c r="T295">
        <v>0</v>
      </c>
      <c r="U295">
        <v>0</v>
      </c>
      <c r="V295">
        <v>0</v>
      </c>
      <c r="W295" s="5">
        <v>56</v>
      </c>
      <c r="X295">
        <v>0</v>
      </c>
      <c r="Y295" s="4">
        <v>0</v>
      </c>
      <c r="Z295">
        <v>0</v>
      </c>
      <c r="AA295" s="5">
        <v>0</v>
      </c>
      <c r="AB295">
        <v>0</v>
      </c>
      <c r="AC295" s="5">
        <v>0</v>
      </c>
      <c r="AD295" s="5">
        <v>56</v>
      </c>
      <c r="AE295" s="5">
        <v>0</v>
      </c>
      <c r="AF295" s="5">
        <v>56</v>
      </c>
      <c r="AG295" s="5">
        <v>0</v>
      </c>
      <c r="AH295" s="5">
        <v>0</v>
      </c>
      <c r="AI295" s="5">
        <v>0</v>
      </c>
    </row>
    <row r="296">
      <c r="A296" s="2" t="str">
        <f>HYPERLINK("https://www.avito.ru/chelyabinsk/bytovaya_elektronika/h2c_ams_combo_3d_printer_s_podogrevom_kamery_8053254619","8053254619")</f>
      </c>
      <c r="B296" t="s">
        <v>66</v>
      </c>
      <c r="C296" t="s">
        <v>67</v>
      </c>
      <c r="D296" t="s">
        <v>68</v>
      </c>
      <c r="E296" t="s">
        <v>38</v>
      </c>
      <c r="F296" t="s">
        <v>39</v>
      </c>
      <c r="G296" t="s">
        <v>40</v>
      </c>
      <c r="H296" s="3" t="str">
        <f>HYPERLINK("https://www.avito.ru/chelyabinsk/bytovaya_elektronika/h2c_ams_combo_3d_printer_s_podogrevom_kamery_8053254619","H2C AMS Combo 3D принтер с подогревом камеры")</f>
      </c>
      <c r="I296" t="s">
        <v>83</v>
      </c>
      <c r="J296" t="s">
        <v>49</v>
      </c>
      <c r="K296" t="s">
        <v>50</v>
      </c>
      <c r="L296">
        <v>52</v>
      </c>
      <c r="M296">
        <v>102</v>
      </c>
      <c r="N296" s="4">
        <v>0.098</v>
      </c>
      <c r="O296">
        <v>10</v>
      </c>
      <c r="P296" s="5">
        <v>5.6</v>
      </c>
      <c r="Q296" s="4">
        <v>0.1</v>
      </c>
      <c r="R296">
        <v>1</v>
      </c>
      <c r="S296">
        <v>1</v>
      </c>
      <c r="T296">
        <v>0</v>
      </c>
      <c r="U296">
        <v>0</v>
      </c>
      <c r="V296">
        <v>0</v>
      </c>
      <c r="W296" s="5">
        <v>56</v>
      </c>
      <c r="X296">
        <v>0</v>
      </c>
      <c r="Y296" s="4">
        <v>0</v>
      </c>
      <c r="Z296">
        <v>0</v>
      </c>
      <c r="AA296" s="5">
        <v>0</v>
      </c>
      <c r="AB296">
        <v>0</v>
      </c>
      <c r="AC296" s="5">
        <v>0</v>
      </c>
      <c r="AD296" s="5">
        <v>56</v>
      </c>
      <c r="AE296" s="5">
        <v>0</v>
      </c>
      <c r="AF296" s="5">
        <v>56</v>
      </c>
      <c r="AG296" s="5">
        <v>0</v>
      </c>
      <c r="AH296" s="5">
        <v>0</v>
      </c>
      <c r="AI296" s="5">
        <v>0</v>
      </c>
    </row>
    <row r="297">
      <c r="A297" s="2" t="str">
        <f>HYPERLINK("https://www.avito.ru/moskva/bytovaya_elektronika/h2c_ams_combo_3d_printer_vysokokachestvennyy_dlya_pechati_8053357293","8053357293")</f>
      </c>
      <c r="B297" t="s">
        <v>35</v>
      </c>
      <c r="C297" t="s">
        <v>36</v>
      </c>
      <c r="D297" t="s">
        <v>37</v>
      </c>
      <c r="E297" t="s">
        <v>38</v>
      </c>
      <c r="F297" t="s">
        <v>39</v>
      </c>
      <c r="G297" t="s">
        <v>40</v>
      </c>
      <c r="H297" s="3" t="str">
        <f>HYPERLINK("https://www.avito.ru/moskva/bytovaya_elektronika/h2c_ams_combo_3d_printer_vysokokachestvennyy_dlya_pechati_8053357293","H2C AMS Combo 3D принтер высококачественный для печати")</f>
      </c>
      <c r="I297" t="s">
        <v>83</v>
      </c>
      <c r="J297" t="s">
        <v>49</v>
      </c>
      <c r="K297" t="s">
        <v>50</v>
      </c>
      <c r="L297">
        <v>52</v>
      </c>
      <c r="M297">
        <v>77</v>
      </c>
      <c r="N297" s="4">
        <v>0.1298</v>
      </c>
      <c r="O297">
        <v>10</v>
      </c>
      <c r="P297" s="5">
        <v>8.5</v>
      </c>
      <c r="Q297" s="4">
        <v>0</v>
      </c>
      <c r="R297">
        <v>0</v>
      </c>
      <c r="S297">
        <v>0</v>
      </c>
      <c r="T297">
        <v>0</v>
      </c>
      <c r="U297">
        <v>0</v>
      </c>
      <c r="V297">
        <v>0</v>
      </c>
      <c r="W297" s="5" t="s">
        <v>65</v>
      </c>
      <c r="X297">
        <v>1</v>
      </c>
      <c r="Y297" s="4">
        <v>0</v>
      </c>
      <c r="Z297">
        <v>0</v>
      </c>
      <c r="AA297" s="5">
        <v>0</v>
      </c>
      <c r="AB297">
        <v>0</v>
      </c>
      <c r="AC297" s="5">
        <v>0</v>
      </c>
      <c r="AD297" s="5">
        <v>85</v>
      </c>
      <c r="AE297" s="5">
        <v>0</v>
      </c>
      <c r="AF297" s="5">
        <v>85</v>
      </c>
      <c r="AG297" s="5">
        <v>0</v>
      </c>
      <c r="AH297" s="5">
        <v>0</v>
      </c>
      <c r="AI297" s="5">
        <v>0</v>
      </c>
    </row>
    <row r="298">
      <c r="A298" s="2" t="str">
        <f>HYPERLINK("https://www.avito.ru/tolyatti/bytovaya_elektronika/bambu_lab_h2d_laser_10w_eu_3d-printer_2_sopla_8053395069","8053395069")</f>
      </c>
      <c r="B298" t="s">
        <v>173</v>
      </c>
      <c r="C298" t="s">
        <v>216</v>
      </c>
      <c r="D298" t="s">
        <v>217</v>
      </c>
      <c r="E298" t="s">
        <v>38</v>
      </c>
      <c r="F298" t="s">
        <v>39</v>
      </c>
      <c r="G298" t="s">
        <v>40</v>
      </c>
      <c r="H298" s="3" t="str">
        <f>HYPERLINK("https://www.avito.ru/tolyatti/bytovaya_elektronika/bambu_lab_h2d_laser_10w_eu_3d-printer_2_sopla_8053395069","Bambu Lab H2D Laser 10W EU 3D-принтер 2 сопла")</f>
      </c>
      <c r="I298" t="s">
        <v>95</v>
      </c>
      <c r="J298" t="s">
        <v>42</v>
      </c>
      <c r="K298" t="s">
        <v>43</v>
      </c>
      <c r="L298">
        <v>50</v>
      </c>
      <c r="M298">
        <v>158</v>
      </c>
      <c r="N298" s="4">
        <v>0.0632</v>
      </c>
      <c r="O298">
        <v>10</v>
      </c>
      <c r="P298" s="5">
        <v>5.6</v>
      </c>
      <c r="Q298" s="4">
        <v>0</v>
      </c>
      <c r="R298">
        <v>0</v>
      </c>
      <c r="S298">
        <v>0</v>
      </c>
      <c r="T298">
        <v>0</v>
      </c>
      <c r="U298">
        <v>0</v>
      </c>
      <c r="V298">
        <v>0</v>
      </c>
      <c r="W298" s="5" t="s">
        <v>65</v>
      </c>
      <c r="X298">
        <v>0</v>
      </c>
      <c r="Y298" s="4">
        <v>0</v>
      </c>
      <c r="Z298">
        <v>0</v>
      </c>
      <c r="AA298" s="5">
        <v>0</v>
      </c>
      <c r="AB298">
        <v>0</v>
      </c>
      <c r="AC298" s="5">
        <v>0</v>
      </c>
      <c r="AD298" s="5">
        <v>56</v>
      </c>
      <c r="AE298" s="5">
        <v>0</v>
      </c>
      <c r="AF298" s="5">
        <v>56</v>
      </c>
      <c r="AG298" s="5">
        <v>0</v>
      </c>
      <c r="AH298" s="5">
        <v>0</v>
      </c>
      <c r="AI298" s="5">
        <v>0</v>
      </c>
    </row>
    <row r="299">
      <c r="A299" s="2" t="str">
        <f>HYPERLINK("https://www.avito.ru/habarovsk/bytovaya_elektronika/bambu_lab_h2d_combo_ams2_pro_eu_dlya_doma_i_biznesa_8053592022","8053592022")</f>
      </c>
      <c r="B299" t="s">
        <v>92</v>
      </c>
      <c r="C299" t="s">
        <v>93</v>
      </c>
      <c r="D299" t="s">
        <v>236</v>
      </c>
      <c r="E299" t="s">
        <v>38</v>
      </c>
      <c r="F299" t="s">
        <v>39</v>
      </c>
      <c r="G299" t="s">
        <v>40</v>
      </c>
      <c r="H299" s="3" t="str">
        <f>HYPERLINK("https://www.avito.ru/habarovsk/bytovaya_elektronika/bambu_lab_h2d_combo_ams2_pro_eu_dlya_doma_i_biznesa_8053592022","Bambu Lab H2D Combo AMS2 Pro EU для дома и бизнеса")</f>
      </c>
      <c r="I299" t="s">
        <v>91</v>
      </c>
      <c r="J299" t="s">
        <v>49</v>
      </c>
      <c r="K299" t="s">
        <v>50</v>
      </c>
      <c r="L299">
        <v>52</v>
      </c>
      <c r="M299">
        <v>59</v>
      </c>
      <c r="N299" s="4">
        <v>0.1694</v>
      </c>
      <c r="O299">
        <v>10</v>
      </c>
      <c r="P299" s="5">
        <v>5.6</v>
      </c>
      <c r="Q299" s="4">
        <v>0</v>
      </c>
      <c r="R299">
        <v>0</v>
      </c>
      <c r="S299">
        <v>0</v>
      </c>
      <c r="T299">
        <v>0</v>
      </c>
      <c r="U299">
        <v>0</v>
      </c>
      <c r="V299">
        <v>0</v>
      </c>
      <c r="W299" s="5" t="s">
        <v>65</v>
      </c>
      <c r="X299">
        <v>0</v>
      </c>
      <c r="Y299" s="4">
        <v>0</v>
      </c>
      <c r="Z299">
        <v>0</v>
      </c>
      <c r="AA299" s="5">
        <v>0</v>
      </c>
      <c r="AB299">
        <v>0</v>
      </c>
      <c r="AC299" s="5">
        <v>0</v>
      </c>
      <c r="AD299" s="5">
        <v>56</v>
      </c>
      <c r="AE299" s="5">
        <v>0</v>
      </c>
      <c r="AF299" s="5">
        <v>56</v>
      </c>
      <c r="AG299" s="5">
        <v>0</v>
      </c>
      <c r="AH299" s="5">
        <v>0</v>
      </c>
      <c r="AI299" s="5">
        <v>0</v>
      </c>
    </row>
    <row r="300">
      <c r="A300" s="2" t="str">
        <f>HYPERLINK("https://www.avito.ru/moskva/bytovaya_elektronika/3d_printer_eu_bambu_lab_h2d_laser_full_combo_10w_7829233208","7829233208")</f>
      </c>
      <c r="B300" t="s">
        <v>35</v>
      </c>
      <c r="C300" t="s">
        <v>36</v>
      </c>
      <c r="D300" t="s">
        <v>58</v>
      </c>
      <c r="E300" t="s">
        <v>38</v>
      </c>
      <c r="F300" t="s">
        <v>39</v>
      </c>
      <c r="G300" t="s">
        <v>40</v>
      </c>
      <c r="H300" s="3" t="str">
        <f>HYPERLINK("https://www.avito.ru/moskva/bytovaya_elektronika/3d_printer_eu_bambu_lab_h2d_laser_full_combo_10w_7829233208","3Д принтер EU Bambu Lab H2D Laser Full Combo 10W")</f>
      </c>
      <c r="I300" t="s">
        <v>95</v>
      </c>
      <c r="J300" t="s">
        <v>237</v>
      </c>
      <c r="K300" t="s">
        <v>47</v>
      </c>
      <c r="L300">
        <v>189</v>
      </c>
      <c r="M300">
        <v>65</v>
      </c>
      <c r="N300" s="4">
        <v>0.1384</v>
      </c>
      <c r="O300">
        <v>9</v>
      </c>
      <c r="P300" s="5">
        <v>8.71</v>
      </c>
      <c r="Q300" s="4">
        <v>0</v>
      </c>
      <c r="R300">
        <v>0</v>
      </c>
      <c r="S300">
        <v>0</v>
      </c>
      <c r="T300">
        <v>0</v>
      </c>
      <c r="U300">
        <v>0</v>
      </c>
      <c r="V300">
        <v>0</v>
      </c>
      <c r="W300" s="5" t="s">
        <v>65</v>
      </c>
      <c r="X300">
        <v>1</v>
      </c>
      <c r="Y300" s="4">
        <v>0</v>
      </c>
      <c r="Z300">
        <v>0</v>
      </c>
      <c r="AA300" s="5">
        <v>0</v>
      </c>
      <c r="AB300">
        <v>0</v>
      </c>
      <c r="AC300" s="5">
        <v>0</v>
      </c>
      <c r="AD300" s="5">
        <v>78.4</v>
      </c>
      <c r="AE300" s="5">
        <v>0</v>
      </c>
      <c r="AF300" s="5">
        <v>78.4</v>
      </c>
      <c r="AG300" s="5">
        <v>0</v>
      </c>
      <c r="AH300" s="5">
        <v>0</v>
      </c>
      <c r="AI300" s="5">
        <v>0</v>
      </c>
    </row>
    <row r="301">
      <c r="A301" s="2" t="str">
        <f>HYPERLINK("https://www.avito.ru/ekaterinburg/bytovaya_elektronika/bambu_lab_h2d_combo_eu_dlya_inzhenernoy_pechati_8052968721","8052968721")</f>
      </c>
      <c r="B301" t="s">
        <v>136</v>
      </c>
      <c r="C301" t="s">
        <v>137</v>
      </c>
      <c r="D301" t="s">
        <v>138</v>
      </c>
      <c r="E301" t="s">
        <v>38</v>
      </c>
      <c r="F301" t="s">
        <v>39</v>
      </c>
      <c r="G301" t="s">
        <v>40</v>
      </c>
      <c r="H301" s="3" t="str">
        <f>HYPERLINK("https://www.avito.ru/ekaterinburg/bytovaya_elektronika/bambu_lab_h2d_combo_eu_dlya_inzhenernoy_pechati_8052968721","Bambu Lab H2D Combo EU для инженерной печати")</f>
      </c>
      <c r="I301" t="s">
        <v>91</v>
      </c>
      <c r="J301" t="s">
        <v>49</v>
      </c>
      <c r="K301" t="s">
        <v>50</v>
      </c>
      <c r="L301">
        <v>52</v>
      </c>
      <c r="M301">
        <v>62</v>
      </c>
      <c r="N301" s="4">
        <v>0.1451</v>
      </c>
      <c r="O301">
        <v>9</v>
      </c>
      <c r="P301" s="5">
        <v>6.22</v>
      </c>
      <c r="Q301" s="4">
        <v>0</v>
      </c>
      <c r="R301">
        <v>0</v>
      </c>
      <c r="S301">
        <v>0</v>
      </c>
      <c r="T301">
        <v>0</v>
      </c>
      <c r="U301">
        <v>0</v>
      </c>
      <c r="V301">
        <v>0</v>
      </c>
      <c r="W301" s="5" t="s">
        <v>65</v>
      </c>
      <c r="X301">
        <v>0</v>
      </c>
      <c r="Y301" s="4">
        <v>0</v>
      </c>
      <c r="Z301">
        <v>0</v>
      </c>
      <c r="AA301" s="5">
        <v>0</v>
      </c>
      <c r="AB301">
        <v>0</v>
      </c>
      <c r="AC301" s="5">
        <v>0</v>
      </c>
      <c r="AD301" s="5">
        <v>56</v>
      </c>
      <c r="AE301" s="5">
        <v>0</v>
      </c>
      <c r="AF301" s="5">
        <v>56</v>
      </c>
      <c r="AG301" s="5">
        <v>0</v>
      </c>
      <c r="AH301" s="5">
        <v>0</v>
      </c>
      <c r="AI301" s="5">
        <v>0</v>
      </c>
    </row>
    <row r="302">
      <c r="A302" s="2" t="str">
        <f>HYPERLINK("https://www.avito.ru/habarovsk/bytovaya_elektronika/promyshlennyy_3d_printer_h2s_laser_10w_eu_8052974525","8052974525")</f>
      </c>
      <c r="B302" t="s">
        <v>92</v>
      </c>
      <c r="C302" t="s">
        <v>93</v>
      </c>
      <c r="D302" t="s">
        <v>94</v>
      </c>
      <c r="E302" t="s">
        <v>38</v>
      </c>
      <c r="F302" t="s">
        <v>39</v>
      </c>
      <c r="G302" t="s">
        <v>40</v>
      </c>
      <c r="H302" s="3" t="str">
        <f>HYPERLINK("https://www.avito.ru/habarovsk/bytovaya_elektronika/promyshlennyy_3d_printer_h2s_laser_10w_eu_8052974525","Промышленный 3D принтер H2S Laser 10W EU")</f>
      </c>
      <c r="I302" t="s">
        <v>129</v>
      </c>
      <c r="J302" t="s">
        <v>115</v>
      </c>
      <c r="K302" t="s">
        <v>116</v>
      </c>
      <c r="L302">
        <v>51</v>
      </c>
      <c r="M302">
        <v>108</v>
      </c>
      <c r="N302" s="4">
        <v>0.0833</v>
      </c>
      <c r="O302">
        <v>9</v>
      </c>
      <c r="P302" s="5">
        <v>6.22</v>
      </c>
      <c r="Q302" s="4">
        <v>0</v>
      </c>
      <c r="R302">
        <v>0</v>
      </c>
      <c r="S302">
        <v>0</v>
      </c>
      <c r="T302">
        <v>0</v>
      </c>
      <c r="U302">
        <v>0</v>
      </c>
      <c r="V302">
        <v>0</v>
      </c>
      <c r="W302" s="5" t="s">
        <v>65</v>
      </c>
      <c r="X302">
        <v>0</v>
      </c>
      <c r="Y302" s="4">
        <v>0</v>
      </c>
      <c r="Z302">
        <v>0</v>
      </c>
      <c r="AA302" s="5">
        <v>0</v>
      </c>
      <c r="AB302">
        <v>0</v>
      </c>
      <c r="AC302" s="5">
        <v>0</v>
      </c>
      <c r="AD302" s="5">
        <v>56</v>
      </c>
      <c r="AE302" s="5">
        <v>0</v>
      </c>
      <c r="AF302" s="5">
        <v>56</v>
      </c>
      <c r="AG302" s="5">
        <v>0</v>
      </c>
      <c r="AH302" s="5">
        <v>0</v>
      </c>
      <c r="AI302" s="5">
        <v>0</v>
      </c>
    </row>
    <row r="303">
      <c r="A303" s="2" t="str">
        <f>HYPERLINK("https://www.avito.ru/nizhniy_novgorod/bytovaya_elektronika/3d_printer_h2c_ams_combo_eu_versiya_premium-klass_8052994268","8052994268")</f>
      </c>
      <c r="B303" t="s">
        <v>125</v>
      </c>
      <c r="C303" t="s">
        <v>126</v>
      </c>
      <c r="D303" t="s">
        <v>127</v>
      </c>
      <c r="E303" t="s">
        <v>38</v>
      </c>
      <c r="F303" t="s">
        <v>39</v>
      </c>
      <c r="G303" t="s">
        <v>40</v>
      </c>
      <c r="H303" s="3" t="str">
        <f>HYPERLINK("https://www.avito.ru/nizhniy_novgorod/bytovaya_elektronika/3d_printer_h2c_ams_combo_eu_versiya_premium-klass_8052994268","3Д принтер H2C AMS Combo EU версия премиум-класс")</f>
      </c>
      <c r="I303" t="s">
        <v>83</v>
      </c>
      <c r="J303" t="s">
        <v>49</v>
      </c>
      <c r="K303" t="s">
        <v>50</v>
      </c>
      <c r="L303">
        <v>52</v>
      </c>
      <c r="M303">
        <v>56</v>
      </c>
      <c r="N303" s="4">
        <v>0.1607</v>
      </c>
      <c r="O303">
        <v>9</v>
      </c>
      <c r="P303" s="5">
        <v>6.22</v>
      </c>
      <c r="Q303" s="4">
        <v>0</v>
      </c>
      <c r="R303">
        <v>0</v>
      </c>
      <c r="S303">
        <v>0</v>
      </c>
      <c r="T303">
        <v>0</v>
      </c>
      <c r="U303">
        <v>0</v>
      </c>
      <c r="V303">
        <v>0</v>
      </c>
      <c r="W303" s="5" t="s">
        <v>65</v>
      </c>
      <c r="X303">
        <v>0</v>
      </c>
      <c r="Y303" s="4">
        <v>0</v>
      </c>
      <c r="Z303">
        <v>0</v>
      </c>
      <c r="AA303" s="5">
        <v>0</v>
      </c>
      <c r="AB303">
        <v>0</v>
      </c>
      <c r="AC303" s="5">
        <v>0</v>
      </c>
      <c r="AD303" s="5">
        <v>56</v>
      </c>
      <c r="AE303" s="5">
        <v>0</v>
      </c>
      <c r="AF303" s="5">
        <v>56</v>
      </c>
      <c r="AG303" s="5">
        <v>0</v>
      </c>
      <c r="AH303" s="5">
        <v>0</v>
      </c>
      <c r="AI303" s="5">
        <v>0</v>
      </c>
    </row>
    <row r="304">
      <c r="A304" s="2" t="str">
        <f>HYPERLINK("https://www.avito.ru/ufa/bytovaya_elektronika/h2d_laser_40w_eu_3d_printer_s_lazerom_40vt_8053005792","8053005792")</f>
      </c>
      <c r="B304" t="s">
        <v>179</v>
      </c>
      <c r="C304" t="s">
        <v>180</v>
      </c>
      <c r="D304" t="s">
        <v>181</v>
      </c>
      <c r="E304" t="s">
        <v>38</v>
      </c>
      <c r="F304" t="s">
        <v>39</v>
      </c>
      <c r="G304" t="s">
        <v>40</v>
      </c>
      <c r="H304" s="3" t="str">
        <f>HYPERLINK("https://www.avito.ru/ufa/bytovaya_elektronika/h2d_laser_40w_eu_3d_printer_s_lazerom_40vt_8053005792","H2D Laser 40W EU 3D принтер с лазером 40Вт")</f>
      </c>
      <c r="I304" t="s">
        <v>57</v>
      </c>
      <c r="J304" t="s">
        <v>42</v>
      </c>
      <c r="K304" t="s">
        <v>43</v>
      </c>
      <c r="L304">
        <v>50</v>
      </c>
      <c r="M304">
        <v>80</v>
      </c>
      <c r="N304" s="4">
        <v>0.1125</v>
      </c>
      <c r="O304">
        <v>9</v>
      </c>
      <c r="P304" s="5">
        <v>6.22</v>
      </c>
      <c r="Q304" s="4">
        <v>0</v>
      </c>
      <c r="R304">
        <v>0</v>
      </c>
      <c r="S304">
        <v>0</v>
      </c>
      <c r="T304">
        <v>0</v>
      </c>
      <c r="U304">
        <v>0</v>
      </c>
      <c r="V304">
        <v>0</v>
      </c>
      <c r="W304" s="5" t="s">
        <v>65</v>
      </c>
      <c r="X304">
        <v>1</v>
      </c>
      <c r="Y304" s="4">
        <v>0</v>
      </c>
      <c r="Z304">
        <v>0</v>
      </c>
      <c r="AA304" s="5">
        <v>0</v>
      </c>
      <c r="AB304">
        <v>0</v>
      </c>
      <c r="AC304" s="5">
        <v>0</v>
      </c>
      <c r="AD304" s="5">
        <v>56</v>
      </c>
      <c r="AE304" s="5">
        <v>0</v>
      </c>
      <c r="AF304" s="5">
        <v>56</v>
      </c>
      <c r="AG304" s="5">
        <v>0</v>
      </c>
      <c r="AH304" s="5">
        <v>0</v>
      </c>
      <c r="AI304" s="5">
        <v>0</v>
      </c>
    </row>
    <row r="305">
      <c r="A305" s="2" t="str">
        <f>HYPERLINK("https://www.avito.ru/chelyabinsk/bytovaya_elektronika/3d_printer_h2s_combo_ams_2_pro_nastolnyy_8053085059","8053085059")</f>
      </c>
      <c r="B305" t="s">
        <v>66</v>
      </c>
      <c r="C305" t="s">
        <v>67</v>
      </c>
      <c r="D305" t="s">
        <v>68</v>
      </c>
      <c r="E305" t="s">
        <v>38</v>
      </c>
      <c r="F305" t="s">
        <v>39</v>
      </c>
      <c r="G305" t="s">
        <v>40</v>
      </c>
      <c r="H305" s="3" t="str">
        <f>HYPERLINK("https://www.avito.ru/chelyabinsk/bytovaya_elektronika/3d_printer_h2s_combo_ams_2_pro_nastolnyy_8053085059","3D принтер H2S Combo AMS 2 PRO настольный")</f>
      </c>
      <c r="I305" t="s">
        <v>48</v>
      </c>
      <c r="J305" t="s">
        <v>49</v>
      </c>
      <c r="K305" t="s">
        <v>50</v>
      </c>
      <c r="L305">
        <v>52</v>
      </c>
      <c r="M305">
        <v>64</v>
      </c>
      <c r="N305" s="4">
        <v>0.1406</v>
      </c>
      <c r="O305">
        <v>9</v>
      </c>
      <c r="P305" s="5">
        <v>6.22</v>
      </c>
      <c r="Q305" s="4">
        <v>0</v>
      </c>
      <c r="R305">
        <v>0</v>
      </c>
      <c r="S305">
        <v>0</v>
      </c>
      <c r="T305">
        <v>0</v>
      </c>
      <c r="U305">
        <v>0</v>
      </c>
      <c r="V305">
        <v>0</v>
      </c>
      <c r="W305" s="5" t="s">
        <v>65</v>
      </c>
      <c r="X305">
        <v>2</v>
      </c>
      <c r="Y305" s="4">
        <v>0</v>
      </c>
      <c r="Z305">
        <v>0</v>
      </c>
      <c r="AA305" s="5">
        <v>0</v>
      </c>
      <c r="AB305">
        <v>0</v>
      </c>
      <c r="AC305" s="5">
        <v>0</v>
      </c>
      <c r="AD305" s="5">
        <v>56</v>
      </c>
      <c r="AE305" s="5">
        <v>0</v>
      </c>
      <c r="AF305" s="5">
        <v>56</v>
      </c>
      <c r="AG305" s="5">
        <v>0</v>
      </c>
      <c r="AH305" s="5">
        <v>0</v>
      </c>
      <c r="AI305" s="5">
        <v>0</v>
      </c>
    </row>
    <row r="306">
      <c r="A306" s="2" t="str">
        <f>HYPERLINK("https://www.avito.ru/novosibirsk/bytovaya_elektronika/3d-printer_bambu_lab_h2c_ams_2_pro_laser_eu_8053229502","8053229502")</f>
      </c>
      <c r="B306" t="s">
        <v>142</v>
      </c>
      <c r="C306" t="s">
        <v>143</v>
      </c>
      <c r="D306" t="s">
        <v>144</v>
      </c>
      <c r="E306" t="s">
        <v>38</v>
      </c>
      <c r="F306" t="s">
        <v>39</v>
      </c>
      <c r="G306" t="s">
        <v>40</v>
      </c>
      <c r="H306" s="3" t="str">
        <f>HYPERLINK("https://www.avito.ru/novosibirsk/bytovaya_elektronika/3d-printer_bambu_lab_h2c_ams_2_pro_laser_eu_8053229502","3D-принтер Bambu Lab H2C AMS 2 Pro Laser EU")</f>
      </c>
      <c r="I306" t="s">
        <v>69</v>
      </c>
      <c r="J306" t="s">
        <v>49</v>
      </c>
      <c r="K306" t="s">
        <v>50</v>
      </c>
      <c r="L306">
        <v>52</v>
      </c>
      <c r="M306">
        <v>86</v>
      </c>
      <c r="N306" s="4">
        <v>0.1046</v>
      </c>
      <c r="O306">
        <v>9</v>
      </c>
      <c r="P306" s="5">
        <v>6.22</v>
      </c>
      <c r="Q306" s="4">
        <v>0.1111</v>
      </c>
      <c r="R306">
        <v>1</v>
      </c>
      <c r="S306">
        <v>1</v>
      </c>
      <c r="T306">
        <v>0</v>
      </c>
      <c r="U306">
        <v>0</v>
      </c>
      <c r="V306">
        <v>0</v>
      </c>
      <c r="W306" s="5">
        <v>56</v>
      </c>
      <c r="X306">
        <v>0</v>
      </c>
      <c r="Y306" s="4">
        <v>0</v>
      </c>
      <c r="Z306">
        <v>0</v>
      </c>
      <c r="AA306" s="5">
        <v>0</v>
      </c>
      <c r="AB306">
        <v>0</v>
      </c>
      <c r="AC306" s="5">
        <v>0</v>
      </c>
      <c r="AD306" s="5">
        <v>56</v>
      </c>
      <c r="AE306" s="5">
        <v>0</v>
      </c>
      <c r="AF306" s="5">
        <v>56</v>
      </c>
      <c r="AG306" s="5">
        <v>0</v>
      </c>
      <c r="AH306" s="5">
        <v>0</v>
      </c>
      <c r="AI306" s="5">
        <v>0</v>
      </c>
    </row>
    <row r="307">
      <c r="A307" s="2" t="str">
        <f>HYPERLINK("https://www.avito.ru/izhevsk/bytovaya_elektronika/h2d_combo_ams_2_pro_3d_printer_dlya_inzhenerov_8053416651","8053416651")</f>
      </c>
      <c r="B307" t="s">
        <v>149</v>
      </c>
      <c r="C307" t="s">
        <v>150</v>
      </c>
      <c r="D307" t="s">
        <v>151</v>
      </c>
      <c r="E307" t="s">
        <v>38</v>
      </c>
      <c r="F307" t="s">
        <v>39</v>
      </c>
      <c r="G307" t="s">
        <v>40</v>
      </c>
      <c r="H307" s="3" t="str">
        <f>HYPERLINK("https://www.avito.ru/izhevsk/bytovaya_elektronika/h2d_combo_ams_2_pro_3d_printer_dlya_inzhenerov_8053416651","H2D Combo AMS 2 Pro 3D принтер для инженеров")</f>
      </c>
      <c r="I307" t="s">
        <v>91</v>
      </c>
      <c r="J307" t="s">
        <v>42</v>
      </c>
      <c r="K307" t="s">
        <v>43</v>
      </c>
      <c r="L307">
        <v>50</v>
      </c>
      <c r="M307">
        <v>78</v>
      </c>
      <c r="N307" s="4">
        <v>0.1153</v>
      </c>
      <c r="O307">
        <v>9</v>
      </c>
      <c r="P307" s="5">
        <v>6.22</v>
      </c>
      <c r="Q307" s="4">
        <v>0</v>
      </c>
      <c r="R307">
        <v>0</v>
      </c>
      <c r="S307">
        <v>0</v>
      </c>
      <c r="T307">
        <v>0</v>
      </c>
      <c r="U307">
        <v>0</v>
      </c>
      <c r="V307">
        <v>0</v>
      </c>
      <c r="W307" s="5" t="s">
        <v>65</v>
      </c>
      <c r="X307">
        <v>0</v>
      </c>
      <c r="Y307" s="4">
        <v>0</v>
      </c>
      <c r="Z307">
        <v>0</v>
      </c>
      <c r="AA307" s="5">
        <v>0</v>
      </c>
      <c r="AB307">
        <v>0</v>
      </c>
      <c r="AC307" s="5">
        <v>0</v>
      </c>
      <c r="AD307" s="5">
        <v>56</v>
      </c>
      <c r="AE307" s="5">
        <v>0</v>
      </c>
      <c r="AF307" s="5">
        <v>56</v>
      </c>
      <c r="AG307" s="5">
        <v>0</v>
      </c>
      <c r="AH307" s="5">
        <v>0</v>
      </c>
      <c r="AI307" s="5">
        <v>0</v>
      </c>
    </row>
    <row r="308">
      <c r="A308" s="2" t="str">
        <f>HYPERLINK("https://www.avito.ru/ulyanovsk/bytovaya_elektronika/h2d_laser_40w_eu_3d_printer_s_moschnym_lazerom_8053539513","8053539513")</f>
      </c>
      <c r="B308" t="s">
        <v>219</v>
      </c>
      <c r="C308" t="s">
        <v>220</v>
      </c>
      <c r="D308" t="s">
        <v>221</v>
      </c>
      <c r="E308" t="s">
        <v>38</v>
      </c>
      <c r="F308" t="s">
        <v>39</v>
      </c>
      <c r="G308" t="s">
        <v>40</v>
      </c>
      <c r="H308" s="3" t="str">
        <f>HYPERLINK("https://www.avito.ru/ulyanovsk/bytovaya_elektronika/h2d_laser_40w_eu_3d_printer_s_moschnym_lazerom_8053539513","H2D Laser 40W EU 3D принтер с мощным лазером")</f>
      </c>
      <c r="I308" t="s">
        <v>57</v>
      </c>
      <c r="J308" t="s">
        <v>42</v>
      </c>
      <c r="K308" t="s">
        <v>43</v>
      </c>
      <c r="L308">
        <v>50</v>
      </c>
      <c r="M308">
        <v>144</v>
      </c>
      <c r="N308" s="4">
        <v>0.0625</v>
      </c>
      <c r="O308">
        <v>9</v>
      </c>
      <c r="P308" s="5">
        <v>6.22</v>
      </c>
      <c r="Q308" s="4">
        <v>0</v>
      </c>
      <c r="R308">
        <v>0</v>
      </c>
      <c r="S308">
        <v>0</v>
      </c>
      <c r="T308">
        <v>0</v>
      </c>
      <c r="U308">
        <v>0</v>
      </c>
      <c r="V308">
        <v>0</v>
      </c>
      <c r="W308" s="5" t="s">
        <v>65</v>
      </c>
      <c r="X308">
        <v>1</v>
      </c>
      <c r="Y308" s="4">
        <v>0</v>
      </c>
      <c r="Z308">
        <v>0</v>
      </c>
      <c r="AA308" s="5">
        <v>0</v>
      </c>
      <c r="AB308">
        <v>0</v>
      </c>
      <c r="AC308" s="5">
        <v>0</v>
      </c>
      <c r="AD308" s="5">
        <v>56</v>
      </c>
      <c r="AE308" s="5">
        <v>0</v>
      </c>
      <c r="AF308" s="5">
        <v>56</v>
      </c>
      <c r="AG308" s="5">
        <v>0</v>
      </c>
      <c r="AH308" s="5">
        <v>0</v>
      </c>
      <c r="AI308" s="5">
        <v>0</v>
      </c>
    </row>
    <row r="309">
      <c r="A309" s="2" t="str">
        <f>HYPERLINK("https://www.avito.ru/rostov-na-donu/bytovaya_elektronika/3d_printer_h2d_laser_10w_eu_skorostnoy_1000_mms_8053603095","8053603095")</f>
      </c>
      <c r="B309" t="s">
        <v>88</v>
      </c>
      <c r="C309" t="s">
        <v>89</v>
      </c>
      <c r="D309" t="s">
        <v>90</v>
      </c>
      <c r="E309" t="s">
        <v>38</v>
      </c>
      <c r="F309" t="s">
        <v>39</v>
      </c>
      <c r="G309" t="s">
        <v>40</v>
      </c>
      <c r="H309" s="3" t="str">
        <f>HYPERLINK("https://www.avito.ru/rostov-na-donu/bytovaya_elektronika/3d_printer_h2d_laser_10w_eu_skorostnoy_1000_mms_8053603095","3Д принтер H2D Laser 10W EU скоростной 1000 мм/с")</f>
      </c>
      <c r="I309" t="s">
        <v>95</v>
      </c>
      <c r="J309" t="s">
        <v>42</v>
      </c>
      <c r="K309" t="s">
        <v>43</v>
      </c>
      <c r="L309">
        <v>50</v>
      </c>
      <c r="M309">
        <v>186</v>
      </c>
      <c r="N309" s="4">
        <v>0.0483</v>
      </c>
      <c r="O309">
        <v>9</v>
      </c>
      <c r="P309" s="5">
        <v>6.22</v>
      </c>
      <c r="Q309" s="4">
        <v>0</v>
      </c>
      <c r="R309">
        <v>0</v>
      </c>
      <c r="S309">
        <v>0</v>
      </c>
      <c r="T309">
        <v>0</v>
      </c>
      <c r="U309">
        <v>0</v>
      </c>
      <c r="V309">
        <v>0</v>
      </c>
      <c r="W309" s="5" t="s">
        <v>65</v>
      </c>
      <c r="X309">
        <v>0</v>
      </c>
      <c r="Y309" s="4">
        <v>0</v>
      </c>
      <c r="Z309">
        <v>0</v>
      </c>
      <c r="AA309" s="5">
        <v>0</v>
      </c>
      <c r="AB309">
        <v>0</v>
      </c>
      <c r="AC309" s="5">
        <v>0</v>
      </c>
      <c r="AD309" s="5">
        <v>56</v>
      </c>
      <c r="AE309" s="5">
        <v>0</v>
      </c>
      <c r="AF309" s="5">
        <v>56</v>
      </c>
      <c r="AG309" s="5">
        <v>0</v>
      </c>
      <c r="AH309" s="5">
        <v>0</v>
      </c>
      <c r="AI309" s="5">
        <v>0</v>
      </c>
    </row>
    <row r="310">
      <c r="A310" s="2" t="str">
        <f>HYPERLINK("https://www.avito.ru/vladivostok/bytovaya_elektronika/h2d_combo_ams_2_pro_3d_printer_350c_8053613989","8053613989")</f>
      </c>
      <c r="B310" t="s">
        <v>190</v>
      </c>
      <c r="C310" t="s">
        <v>191</v>
      </c>
      <c r="D310" t="s">
        <v>192</v>
      </c>
      <c r="E310" t="s">
        <v>38</v>
      </c>
      <c r="F310" t="s">
        <v>39</v>
      </c>
      <c r="G310" t="s">
        <v>40</v>
      </c>
      <c r="H310" s="3" t="str">
        <f>HYPERLINK("https://www.avito.ru/vladivostok/bytovaya_elektronika/h2d_combo_ams_2_pro_3d_printer_350c_8053613989","H2D Combo AMS 2 Pro 3D принтер 350C")</f>
      </c>
      <c r="I310" t="s">
        <v>91</v>
      </c>
      <c r="J310" t="s">
        <v>42</v>
      </c>
      <c r="K310" t="s">
        <v>43</v>
      </c>
      <c r="L310">
        <v>50</v>
      </c>
      <c r="M310">
        <v>82</v>
      </c>
      <c r="N310" s="4">
        <v>0.1097</v>
      </c>
      <c r="O310">
        <v>9</v>
      </c>
      <c r="P310" s="5">
        <v>6.22</v>
      </c>
      <c r="Q310" s="4">
        <v>0</v>
      </c>
      <c r="R310">
        <v>0</v>
      </c>
      <c r="S310">
        <v>0</v>
      </c>
      <c r="T310">
        <v>0</v>
      </c>
      <c r="U310">
        <v>0</v>
      </c>
      <c r="V310">
        <v>0</v>
      </c>
      <c r="W310" s="5" t="s">
        <v>65</v>
      </c>
      <c r="X310">
        <v>1</v>
      </c>
      <c r="Y310" s="4">
        <v>0</v>
      </c>
      <c r="Z310">
        <v>0</v>
      </c>
      <c r="AA310" s="5">
        <v>0</v>
      </c>
      <c r="AB310">
        <v>0</v>
      </c>
      <c r="AC310" s="5">
        <v>0</v>
      </c>
      <c r="AD310" s="5">
        <v>56</v>
      </c>
      <c r="AE310" s="5">
        <v>0</v>
      </c>
      <c r="AF310" s="5">
        <v>56</v>
      </c>
      <c r="AG310" s="5">
        <v>0</v>
      </c>
      <c r="AH310" s="5">
        <v>0</v>
      </c>
      <c r="AI310" s="5">
        <v>0</v>
      </c>
    </row>
    <row r="311">
      <c r="A311" s="2" t="str">
        <f>HYPERLINK("https://www.avito.ru/saratov/bytovaya_elektronika/3d_printer_h2s_combo_ams_2_pro_eu_versiya_8053678542","8053678542")</f>
      </c>
      <c r="B311" t="s">
        <v>208</v>
      </c>
      <c r="C311" t="s">
        <v>209</v>
      </c>
      <c r="D311" t="s">
        <v>210</v>
      </c>
      <c r="E311" t="s">
        <v>38</v>
      </c>
      <c r="F311" t="s">
        <v>39</v>
      </c>
      <c r="G311" t="s">
        <v>40</v>
      </c>
      <c r="H311" s="3" t="str">
        <f>HYPERLINK("https://www.avito.ru/saratov/bytovaya_elektronika/3d_printer_h2s_combo_ams_2_pro_eu_versiya_8053678542","3D принтер H2S Combo AMS 2 PRO (EU версия)")</f>
      </c>
      <c r="I311" t="s">
        <v>48</v>
      </c>
      <c r="J311" t="s">
        <v>115</v>
      </c>
      <c r="K311" t="s">
        <v>116</v>
      </c>
      <c r="L311">
        <v>51</v>
      </c>
      <c r="M311">
        <v>168</v>
      </c>
      <c r="N311" s="4">
        <v>0.0535</v>
      </c>
      <c r="O311">
        <v>9</v>
      </c>
      <c r="P311" s="5">
        <v>6.22</v>
      </c>
      <c r="Q311" s="4">
        <v>0</v>
      </c>
      <c r="R311">
        <v>0</v>
      </c>
      <c r="S311">
        <v>0</v>
      </c>
      <c r="T311">
        <v>0</v>
      </c>
      <c r="U311">
        <v>0</v>
      </c>
      <c r="V311">
        <v>0</v>
      </c>
      <c r="W311" s="5" t="s">
        <v>65</v>
      </c>
      <c r="X311">
        <v>0</v>
      </c>
      <c r="Y311" s="4">
        <v>0</v>
      </c>
      <c r="Z311">
        <v>0</v>
      </c>
      <c r="AA311" s="5">
        <v>0</v>
      </c>
      <c r="AB311">
        <v>0</v>
      </c>
      <c r="AC311" s="5">
        <v>0</v>
      </c>
      <c r="AD311" s="5">
        <v>56</v>
      </c>
      <c r="AE311" s="5">
        <v>0</v>
      </c>
      <c r="AF311" s="5">
        <v>56</v>
      </c>
      <c r="AG311" s="5">
        <v>0</v>
      </c>
      <c r="AH311" s="5">
        <v>0</v>
      </c>
      <c r="AI311" s="5">
        <v>0</v>
      </c>
    </row>
    <row r="312">
      <c r="A312" s="2" t="str">
        <f>HYPERLINK("https://www.avito.ru/saratov/bytovaya_elektronika/professionalnyy_3d_printer_elegoo_giga_storm_8053836650","8053836650")</f>
      </c>
      <c r="B312" t="s">
        <v>208</v>
      </c>
      <c r="C312" t="s">
        <v>209</v>
      </c>
      <c r="D312" t="s">
        <v>210</v>
      </c>
      <c r="E312" t="s">
        <v>38</v>
      </c>
      <c r="F312" t="s">
        <v>39</v>
      </c>
      <c r="G312" t="s">
        <v>40</v>
      </c>
      <c r="H312" s="3" t="str">
        <f>HYPERLINK("https://www.avito.ru/saratov/bytovaya_elektronika/professionalnyy_3d_printer_elegoo_giga_storm_8053836650","Профессиональный 3D принтер Elegoo Giga Storm")</f>
      </c>
      <c r="I312" t="s">
        <v>64</v>
      </c>
      <c r="J312" t="s">
        <v>42</v>
      </c>
      <c r="K312" t="s">
        <v>43</v>
      </c>
      <c r="L312">
        <v>50</v>
      </c>
      <c r="M312">
        <v>102</v>
      </c>
      <c r="N312" s="4">
        <v>0.0882</v>
      </c>
      <c r="O312">
        <v>9</v>
      </c>
      <c r="P312" s="5">
        <v>6.22</v>
      </c>
      <c r="Q312" s="4">
        <v>0</v>
      </c>
      <c r="R312">
        <v>0</v>
      </c>
      <c r="S312">
        <v>0</v>
      </c>
      <c r="T312">
        <v>0</v>
      </c>
      <c r="U312">
        <v>0</v>
      </c>
      <c r="V312">
        <v>0</v>
      </c>
      <c r="W312" s="5" t="s">
        <v>65</v>
      </c>
      <c r="X312">
        <v>1</v>
      </c>
      <c r="Y312" s="4">
        <v>0</v>
      </c>
      <c r="Z312">
        <v>0</v>
      </c>
      <c r="AA312" s="5">
        <v>0</v>
      </c>
      <c r="AB312">
        <v>0</v>
      </c>
      <c r="AC312" s="5">
        <v>0</v>
      </c>
      <c r="AD312" s="5">
        <v>56</v>
      </c>
      <c r="AE312" s="5">
        <v>0</v>
      </c>
      <c r="AF312" s="5">
        <v>56</v>
      </c>
      <c r="AG312" s="5">
        <v>0</v>
      </c>
      <c r="AH312" s="5">
        <v>0</v>
      </c>
      <c r="AI312" s="5">
        <v>0</v>
      </c>
    </row>
    <row r="313">
      <c r="A313" s="2" t="str">
        <f>HYPERLINK("https://www.avito.ru/mahachkala/bytovaya_elektronika/bambu_lab_h2d_laser_40w_cn_350h320h325_mm_8053865494","8053865494")</f>
      </c>
      <c r="B313" t="s">
        <v>106</v>
      </c>
      <c r="C313" t="s">
        <v>107</v>
      </c>
      <c r="D313" t="s">
        <v>108</v>
      </c>
      <c r="E313" t="s">
        <v>38</v>
      </c>
      <c r="F313" t="s">
        <v>39</v>
      </c>
      <c r="G313" t="s">
        <v>40</v>
      </c>
      <c r="H313" s="3" t="str">
        <f>HYPERLINK("https://www.avito.ru/mahachkala/bytovaya_elektronika/bambu_lab_h2d_laser_40w_cn_350h320h325_mm_8053865494","Bambu Lab H2D Laser 40W CN 350х320х325 мм")</f>
      </c>
      <c r="I313" t="s">
        <v>148</v>
      </c>
      <c r="J313" t="s">
        <v>42</v>
      </c>
      <c r="K313" t="s">
        <v>43</v>
      </c>
      <c r="L313">
        <v>50</v>
      </c>
      <c r="M313">
        <v>127</v>
      </c>
      <c r="N313" s="4">
        <v>0.0708</v>
      </c>
      <c r="O313">
        <v>9</v>
      </c>
      <c r="P313" s="5">
        <v>6.22</v>
      </c>
      <c r="Q313" s="4">
        <v>0</v>
      </c>
      <c r="R313">
        <v>0</v>
      </c>
      <c r="S313">
        <v>0</v>
      </c>
      <c r="T313">
        <v>0</v>
      </c>
      <c r="U313">
        <v>0</v>
      </c>
      <c r="V313">
        <v>0</v>
      </c>
      <c r="W313" s="5" t="s">
        <v>65</v>
      </c>
      <c r="X313">
        <v>0</v>
      </c>
      <c r="Y313" s="4">
        <v>0</v>
      </c>
      <c r="Z313">
        <v>0</v>
      </c>
      <c r="AA313" s="5">
        <v>0</v>
      </c>
      <c r="AB313">
        <v>0</v>
      </c>
      <c r="AC313" s="5">
        <v>0</v>
      </c>
      <c r="AD313" s="5">
        <v>56</v>
      </c>
      <c r="AE313" s="5">
        <v>0</v>
      </c>
      <c r="AF313" s="5">
        <v>56</v>
      </c>
      <c r="AG313" s="5">
        <v>0</v>
      </c>
      <c r="AH313" s="5">
        <v>0</v>
      </c>
      <c r="AI313" s="5">
        <v>0</v>
      </c>
    </row>
    <row r="314">
      <c r="A314" s="2" t="str">
        <f>HYPERLINK("https://www.avito.ru/orenburg/bytovaya_elektronika/h2d_laser_40w_cn_skorostnoy_3d_printer_1000_mms_8052907421","8052907421")</f>
      </c>
      <c r="B314" t="s">
        <v>193</v>
      </c>
      <c r="C314" t="s">
        <v>194</v>
      </c>
      <c r="D314" t="s">
        <v>195</v>
      </c>
      <c r="E314" t="s">
        <v>38</v>
      </c>
      <c r="F314" t="s">
        <v>39</v>
      </c>
      <c r="G314" t="s">
        <v>40</v>
      </c>
      <c r="H314" s="3" t="str">
        <f>HYPERLINK("https://www.avito.ru/orenburg/bytovaya_elektronika/h2d_laser_40w_cn_skorostnoy_3d_printer_1000_mms_8052907421","H2D Laser 40W CN скоростной 3D принтер 1000 мм/с")</f>
      </c>
      <c r="I314" t="s">
        <v>148</v>
      </c>
      <c r="J314" t="s">
        <v>42</v>
      </c>
      <c r="K314" t="s">
        <v>43</v>
      </c>
      <c r="L314">
        <v>50</v>
      </c>
      <c r="M314">
        <v>75</v>
      </c>
      <c r="N314" s="4">
        <v>0.1066</v>
      </c>
      <c r="O314">
        <v>8</v>
      </c>
      <c r="P314" s="5">
        <v>7</v>
      </c>
      <c r="Q314" s="4">
        <v>0</v>
      </c>
      <c r="R314">
        <v>0</v>
      </c>
      <c r="S314">
        <v>0</v>
      </c>
      <c r="T314">
        <v>0</v>
      </c>
      <c r="U314">
        <v>0</v>
      </c>
      <c r="V314">
        <v>0</v>
      </c>
      <c r="W314" s="5" t="s">
        <v>65</v>
      </c>
      <c r="X314">
        <v>2</v>
      </c>
      <c r="Y314" s="4">
        <v>0</v>
      </c>
      <c r="Z314">
        <v>0</v>
      </c>
      <c r="AA314" s="5">
        <v>0</v>
      </c>
      <c r="AB314">
        <v>0</v>
      </c>
      <c r="AC314" s="5">
        <v>0</v>
      </c>
      <c r="AD314" s="5">
        <v>56</v>
      </c>
      <c r="AE314" s="5">
        <v>0</v>
      </c>
      <c r="AF314" s="5">
        <v>56</v>
      </c>
      <c r="AG314" s="5">
        <v>0</v>
      </c>
      <c r="AH314" s="5">
        <v>0</v>
      </c>
      <c r="AI314" s="5">
        <v>0</v>
      </c>
    </row>
    <row r="315">
      <c r="A315" s="2" t="str">
        <f>HYPERLINK("https://www.avito.ru/barnaul/bytovaya_elektronika/bambu_lab_h2s_combo_ams_2_pro_8052996274","8052996274")</f>
      </c>
      <c r="B315" t="s">
        <v>158</v>
      </c>
      <c r="C315" t="s">
        <v>159</v>
      </c>
      <c r="D315" t="s">
        <v>160</v>
      </c>
      <c r="E315" t="s">
        <v>38</v>
      </c>
      <c r="F315" t="s">
        <v>39</v>
      </c>
      <c r="G315" t="s">
        <v>40</v>
      </c>
      <c r="H315" s="3" t="str">
        <f>HYPERLINK("https://www.avito.ru/barnaul/bytovaya_elektronika/bambu_lab_h2s_combo_ams_2_pro_8052996274","Bambu Lab H2S Combo AMS 2 PRO")</f>
      </c>
      <c r="I315" t="s">
        <v>48</v>
      </c>
      <c r="J315" t="s">
        <v>115</v>
      </c>
      <c r="K315" t="s">
        <v>116</v>
      </c>
      <c r="L315">
        <v>51</v>
      </c>
      <c r="M315">
        <v>98</v>
      </c>
      <c r="N315" s="4">
        <v>0.0816</v>
      </c>
      <c r="O315">
        <v>8</v>
      </c>
      <c r="P315" s="5">
        <v>7</v>
      </c>
      <c r="Q315" s="4">
        <v>0.125</v>
      </c>
      <c r="R315">
        <v>1</v>
      </c>
      <c r="S315">
        <v>1</v>
      </c>
      <c r="T315">
        <v>0</v>
      </c>
      <c r="U315">
        <v>0</v>
      </c>
      <c r="V315">
        <v>0</v>
      </c>
      <c r="W315" s="5">
        <v>56</v>
      </c>
      <c r="X315">
        <v>0</v>
      </c>
      <c r="Y315" s="4">
        <v>0</v>
      </c>
      <c r="Z315">
        <v>0</v>
      </c>
      <c r="AA315" s="5">
        <v>0</v>
      </c>
      <c r="AB315">
        <v>0</v>
      </c>
      <c r="AC315" s="5">
        <v>0</v>
      </c>
      <c r="AD315" s="5">
        <v>56</v>
      </c>
      <c r="AE315" s="5">
        <v>0</v>
      </c>
      <c r="AF315" s="5">
        <v>56</v>
      </c>
      <c r="AG315" s="5">
        <v>0</v>
      </c>
      <c r="AH315" s="5">
        <v>0</v>
      </c>
      <c r="AI315" s="5">
        <v>0</v>
      </c>
    </row>
    <row r="316">
      <c r="A316" s="2" t="str">
        <f>HYPERLINK("https://www.avito.ru/chelyabinsk/bytovaya_elektronika/bambu_lab_h2c_ams_combo_laser_10w_eu_8053200910","8053200910")</f>
      </c>
      <c r="B316" t="s">
        <v>66</v>
      </c>
      <c r="C316" t="s">
        <v>67</v>
      </c>
      <c r="D316" t="s">
        <v>68</v>
      </c>
      <c r="E316" t="s">
        <v>38</v>
      </c>
      <c r="F316" t="s">
        <v>39</v>
      </c>
      <c r="G316" t="s">
        <v>40</v>
      </c>
      <c r="H316" s="3" t="str">
        <f>HYPERLINK("https://www.avito.ru/chelyabinsk/bytovaya_elektronika/bambu_lab_h2c_ams_combo_laser_10w_eu_8053200910","Bambu Lab H2C AMS Combo Laser 10W EU")</f>
      </c>
      <c r="I316" t="s">
        <v>69</v>
      </c>
      <c r="J316" t="s">
        <v>49</v>
      </c>
      <c r="K316" t="s">
        <v>50</v>
      </c>
      <c r="L316">
        <v>52</v>
      </c>
      <c r="M316">
        <v>52</v>
      </c>
      <c r="N316" s="4">
        <v>0.1538</v>
      </c>
      <c r="O316">
        <v>8</v>
      </c>
      <c r="P316" s="5">
        <v>7</v>
      </c>
      <c r="Q316" s="4">
        <v>0</v>
      </c>
      <c r="R316">
        <v>0</v>
      </c>
      <c r="S316">
        <v>0</v>
      </c>
      <c r="T316">
        <v>0</v>
      </c>
      <c r="U316">
        <v>0</v>
      </c>
      <c r="V316">
        <v>0</v>
      </c>
      <c r="W316" s="5" t="s">
        <v>65</v>
      </c>
      <c r="X316">
        <v>2</v>
      </c>
      <c r="Y316" s="4">
        <v>0</v>
      </c>
      <c r="Z316">
        <v>0</v>
      </c>
      <c r="AA316" s="5">
        <v>0</v>
      </c>
      <c r="AB316">
        <v>0</v>
      </c>
      <c r="AC316" s="5">
        <v>0</v>
      </c>
      <c r="AD316" s="5">
        <v>56</v>
      </c>
      <c r="AE316" s="5">
        <v>0</v>
      </c>
      <c r="AF316" s="5">
        <v>56</v>
      </c>
      <c r="AG316" s="5">
        <v>0</v>
      </c>
      <c r="AH316" s="5">
        <v>0</v>
      </c>
      <c r="AI316" s="5">
        <v>0</v>
      </c>
    </row>
    <row r="317">
      <c r="A317" s="2" t="str">
        <f>HYPERLINK("https://www.avito.ru/ivanovo/bytovaya_elektronika/3d_printer_h2d_combo_ams2_pro_eu_dlya_biznesa_8053440007","8053440007")</f>
      </c>
      <c r="B317" t="s">
        <v>238</v>
      </c>
      <c r="C317" t="s">
        <v>239</v>
      </c>
      <c r="D317" t="s">
        <v>240</v>
      </c>
      <c r="E317" t="s">
        <v>38</v>
      </c>
      <c r="F317" t="s">
        <v>39</v>
      </c>
      <c r="G317" t="s">
        <v>40</v>
      </c>
      <c r="H317" s="3" t="str">
        <f>HYPERLINK("https://www.avito.ru/ivanovo/bytovaya_elektronika/3d_printer_h2d_combo_ams2_pro_eu_dlya_biznesa_8053440007","3D принтер H2D Combo AMS2 Pro EU для бизнеса")</f>
      </c>
      <c r="I317" t="s">
        <v>91</v>
      </c>
      <c r="J317" t="s">
        <v>49</v>
      </c>
      <c r="K317" t="s">
        <v>50</v>
      </c>
      <c r="L317">
        <v>52</v>
      </c>
      <c r="M317">
        <v>97</v>
      </c>
      <c r="N317" s="4">
        <v>0.0824</v>
      </c>
      <c r="O317">
        <v>8</v>
      </c>
      <c r="P317" s="5">
        <v>7</v>
      </c>
      <c r="Q317" s="4">
        <v>0</v>
      </c>
      <c r="R317">
        <v>0</v>
      </c>
      <c r="S317">
        <v>0</v>
      </c>
      <c r="T317">
        <v>0</v>
      </c>
      <c r="U317">
        <v>0</v>
      </c>
      <c r="V317">
        <v>0</v>
      </c>
      <c r="W317" s="5" t="s">
        <v>65</v>
      </c>
      <c r="X317">
        <v>0</v>
      </c>
      <c r="Y317" s="4">
        <v>0</v>
      </c>
      <c r="Z317">
        <v>0</v>
      </c>
      <c r="AA317" s="5">
        <v>0</v>
      </c>
      <c r="AB317">
        <v>0</v>
      </c>
      <c r="AC317" s="5">
        <v>0</v>
      </c>
      <c r="AD317" s="5">
        <v>56</v>
      </c>
      <c r="AE317" s="5">
        <v>0</v>
      </c>
      <c r="AF317" s="5">
        <v>56</v>
      </c>
      <c r="AG317" s="5">
        <v>0</v>
      </c>
      <c r="AH317" s="5">
        <v>0</v>
      </c>
      <c r="AI317" s="5">
        <v>0</v>
      </c>
    </row>
    <row r="318">
      <c r="A318" s="2" t="str">
        <f>HYPERLINK("https://www.avito.ru/samara/bytovaya_elektronika/3d_printer_h2c_ams_combo_dlya_inzhenerov_8053445721","8053445721")</f>
      </c>
      <c r="B318" t="s">
        <v>173</v>
      </c>
      <c r="C318" t="s">
        <v>174</v>
      </c>
      <c r="D318" t="s">
        <v>175</v>
      </c>
      <c r="E318" t="s">
        <v>38</v>
      </c>
      <c r="F318" t="s">
        <v>39</v>
      </c>
      <c r="G318" t="s">
        <v>40</v>
      </c>
      <c r="H318" s="3" t="str">
        <f>HYPERLINK("https://www.avito.ru/samara/bytovaya_elektronika/3d_printer_h2c_ams_combo_dlya_inzhenerov_8053445721","3D принтер H2C AMS Combo для инженеров")</f>
      </c>
      <c r="I318" t="s">
        <v>83</v>
      </c>
      <c r="J318" t="s">
        <v>49</v>
      </c>
      <c r="K318" t="s">
        <v>50</v>
      </c>
      <c r="L318">
        <v>52</v>
      </c>
      <c r="M318">
        <v>121</v>
      </c>
      <c r="N318" s="4">
        <v>0.0661</v>
      </c>
      <c r="O318">
        <v>8</v>
      </c>
      <c r="P318" s="5">
        <v>7</v>
      </c>
      <c r="Q318" s="4">
        <v>0.125</v>
      </c>
      <c r="R318">
        <v>1</v>
      </c>
      <c r="S318">
        <v>1</v>
      </c>
      <c r="T318">
        <v>0</v>
      </c>
      <c r="U318">
        <v>0</v>
      </c>
      <c r="V318">
        <v>0</v>
      </c>
      <c r="W318" s="5">
        <v>56</v>
      </c>
      <c r="X318">
        <v>1</v>
      </c>
      <c r="Y318" s="4">
        <v>0</v>
      </c>
      <c r="Z318">
        <v>0</v>
      </c>
      <c r="AA318" s="5">
        <v>0</v>
      </c>
      <c r="AB318">
        <v>0</v>
      </c>
      <c r="AC318" s="5">
        <v>0</v>
      </c>
      <c r="AD318" s="5">
        <v>56</v>
      </c>
      <c r="AE318" s="5">
        <v>0</v>
      </c>
      <c r="AF318" s="5">
        <v>56</v>
      </c>
      <c r="AG318" s="5">
        <v>0</v>
      </c>
      <c r="AH318" s="5">
        <v>0</v>
      </c>
      <c r="AI318" s="5">
        <v>0</v>
      </c>
    </row>
    <row r="319">
      <c r="A319" s="2" t="str">
        <f>HYPERLINK("https://www.avito.ru/habarovsk/bytovaya_elektronika/h2d_laser_40w_cn_skorostnoy_3d_printer_1000_mms_8053464798","8053464798")</f>
      </c>
      <c r="B319" t="s">
        <v>92</v>
      </c>
      <c r="C319" t="s">
        <v>93</v>
      </c>
      <c r="D319" t="s">
        <v>94</v>
      </c>
      <c r="E319" t="s">
        <v>38</v>
      </c>
      <c r="F319" t="s">
        <v>39</v>
      </c>
      <c r="G319" t="s">
        <v>40</v>
      </c>
      <c r="H319" s="3" t="str">
        <f>HYPERLINK("https://www.avito.ru/habarovsk/bytovaya_elektronika/h2d_laser_40w_cn_skorostnoy_3d_printer_1000_mms_8053464798","H2D Laser 40W CN скоростной 3D принтер 1000 мм/с")</f>
      </c>
      <c r="I319" t="s">
        <v>148</v>
      </c>
      <c r="J319" t="s">
        <v>42</v>
      </c>
      <c r="K319" t="s">
        <v>43</v>
      </c>
      <c r="L319">
        <v>50</v>
      </c>
      <c r="M319">
        <v>74</v>
      </c>
      <c r="N319" s="4">
        <v>0.1081</v>
      </c>
      <c r="O319">
        <v>8</v>
      </c>
      <c r="P319" s="5">
        <v>7</v>
      </c>
      <c r="Q319" s="4">
        <v>0</v>
      </c>
      <c r="R319">
        <v>0</v>
      </c>
      <c r="S319">
        <v>0</v>
      </c>
      <c r="T319">
        <v>0</v>
      </c>
      <c r="U319">
        <v>0</v>
      </c>
      <c r="V319">
        <v>0</v>
      </c>
      <c r="W319" s="5" t="s">
        <v>65</v>
      </c>
      <c r="X319">
        <v>0</v>
      </c>
      <c r="Y319" s="4">
        <v>0</v>
      </c>
      <c r="Z319">
        <v>0</v>
      </c>
      <c r="AA319" s="5">
        <v>0</v>
      </c>
      <c r="AB319">
        <v>0</v>
      </c>
      <c r="AC319" s="5">
        <v>0</v>
      </c>
      <c r="AD319" s="5">
        <v>56</v>
      </c>
      <c r="AE319" s="5">
        <v>0</v>
      </c>
      <c r="AF319" s="5">
        <v>56</v>
      </c>
      <c r="AG319" s="5">
        <v>0</v>
      </c>
      <c r="AH319" s="5">
        <v>0</v>
      </c>
      <c r="AI319" s="5">
        <v>0</v>
      </c>
    </row>
    <row r="320">
      <c r="A320" s="2" t="str">
        <f>HYPERLINK("https://www.avito.ru/vladivostok/bytovaya_elektronika/h2d_combo_ams_2_pro_3d_printer_s_softom_cn_8053600026","8053600026")</f>
      </c>
      <c r="B320" t="s">
        <v>190</v>
      </c>
      <c r="C320" t="s">
        <v>191</v>
      </c>
      <c r="D320" t="s">
        <v>192</v>
      </c>
      <c r="E320" t="s">
        <v>38</v>
      </c>
      <c r="F320" t="s">
        <v>39</v>
      </c>
      <c r="G320" t="s">
        <v>40</v>
      </c>
      <c r="H320" s="3" t="str">
        <f>HYPERLINK("https://www.avito.ru/vladivostok/bytovaya_elektronika/h2d_combo_ams_2_pro_3d_printer_s_softom_cn_8053600026","H2D Combo AMS 2 Pro 3D принтер с софтом CN")</f>
      </c>
      <c r="I320" t="s">
        <v>41</v>
      </c>
      <c r="J320" t="s">
        <v>42</v>
      </c>
      <c r="K320" t="s">
        <v>43</v>
      </c>
      <c r="L320">
        <v>50</v>
      </c>
      <c r="M320">
        <v>69</v>
      </c>
      <c r="N320" s="4">
        <v>0.1159</v>
      </c>
      <c r="O320">
        <v>8</v>
      </c>
      <c r="P320" s="5">
        <v>7</v>
      </c>
      <c r="Q320" s="4">
        <v>0</v>
      </c>
      <c r="R320">
        <v>0</v>
      </c>
      <c r="S320">
        <v>0</v>
      </c>
      <c r="T320">
        <v>0</v>
      </c>
      <c r="U320">
        <v>0</v>
      </c>
      <c r="V320">
        <v>0</v>
      </c>
      <c r="W320" s="5" t="s">
        <v>65</v>
      </c>
      <c r="X320">
        <v>0</v>
      </c>
      <c r="Y320" s="4">
        <v>0</v>
      </c>
      <c r="Z320">
        <v>0</v>
      </c>
      <c r="AA320" s="5">
        <v>0</v>
      </c>
      <c r="AB320">
        <v>0</v>
      </c>
      <c r="AC320" s="5">
        <v>0</v>
      </c>
      <c r="AD320" s="5">
        <v>56</v>
      </c>
      <c r="AE320" s="5">
        <v>0</v>
      </c>
      <c r="AF320" s="5">
        <v>56</v>
      </c>
      <c r="AG320" s="5">
        <v>0</v>
      </c>
      <c r="AH320" s="5">
        <v>0</v>
      </c>
      <c r="AI320" s="5">
        <v>0</v>
      </c>
    </row>
    <row r="321">
      <c r="A321" s="2" t="str">
        <f>HYPERLINK("https://www.avito.ru/nizhniy_novgorod/bytovaya_elektronika/h2d_combo_ams_2_pro_3d_printer_350c_8053668217","8053668217")</f>
      </c>
      <c r="B321" t="s">
        <v>125</v>
      </c>
      <c r="C321" t="s">
        <v>126</v>
      </c>
      <c r="D321" t="s">
        <v>127</v>
      </c>
      <c r="E321" t="s">
        <v>38</v>
      </c>
      <c r="F321" t="s">
        <v>39</v>
      </c>
      <c r="G321" t="s">
        <v>40</v>
      </c>
      <c r="H321" s="3" t="str">
        <f>HYPERLINK("https://www.avito.ru/nizhniy_novgorod/bytovaya_elektronika/h2d_combo_ams_2_pro_3d_printer_350c_8053668217","H2D Combo AMS 2 Pro 3D принтер 350C")</f>
      </c>
      <c r="I321" t="s">
        <v>91</v>
      </c>
      <c r="J321" t="s">
        <v>42</v>
      </c>
      <c r="K321" t="s">
        <v>43</v>
      </c>
      <c r="L321">
        <v>50</v>
      </c>
      <c r="M321">
        <v>180</v>
      </c>
      <c r="N321" s="4">
        <v>0.0444</v>
      </c>
      <c r="O321">
        <v>8</v>
      </c>
      <c r="P321" s="5">
        <v>7</v>
      </c>
      <c r="Q321" s="4">
        <v>0</v>
      </c>
      <c r="R321">
        <v>0</v>
      </c>
      <c r="S321">
        <v>0</v>
      </c>
      <c r="T321">
        <v>0</v>
      </c>
      <c r="U321">
        <v>0</v>
      </c>
      <c r="V321">
        <v>0</v>
      </c>
      <c r="W321" s="5" t="s">
        <v>65</v>
      </c>
      <c r="X321">
        <v>0</v>
      </c>
      <c r="Y321" s="4">
        <v>0</v>
      </c>
      <c r="Z321">
        <v>0</v>
      </c>
      <c r="AA321" s="5">
        <v>0</v>
      </c>
      <c r="AB321">
        <v>0</v>
      </c>
      <c r="AC321" s="5">
        <v>0</v>
      </c>
      <c r="AD321" s="5">
        <v>56</v>
      </c>
      <c r="AE321" s="5">
        <v>0</v>
      </c>
      <c r="AF321" s="5">
        <v>56</v>
      </c>
      <c r="AG321" s="5">
        <v>0</v>
      </c>
      <c r="AH321" s="5">
        <v>0</v>
      </c>
      <c r="AI321" s="5">
        <v>0</v>
      </c>
    </row>
    <row r="322">
      <c r="A322" s="2" t="str">
        <f>HYPERLINK("https://www.avito.ru/barnaul/bytovaya_elektronika/h2d_combo_ams_2_pro_3d_printer_120c_stol_8053865037","8053865037")</f>
      </c>
      <c r="B322" t="s">
        <v>158</v>
      </c>
      <c r="C322" t="s">
        <v>159</v>
      </c>
      <c r="D322" t="s">
        <v>160</v>
      </c>
      <c r="E322" t="s">
        <v>38</v>
      </c>
      <c r="F322" t="s">
        <v>39</v>
      </c>
      <c r="G322" t="s">
        <v>40</v>
      </c>
      <c r="H322" s="3" t="str">
        <f>HYPERLINK("https://www.avito.ru/barnaul/bytovaya_elektronika/h2d_combo_ams_2_pro_3d_printer_120c_stol_8053865037","H2D Combo AMS 2 Pro 3D принтер 120C стол")</f>
      </c>
      <c r="I322" t="s">
        <v>91</v>
      </c>
      <c r="J322" t="s">
        <v>42</v>
      </c>
      <c r="K322" t="s">
        <v>43</v>
      </c>
      <c r="L322">
        <v>50</v>
      </c>
      <c r="M322">
        <v>107</v>
      </c>
      <c r="N322" s="4">
        <v>0.0747</v>
      </c>
      <c r="O322">
        <v>8</v>
      </c>
      <c r="P322" s="5">
        <v>7</v>
      </c>
      <c r="Q322" s="4">
        <v>0</v>
      </c>
      <c r="R322">
        <v>0</v>
      </c>
      <c r="S322">
        <v>0</v>
      </c>
      <c r="T322">
        <v>0</v>
      </c>
      <c r="U322">
        <v>0</v>
      </c>
      <c r="V322">
        <v>0</v>
      </c>
      <c r="W322" s="5" t="s">
        <v>65</v>
      </c>
      <c r="X322">
        <v>0</v>
      </c>
      <c r="Y322" s="4">
        <v>0</v>
      </c>
      <c r="Z322">
        <v>0</v>
      </c>
      <c r="AA322" s="5">
        <v>0</v>
      </c>
      <c r="AB322">
        <v>0</v>
      </c>
      <c r="AC322" s="5">
        <v>0</v>
      </c>
      <c r="AD322" s="5">
        <v>56</v>
      </c>
      <c r="AE322" s="5">
        <v>0</v>
      </c>
      <c r="AF322" s="5">
        <v>56</v>
      </c>
      <c r="AG322" s="5">
        <v>0</v>
      </c>
      <c r="AH322" s="5">
        <v>0</v>
      </c>
      <c r="AI322" s="5">
        <v>0</v>
      </c>
    </row>
    <row r="323">
      <c r="A323" s="2" t="str">
        <f>HYPERLINK("https://www.avito.ru/moskva/bytovaya_elektronika/3d-printer_snapmaker_u1_7989611534","7989611534")</f>
      </c>
      <c r="B323" t="s">
        <v>35</v>
      </c>
      <c r="C323" t="s">
        <v>36</v>
      </c>
      <c r="D323" t="s">
        <v>96</v>
      </c>
      <c r="E323" t="s">
        <v>38</v>
      </c>
      <c r="F323" t="s">
        <v>39</v>
      </c>
      <c r="G323" t="s">
        <v>40</v>
      </c>
      <c r="H323" s="3" t="str">
        <f>HYPERLINK("https://www.avito.ru/moskva/bytovaya_elektronika/3d-printer_snapmaker_u1_7989611534","3D-принтер Snapmaker U1")</f>
      </c>
      <c r="I323" t="s">
        <v>241</v>
      </c>
      <c r="J323" t="s">
        <v>97</v>
      </c>
      <c r="K323" t="s">
        <v>98</v>
      </c>
      <c r="L323">
        <v>79</v>
      </c>
      <c r="M323">
        <v>101</v>
      </c>
      <c r="N323" s="4">
        <v>0.0693</v>
      </c>
      <c r="O323">
        <v>7</v>
      </c>
      <c r="P323" s="5">
        <v>3.13</v>
      </c>
      <c r="Q323" s="4">
        <v>0</v>
      </c>
      <c r="R323">
        <v>0</v>
      </c>
      <c r="S323">
        <v>0</v>
      </c>
      <c r="T323">
        <v>0</v>
      </c>
      <c r="U323">
        <v>0</v>
      </c>
      <c r="V323">
        <v>0</v>
      </c>
      <c r="W323" s="5" t="s">
        <v>65</v>
      </c>
      <c r="X323">
        <v>0</v>
      </c>
      <c r="Y323" s="4">
        <v>0</v>
      </c>
      <c r="Z323">
        <v>0</v>
      </c>
      <c r="AA323" s="5">
        <v>0</v>
      </c>
      <c r="AB323">
        <v>0</v>
      </c>
      <c r="AC323" s="5">
        <v>0</v>
      </c>
      <c r="AD323" s="5">
        <v>21.91</v>
      </c>
      <c r="AE323" s="5">
        <v>0</v>
      </c>
      <c r="AF323" s="5">
        <v>21.91</v>
      </c>
      <c r="AG323" s="5">
        <v>0</v>
      </c>
      <c r="AH323" s="5">
        <v>0</v>
      </c>
      <c r="AI323" s="5">
        <v>0</v>
      </c>
    </row>
    <row r="324">
      <c r="A324" s="2" t="str">
        <f>HYPERLINK("https://www.avito.ru/kemerovo/bytovaya_elektronika/h2d_combo_ams2_pro_eu_3d_printer_8052908253","8052908253")</f>
      </c>
      <c r="B324" t="s">
        <v>99</v>
      </c>
      <c r="C324" t="s">
        <v>100</v>
      </c>
      <c r="D324" t="s">
        <v>242</v>
      </c>
      <c r="E324" t="s">
        <v>38</v>
      </c>
      <c r="F324" t="s">
        <v>39</v>
      </c>
      <c r="G324" t="s">
        <v>40</v>
      </c>
      <c r="H324" s="3" t="str">
        <f>HYPERLINK("https://www.avito.ru/kemerovo/bytovaya_elektronika/h2d_combo_ams2_pro_eu_3d_printer_8052908253","H2D Combo AMS2 Pro EU 3D принтер")</f>
      </c>
      <c r="I324" t="s">
        <v>91</v>
      </c>
      <c r="J324" t="s">
        <v>49</v>
      </c>
      <c r="K324" t="s">
        <v>50</v>
      </c>
      <c r="L324">
        <v>52</v>
      </c>
      <c r="M324">
        <v>64</v>
      </c>
      <c r="N324" s="4">
        <v>0.1093</v>
      </c>
      <c r="O324">
        <v>7</v>
      </c>
      <c r="P324" s="5">
        <v>8</v>
      </c>
      <c r="Q324" s="4">
        <v>0</v>
      </c>
      <c r="R324">
        <v>0</v>
      </c>
      <c r="S324">
        <v>0</v>
      </c>
      <c r="T324">
        <v>0</v>
      </c>
      <c r="U324">
        <v>0</v>
      </c>
      <c r="V324">
        <v>0</v>
      </c>
      <c r="W324" s="5" t="s">
        <v>65</v>
      </c>
      <c r="X324">
        <v>1</v>
      </c>
      <c r="Y324" s="4">
        <v>0</v>
      </c>
      <c r="Z324">
        <v>0</v>
      </c>
      <c r="AA324" s="5">
        <v>0</v>
      </c>
      <c r="AB324">
        <v>0</v>
      </c>
      <c r="AC324" s="5">
        <v>0</v>
      </c>
      <c r="AD324" s="5">
        <v>56</v>
      </c>
      <c r="AE324" s="5">
        <v>0</v>
      </c>
      <c r="AF324" s="5">
        <v>56</v>
      </c>
      <c r="AG324" s="5">
        <v>0</v>
      </c>
      <c r="AH324" s="5">
        <v>0</v>
      </c>
      <c r="AI324" s="5">
        <v>0</v>
      </c>
    </row>
    <row r="325">
      <c r="A325" s="2" t="str">
        <f>HYPERLINK("https://www.avito.ru/yaroslavl/bytovaya_elektronika/bambu_lab_h2d_laser_40w_cn_350h320h325_mm_8052949840","8052949840")</f>
      </c>
      <c r="B325" t="s">
        <v>176</v>
      </c>
      <c r="C325" t="s">
        <v>177</v>
      </c>
      <c r="D325" t="s">
        <v>178</v>
      </c>
      <c r="E325" t="s">
        <v>38</v>
      </c>
      <c r="F325" t="s">
        <v>39</v>
      </c>
      <c r="G325" t="s">
        <v>40</v>
      </c>
      <c r="H325" s="3" t="str">
        <f>HYPERLINK("https://www.avito.ru/yaroslavl/bytovaya_elektronika/bambu_lab_h2d_laser_40w_cn_350h320h325_mm_8052949840","Bambu Lab H2D Laser 40W CN 350х320х325 мм")</f>
      </c>
      <c r="I325" t="s">
        <v>148</v>
      </c>
      <c r="J325" t="s">
        <v>42</v>
      </c>
      <c r="K325" t="s">
        <v>43</v>
      </c>
      <c r="L325">
        <v>50</v>
      </c>
      <c r="M325">
        <v>92</v>
      </c>
      <c r="N325" s="4">
        <v>0.076</v>
      </c>
      <c r="O325">
        <v>7</v>
      </c>
      <c r="P325" s="5">
        <v>8</v>
      </c>
      <c r="Q325" s="4">
        <v>0</v>
      </c>
      <c r="R325">
        <v>0</v>
      </c>
      <c r="S325">
        <v>0</v>
      </c>
      <c r="T325">
        <v>0</v>
      </c>
      <c r="U325">
        <v>0</v>
      </c>
      <c r="V325">
        <v>0</v>
      </c>
      <c r="W325" s="5" t="s">
        <v>65</v>
      </c>
      <c r="X325">
        <v>0</v>
      </c>
      <c r="Y325" s="4">
        <v>0</v>
      </c>
      <c r="Z325">
        <v>0</v>
      </c>
      <c r="AA325" s="5">
        <v>0</v>
      </c>
      <c r="AB325">
        <v>0</v>
      </c>
      <c r="AC325" s="5">
        <v>0</v>
      </c>
      <c r="AD325" s="5">
        <v>56</v>
      </c>
      <c r="AE325" s="5">
        <v>0</v>
      </c>
      <c r="AF325" s="5">
        <v>56</v>
      </c>
      <c r="AG325" s="5">
        <v>0</v>
      </c>
      <c r="AH325" s="5">
        <v>0</v>
      </c>
      <c r="AI325" s="5">
        <v>0</v>
      </c>
    </row>
    <row r="326">
      <c r="A326" s="2" t="str">
        <f>HYPERLINK("https://www.avito.ru/voronezh/bytovaya_elektronika/bambu_lab_h2d_combo_ams2_pro_eu_dlya_biznesa_8052972648","8052972648")</f>
      </c>
      <c r="B326" t="s">
        <v>109</v>
      </c>
      <c r="C326" t="s">
        <v>110</v>
      </c>
      <c r="D326" t="s">
        <v>243</v>
      </c>
      <c r="E326" t="s">
        <v>38</v>
      </c>
      <c r="F326" t="s">
        <v>39</v>
      </c>
      <c r="G326" t="s">
        <v>40</v>
      </c>
      <c r="H326" s="3" t="str">
        <f>HYPERLINK("https://www.avito.ru/voronezh/bytovaya_elektronika/bambu_lab_h2d_combo_ams2_pro_eu_dlya_biznesa_8052972648","Bambu Lab H2D Combo AMS2 Pro EU для бизнеса")</f>
      </c>
      <c r="I326" t="s">
        <v>91</v>
      </c>
      <c r="J326" t="s">
        <v>49</v>
      </c>
      <c r="K326" t="s">
        <v>50</v>
      </c>
      <c r="L326">
        <v>52</v>
      </c>
      <c r="M326">
        <v>65</v>
      </c>
      <c r="N326" s="4">
        <v>0.1076</v>
      </c>
      <c r="O326">
        <v>7</v>
      </c>
      <c r="P326" s="5">
        <v>8</v>
      </c>
      <c r="Q326" s="4">
        <v>0</v>
      </c>
      <c r="R326">
        <v>0</v>
      </c>
      <c r="S326">
        <v>0</v>
      </c>
      <c r="T326">
        <v>0</v>
      </c>
      <c r="U326">
        <v>0</v>
      </c>
      <c r="V326">
        <v>0</v>
      </c>
      <c r="W326" s="5" t="s">
        <v>65</v>
      </c>
      <c r="X326">
        <v>0</v>
      </c>
      <c r="Y326" s="4">
        <v>0</v>
      </c>
      <c r="Z326">
        <v>0</v>
      </c>
      <c r="AA326" s="5">
        <v>0</v>
      </c>
      <c r="AB326">
        <v>0</v>
      </c>
      <c r="AC326" s="5">
        <v>0</v>
      </c>
      <c r="AD326" s="5">
        <v>56</v>
      </c>
      <c r="AE326" s="5">
        <v>0</v>
      </c>
      <c r="AF326" s="5">
        <v>56</v>
      </c>
      <c r="AG326" s="5">
        <v>0</v>
      </c>
      <c r="AH326" s="5">
        <v>0</v>
      </c>
      <c r="AI326" s="5">
        <v>0</v>
      </c>
    </row>
    <row r="327">
      <c r="A327" s="2" t="str">
        <f>HYPERLINK("https://www.avito.ru/perm/bytovaya_elektronika/h2s_laser_10w_dlya_pechati_i_gravirovki_eu_8053023712","8053023712")</f>
      </c>
      <c r="B327" t="s">
        <v>61</v>
      </c>
      <c r="C327" t="s">
        <v>62</v>
      </c>
      <c r="D327" t="s">
        <v>63</v>
      </c>
      <c r="E327" t="s">
        <v>38</v>
      </c>
      <c r="F327" t="s">
        <v>39</v>
      </c>
      <c r="G327" t="s">
        <v>40</v>
      </c>
      <c r="H327" s="3" t="str">
        <f>HYPERLINK("https://www.avito.ru/perm/bytovaya_elektronika/h2s_laser_10w_dlya_pechati_i_gravirovki_eu_8053023712","H2S Laser 10W для печати и гравировки EU")</f>
      </c>
      <c r="I327" t="s">
        <v>129</v>
      </c>
      <c r="J327" t="s">
        <v>115</v>
      </c>
      <c r="K327" t="s">
        <v>116</v>
      </c>
      <c r="L327">
        <v>51</v>
      </c>
      <c r="M327">
        <v>191</v>
      </c>
      <c r="N327" s="4">
        <v>0.0366</v>
      </c>
      <c r="O327">
        <v>7</v>
      </c>
      <c r="P327" s="5">
        <v>8</v>
      </c>
      <c r="Q327" s="4">
        <v>0</v>
      </c>
      <c r="R327">
        <v>0</v>
      </c>
      <c r="S327">
        <v>0</v>
      </c>
      <c r="T327">
        <v>0</v>
      </c>
      <c r="U327">
        <v>0</v>
      </c>
      <c r="V327">
        <v>0</v>
      </c>
      <c r="W327" s="5" t="s">
        <v>65</v>
      </c>
      <c r="X327">
        <v>0</v>
      </c>
      <c r="Y327" s="4">
        <v>0</v>
      </c>
      <c r="Z327">
        <v>0</v>
      </c>
      <c r="AA327" s="5">
        <v>0</v>
      </c>
      <c r="AB327">
        <v>0</v>
      </c>
      <c r="AC327" s="5">
        <v>0</v>
      </c>
      <c r="AD327" s="5">
        <v>56</v>
      </c>
      <c r="AE327" s="5">
        <v>0</v>
      </c>
      <c r="AF327" s="5">
        <v>56</v>
      </c>
      <c r="AG327" s="5">
        <v>0</v>
      </c>
      <c r="AH327" s="5">
        <v>0</v>
      </c>
      <c r="AI327" s="5">
        <v>0</v>
      </c>
    </row>
    <row r="328">
      <c r="A328" s="2" t="str">
        <f>HYPERLINK("https://www.avito.ru/nizhniy_novgorod/bytovaya_elektronika/bambu_lab_h2s_eu_3d-printer_dlya_inzhenernoy_pechati_8053141609","8053141609")</f>
      </c>
      <c r="B328" t="s">
        <v>125</v>
      </c>
      <c r="C328" t="s">
        <v>126</v>
      </c>
      <c r="D328" t="s">
        <v>127</v>
      </c>
      <c r="E328" t="s">
        <v>38</v>
      </c>
      <c r="F328" t="s">
        <v>39</v>
      </c>
      <c r="G328" t="s">
        <v>40</v>
      </c>
      <c r="H328" s="3" t="str">
        <f>HYPERLINK("https://www.avito.ru/nizhniy_novgorod/bytovaya_elektronika/bambu_lab_h2s_eu_3d-printer_dlya_inzhenernoy_pechati_8053141609","Bambu Lab H2S EU 3D-принтер для инженерной печати")</f>
      </c>
      <c r="I328" t="s">
        <v>48</v>
      </c>
      <c r="J328" t="s">
        <v>49</v>
      </c>
      <c r="K328" t="s">
        <v>50</v>
      </c>
      <c r="L328">
        <v>52</v>
      </c>
      <c r="M328">
        <v>57</v>
      </c>
      <c r="N328" s="4">
        <v>0.1228</v>
      </c>
      <c r="O328">
        <v>7</v>
      </c>
      <c r="P328" s="5">
        <v>8</v>
      </c>
      <c r="Q328" s="4">
        <v>0</v>
      </c>
      <c r="R328">
        <v>0</v>
      </c>
      <c r="S328">
        <v>0</v>
      </c>
      <c r="T328">
        <v>0</v>
      </c>
      <c r="U328">
        <v>0</v>
      </c>
      <c r="V328">
        <v>0</v>
      </c>
      <c r="W328" s="5" t="s">
        <v>65</v>
      </c>
      <c r="X328">
        <v>0</v>
      </c>
      <c r="Y328" s="4">
        <v>0</v>
      </c>
      <c r="Z328">
        <v>0</v>
      </c>
      <c r="AA328" s="5">
        <v>0</v>
      </c>
      <c r="AB328">
        <v>0</v>
      </c>
      <c r="AC328" s="5">
        <v>0</v>
      </c>
      <c r="AD328" s="5">
        <v>56</v>
      </c>
      <c r="AE328" s="5">
        <v>0</v>
      </c>
      <c r="AF328" s="5">
        <v>56</v>
      </c>
      <c r="AG328" s="5">
        <v>0</v>
      </c>
      <c r="AH328" s="5">
        <v>0</v>
      </c>
      <c r="AI328" s="5">
        <v>0</v>
      </c>
    </row>
    <row r="329">
      <c r="A329" s="2" t="str">
        <f>HYPERLINK("https://www.avito.ru/cheboksary/bytovaya_elektronika/3d_printer_h2d_combo_ams_2_pro_v_moskve_novyy_8053192987","8053192987")</f>
      </c>
      <c r="B329" t="s">
        <v>155</v>
      </c>
      <c r="C329" t="s">
        <v>156</v>
      </c>
      <c r="D329" t="s">
        <v>157</v>
      </c>
      <c r="E329" t="s">
        <v>38</v>
      </c>
      <c r="F329" t="s">
        <v>39</v>
      </c>
      <c r="G329" t="s">
        <v>40</v>
      </c>
      <c r="H329" s="3" t="str">
        <f>HYPERLINK("https://www.avito.ru/cheboksary/bytovaya_elektronika/3d_printer_h2d_combo_ams_2_pro_v_moskve_novyy_8053192987","3D принтер H2D Combo AMS 2 Pro в Москве Новый")</f>
      </c>
      <c r="I329" t="s">
        <v>91</v>
      </c>
      <c r="J329" t="s">
        <v>42</v>
      </c>
      <c r="K329" t="s">
        <v>43</v>
      </c>
      <c r="L329">
        <v>50</v>
      </c>
      <c r="M329">
        <v>57</v>
      </c>
      <c r="N329" s="4">
        <v>0.1228</v>
      </c>
      <c r="O329">
        <v>7</v>
      </c>
      <c r="P329" s="5">
        <v>8</v>
      </c>
      <c r="Q329" s="4">
        <v>0</v>
      </c>
      <c r="R329">
        <v>0</v>
      </c>
      <c r="S329">
        <v>0</v>
      </c>
      <c r="T329">
        <v>0</v>
      </c>
      <c r="U329">
        <v>0</v>
      </c>
      <c r="V329">
        <v>0</v>
      </c>
      <c r="W329" s="5" t="s">
        <v>65</v>
      </c>
      <c r="X329">
        <v>0</v>
      </c>
      <c r="Y329" s="4">
        <v>0</v>
      </c>
      <c r="Z329">
        <v>0</v>
      </c>
      <c r="AA329" s="5">
        <v>0</v>
      </c>
      <c r="AB329">
        <v>0</v>
      </c>
      <c r="AC329" s="5">
        <v>0</v>
      </c>
      <c r="AD329" s="5">
        <v>56</v>
      </c>
      <c r="AE329" s="5">
        <v>0</v>
      </c>
      <c r="AF329" s="5">
        <v>56</v>
      </c>
      <c r="AG329" s="5">
        <v>0</v>
      </c>
      <c r="AH329" s="5">
        <v>0</v>
      </c>
      <c r="AI329" s="5">
        <v>0</v>
      </c>
    </row>
    <row r="330">
      <c r="A330" s="2" t="str">
        <f>HYPERLINK("https://www.avito.ru/rostov-na-donu/bytovaya_elektronika/3d_printer_elegoo_giga_storm_300_mms_8053229498","8053229498")</f>
      </c>
      <c r="B330" t="s">
        <v>88</v>
      </c>
      <c r="C330" t="s">
        <v>89</v>
      </c>
      <c r="D330" t="s">
        <v>90</v>
      </c>
      <c r="E330" t="s">
        <v>38</v>
      </c>
      <c r="F330" t="s">
        <v>39</v>
      </c>
      <c r="G330" t="s">
        <v>40</v>
      </c>
      <c r="H330" s="3" t="str">
        <f>HYPERLINK("https://www.avito.ru/rostov-na-donu/bytovaya_elektronika/3d_printer_elegoo_giga_storm_300_mms_8053229498","3D принтер Elegoo Giga Storm 300 мм/с")</f>
      </c>
      <c r="I330" t="s">
        <v>64</v>
      </c>
      <c r="J330" t="s">
        <v>42</v>
      </c>
      <c r="K330" t="s">
        <v>43</v>
      </c>
      <c r="L330">
        <v>50</v>
      </c>
      <c r="M330">
        <v>97</v>
      </c>
      <c r="N330" s="4">
        <v>0.0721</v>
      </c>
      <c r="O330">
        <v>7</v>
      </c>
      <c r="P330" s="5">
        <v>8</v>
      </c>
      <c r="Q330" s="4">
        <v>0</v>
      </c>
      <c r="R330">
        <v>0</v>
      </c>
      <c r="S330">
        <v>0</v>
      </c>
      <c r="T330">
        <v>0</v>
      </c>
      <c r="U330">
        <v>0</v>
      </c>
      <c r="V330">
        <v>0</v>
      </c>
      <c r="W330" s="5" t="s">
        <v>65</v>
      </c>
      <c r="X330">
        <v>0</v>
      </c>
      <c r="Y330" s="4">
        <v>0</v>
      </c>
      <c r="Z330">
        <v>0</v>
      </c>
      <c r="AA330" s="5">
        <v>0</v>
      </c>
      <c r="AB330">
        <v>0</v>
      </c>
      <c r="AC330" s="5">
        <v>0</v>
      </c>
      <c r="AD330" s="5">
        <v>56</v>
      </c>
      <c r="AE330" s="5">
        <v>0</v>
      </c>
      <c r="AF330" s="5">
        <v>56</v>
      </c>
      <c r="AG330" s="5">
        <v>0</v>
      </c>
      <c r="AH330" s="5">
        <v>0</v>
      </c>
      <c r="AI330" s="5">
        <v>0</v>
      </c>
    </row>
    <row r="331">
      <c r="A331" s="2" t="str">
        <f>HYPERLINK("https://www.avito.ru/ufa/bytovaya_elektronika/3d_printer_h2c_ams_combo_dlya_biznesa_8053386158","8053386158")</f>
      </c>
      <c r="B331" t="s">
        <v>179</v>
      </c>
      <c r="C331" t="s">
        <v>180</v>
      </c>
      <c r="D331" t="s">
        <v>181</v>
      </c>
      <c r="E331" t="s">
        <v>38</v>
      </c>
      <c r="F331" t="s">
        <v>39</v>
      </c>
      <c r="G331" t="s">
        <v>40</v>
      </c>
      <c r="H331" s="3" t="str">
        <f>HYPERLINK("https://www.avito.ru/ufa/bytovaya_elektronika/3d_printer_h2c_ams_combo_dlya_biznesa_8053386158","3D принтер H2C AMS Combo для бизнеса")</f>
      </c>
      <c r="I331" t="s">
        <v>83</v>
      </c>
      <c r="J331" t="s">
        <v>49</v>
      </c>
      <c r="K331" t="s">
        <v>50</v>
      </c>
      <c r="L331">
        <v>52</v>
      </c>
      <c r="M331">
        <v>43</v>
      </c>
      <c r="N331" s="4">
        <v>0.1627</v>
      </c>
      <c r="O331">
        <v>7</v>
      </c>
      <c r="P331" s="5">
        <v>8</v>
      </c>
      <c r="Q331" s="4">
        <v>0</v>
      </c>
      <c r="R331">
        <v>0</v>
      </c>
      <c r="S331">
        <v>0</v>
      </c>
      <c r="T331">
        <v>0</v>
      </c>
      <c r="U331">
        <v>0</v>
      </c>
      <c r="V331">
        <v>0</v>
      </c>
      <c r="W331" s="5" t="s">
        <v>65</v>
      </c>
      <c r="X331">
        <v>0</v>
      </c>
      <c r="Y331" s="4">
        <v>0</v>
      </c>
      <c r="Z331">
        <v>0</v>
      </c>
      <c r="AA331" s="5">
        <v>0</v>
      </c>
      <c r="AB331">
        <v>0</v>
      </c>
      <c r="AC331" s="5">
        <v>0</v>
      </c>
      <c r="AD331" s="5">
        <v>56</v>
      </c>
      <c r="AE331" s="5">
        <v>0</v>
      </c>
      <c r="AF331" s="5">
        <v>56</v>
      </c>
      <c r="AG331" s="5">
        <v>0</v>
      </c>
      <c r="AH331" s="5">
        <v>0</v>
      </c>
      <c r="AI331" s="5">
        <v>0</v>
      </c>
    </row>
    <row r="332">
      <c r="A332" s="2" t="str">
        <f>HYPERLINK("https://www.avito.ru/tyumen/bytovaya_elektronika/3d_printer_h2d_combo_ams_2_pro_350_gradusov_8053444051","8053444051")</f>
      </c>
      <c r="B332" t="s">
        <v>145</v>
      </c>
      <c r="C332" t="s">
        <v>146</v>
      </c>
      <c r="D332" t="s">
        <v>147</v>
      </c>
      <c r="E332" t="s">
        <v>38</v>
      </c>
      <c r="F332" t="s">
        <v>39</v>
      </c>
      <c r="G332" t="s">
        <v>40</v>
      </c>
      <c r="H332" s="3" t="str">
        <f>HYPERLINK("https://www.avito.ru/tyumen/bytovaya_elektronika/3d_printer_h2d_combo_ams_2_pro_350_gradusov_8053444051","3D принтер H2D Combo AMS 2 Pro 350 градусов")</f>
      </c>
      <c r="I332" t="s">
        <v>91</v>
      </c>
      <c r="J332" t="s">
        <v>42</v>
      </c>
      <c r="K332" t="s">
        <v>43</v>
      </c>
      <c r="L332">
        <v>50</v>
      </c>
      <c r="M332">
        <v>107</v>
      </c>
      <c r="N332" s="4">
        <v>0.0654</v>
      </c>
      <c r="O332">
        <v>7</v>
      </c>
      <c r="P332" s="5">
        <v>8</v>
      </c>
      <c r="Q332" s="4">
        <v>0</v>
      </c>
      <c r="R332">
        <v>0</v>
      </c>
      <c r="S332">
        <v>0</v>
      </c>
      <c r="T332">
        <v>0</v>
      </c>
      <c r="U332">
        <v>0</v>
      </c>
      <c r="V332">
        <v>0</v>
      </c>
      <c r="W332" s="5" t="s">
        <v>65</v>
      </c>
      <c r="X332">
        <v>0</v>
      </c>
      <c r="Y332" s="4">
        <v>0</v>
      </c>
      <c r="Z332">
        <v>0</v>
      </c>
      <c r="AA332" s="5">
        <v>0</v>
      </c>
      <c r="AB332">
        <v>0</v>
      </c>
      <c r="AC332" s="5">
        <v>0</v>
      </c>
      <c r="AD332" s="5">
        <v>56</v>
      </c>
      <c r="AE332" s="5">
        <v>0</v>
      </c>
      <c r="AF332" s="5">
        <v>56</v>
      </c>
      <c r="AG332" s="5">
        <v>0</v>
      </c>
      <c r="AH332" s="5">
        <v>0</v>
      </c>
      <c r="AI332" s="5">
        <v>0</v>
      </c>
    </row>
    <row r="333">
      <c r="A333" s="2" t="str">
        <f>HYPERLINK("https://www.avito.ru/barnaul/bytovaya_elektronika/bambu_lab_h2s_laser_10w_novyy_8053467870","8053467870")</f>
      </c>
      <c r="B333" t="s">
        <v>158</v>
      </c>
      <c r="C333" t="s">
        <v>159</v>
      </c>
      <c r="D333" t="s">
        <v>160</v>
      </c>
      <c r="E333" t="s">
        <v>38</v>
      </c>
      <c r="F333" t="s">
        <v>39</v>
      </c>
      <c r="G333" t="s">
        <v>40</v>
      </c>
      <c r="H333" s="3" t="str">
        <f>HYPERLINK("https://www.avito.ru/barnaul/bytovaya_elektronika/bambu_lab_h2s_laser_10w_novyy_8053467870","Bambu Lab H2S Laser 10W новый")</f>
      </c>
      <c r="I333" t="s">
        <v>129</v>
      </c>
      <c r="J333" t="s">
        <v>115</v>
      </c>
      <c r="K333" t="s">
        <v>116</v>
      </c>
      <c r="L333">
        <v>51</v>
      </c>
      <c r="M333">
        <v>183</v>
      </c>
      <c r="N333" s="4">
        <v>0.0382</v>
      </c>
      <c r="O333">
        <v>7</v>
      </c>
      <c r="P333" s="5">
        <v>8</v>
      </c>
      <c r="Q333" s="4">
        <v>0</v>
      </c>
      <c r="R333">
        <v>0</v>
      </c>
      <c r="S333">
        <v>0</v>
      </c>
      <c r="T333">
        <v>0</v>
      </c>
      <c r="U333">
        <v>0</v>
      </c>
      <c r="V333">
        <v>0</v>
      </c>
      <c r="W333" s="5" t="s">
        <v>65</v>
      </c>
      <c r="X333">
        <v>0</v>
      </c>
      <c r="Y333" s="4">
        <v>0</v>
      </c>
      <c r="Z333">
        <v>0</v>
      </c>
      <c r="AA333" s="5">
        <v>0</v>
      </c>
      <c r="AB333">
        <v>0</v>
      </c>
      <c r="AC333" s="5">
        <v>0</v>
      </c>
      <c r="AD333" s="5">
        <v>56</v>
      </c>
      <c r="AE333" s="5">
        <v>0</v>
      </c>
      <c r="AF333" s="5">
        <v>56</v>
      </c>
      <c r="AG333" s="5">
        <v>0</v>
      </c>
      <c r="AH333" s="5">
        <v>0</v>
      </c>
      <c r="AI333" s="5">
        <v>0</v>
      </c>
    </row>
    <row r="334">
      <c r="A334" s="2" t="str">
        <f>HYPERLINK("https://www.avito.ru/novosibirsk/bytovaya_elektronika/3d_printer_h2c_ams_combo_eu_versiya_dlya_biznesa_8053482266","8053482266")</f>
      </c>
      <c r="B334" t="s">
        <v>142</v>
      </c>
      <c r="C334" t="s">
        <v>143</v>
      </c>
      <c r="D334" t="s">
        <v>144</v>
      </c>
      <c r="E334" t="s">
        <v>38</v>
      </c>
      <c r="F334" t="s">
        <v>39</v>
      </c>
      <c r="G334" t="s">
        <v>40</v>
      </c>
      <c r="H334" s="3" t="str">
        <f>HYPERLINK("https://www.avito.ru/novosibirsk/bytovaya_elektronika/3d_printer_h2c_ams_combo_eu_versiya_dlya_biznesa_8053482266","3Д принтер H2C AMS Combo EU версия для бизнеса")</f>
      </c>
      <c r="I334" t="s">
        <v>83</v>
      </c>
      <c r="J334" t="s">
        <v>49</v>
      </c>
      <c r="K334" t="s">
        <v>50</v>
      </c>
      <c r="L334">
        <v>52</v>
      </c>
      <c r="M334">
        <v>50</v>
      </c>
      <c r="N334" s="4">
        <v>0.14</v>
      </c>
      <c r="O334">
        <v>7</v>
      </c>
      <c r="P334" s="5">
        <v>8</v>
      </c>
      <c r="Q334" s="4">
        <v>0</v>
      </c>
      <c r="R334">
        <v>0</v>
      </c>
      <c r="S334">
        <v>0</v>
      </c>
      <c r="T334">
        <v>0</v>
      </c>
      <c r="U334">
        <v>0</v>
      </c>
      <c r="V334">
        <v>0</v>
      </c>
      <c r="W334" s="5" t="s">
        <v>65</v>
      </c>
      <c r="X334">
        <v>0</v>
      </c>
      <c r="Y334" s="4">
        <v>0</v>
      </c>
      <c r="Z334">
        <v>0</v>
      </c>
      <c r="AA334" s="5">
        <v>0</v>
      </c>
      <c r="AB334">
        <v>0</v>
      </c>
      <c r="AC334" s="5">
        <v>0</v>
      </c>
      <c r="AD334" s="5">
        <v>56</v>
      </c>
      <c r="AE334" s="5">
        <v>0</v>
      </c>
      <c r="AF334" s="5">
        <v>56</v>
      </c>
      <c r="AG334" s="5">
        <v>0</v>
      </c>
      <c r="AH334" s="5">
        <v>0</v>
      </c>
      <c r="AI334" s="5">
        <v>0</v>
      </c>
    </row>
    <row r="335">
      <c r="A335" s="2" t="str">
        <f>HYPERLINK("https://www.avito.ru/vladivostok/bytovaya_elektronika/h2d_combo_ams2_pro_eu_zakrytyy_3d_printer_8053518131","8053518131")</f>
      </c>
      <c r="B335" t="s">
        <v>190</v>
      </c>
      <c r="C335" t="s">
        <v>191</v>
      </c>
      <c r="D335" t="s">
        <v>244</v>
      </c>
      <c r="E335" t="s">
        <v>38</v>
      </c>
      <c r="F335" t="s">
        <v>39</v>
      </c>
      <c r="G335" t="s">
        <v>40</v>
      </c>
      <c r="H335" s="3" t="str">
        <f>HYPERLINK("https://www.avito.ru/vladivostok/bytovaya_elektronika/h2d_combo_ams2_pro_eu_zakrytyy_3d_printer_8053518131","H2D Combo AMS2 Pro EU закрытый 3D принтер")</f>
      </c>
      <c r="I335" t="s">
        <v>91</v>
      </c>
      <c r="J335" t="s">
        <v>49</v>
      </c>
      <c r="K335" t="s">
        <v>50</v>
      </c>
      <c r="L335">
        <v>52</v>
      </c>
      <c r="M335">
        <v>108</v>
      </c>
      <c r="N335" s="4">
        <v>0.0648</v>
      </c>
      <c r="O335">
        <v>7</v>
      </c>
      <c r="P335" s="5">
        <v>8</v>
      </c>
      <c r="Q335" s="4">
        <v>0</v>
      </c>
      <c r="R335">
        <v>0</v>
      </c>
      <c r="S335">
        <v>0</v>
      </c>
      <c r="T335">
        <v>0</v>
      </c>
      <c r="U335">
        <v>0</v>
      </c>
      <c r="V335">
        <v>0</v>
      </c>
      <c r="W335" s="5" t="s">
        <v>65</v>
      </c>
      <c r="X335">
        <v>0</v>
      </c>
      <c r="Y335" s="4">
        <v>0</v>
      </c>
      <c r="Z335">
        <v>0</v>
      </c>
      <c r="AA335" s="5">
        <v>0</v>
      </c>
      <c r="AB335">
        <v>0</v>
      </c>
      <c r="AC335" s="5">
        <v>0</v>
      </c>
      <c r="AD335" s="5">
        <v>56</v>
      </c>
      <c r="AE335" s="5">
        <v>0</v>
      </c>
      <c r="AF335" s="5">
        <v>56</v>
      </c>
      <c r="AG335" s="5">
        <v>0</v>
      </c>
      <c r="AH335" s="5">
        <v>0</v>
      </c>
      <c r="AI335" s="5">
        <v>0</v>
      </c>
    </row>
    <row r="336">
      <c r="A336" s="2" t="str">
        <f>HYPERLINK("https://www.avito.ru/arhangelsk/bytovaya_elektronika/h2d_combo_ams2_pro_eu_3d_printer_global_8053750483","8053750483")</f>
      </c>
      <c r="B336" t="s">
        <v>245</v>
      </c>
      <c r="C336" t="s">
        <v>246</v>
      </c>
      <c r="D336" t="s">
        <v>247</v>
      </c>
      <c r="E336" t="s">
        <v>38</v>
      </c>
      <c r="F336" t="s">
        <v>39</v>
      </c>
      <c r="G336" t="s">
        <v>40</v>
      </c>
      <c r="H336" s="3" t="str">
        <f>HYPERLINK("https://www.avito.ru/arhangelsk/bytovaya_elektronika/h2d_combo_ams2_pro_eu_3d_printer_global_8053750483","H2D Combo AMS2 Pro EU 3D принтер Global")</f>
      </c>
      <c r="I336" t="s">
        <v>91</v>
      </c>
      <c r="J336" t="s">
        <v>49</v>
      </c>
      <c r="K336" t="s">
        <v>50</v>
      </c>
      <c r="L336">
        <v>52</v>
      </c>
      <c r="M336">
        <v>51</v>
      </c>
      <c r="N336" s="4">
        <v>0.1372</v>
      </c>
      <c r="O336">
        <v>7</v>
      </c>
      <c r="P336" s="5">
        <v>8</v>
      </c>
      <c r="Q336" s="4">
        <v>0</v>
      </c>
      <c r="R336">
        <v>0</v>
      </c>
      <c r="S336">
        <v>0</v>
      </c>
      <c r="T336">
        <v>0</v>
      </c>
      <c r="U336">
        <v>0</v>
      </c>
      <c r="V336">
        <v>0</v>
      </c>
      <c r="W336" s="5" t="s">
        <v>65</v>
      </c>
      <c r="X336">
        <v>1</v>
      </c>
      <c r="Y336" s="4">
        <v>0</v>
      </c>
      <c r="Z336">
        <v>0</v>
      </c>
      <c r="AA336" s="5">
        <v>0</v>
      </c>
      <c r="AB336">
        <v>0</v>
      </c>
      <c r="AC336" s="5">
        <v>0</v>
      </c>
      <c r="AD336" s="5">
        <v>56</v>
      </c>
      <c r="AE336" s="5">
        <v>0</v>
      </c>
      <c r="AF336" s="5">
        <v>56</v>
      </c>
      <c r="AG336" s="5">
        <v>0</v>
      </c>
      <c r="AH336" s="5">
        <v>0</v>
      </c>
      <c r="AI336" s="5">
        <v>0</v>
      </c>
    </row>
    <row r="337">
      <c r="A337" s="2" t="str">
        <f>HYPERLINK("https://www.avito.ru/voronezh/bytovaya_elektronika/h2d_combo_ams_2_pro_3d_printer_s_softom_cn_8053759813","8053759813")</f>
      </c>
      <c r="B337" t="s">
        <v>109</v>
      </c>
      <c r="C337" t="s">
        <v>110</v>
      </c>
      <c r="D337" t="s">
        <v>111</v>
      </c>
      <c r="E337" t="s">
        <v>38</v>
      </c>
      <c r="F337" t="s">
        <v>39</v>
      </c>
      <c r="G337" t="s">
        <v>40</v>
      </c>
      <c r="H337" s="3" t="str">
        <f>HYPERLINK("https://www.avito.ru/voronezh/bytovaya_elektronika/h2d_combo_ams_2_pro_3d_printer_s_softom_cn_8053759813","H2D Combo AMS 2 Pro 3D принтер с софтом CN")</f>
      </c>
      <c r="I337" t="s">
        <v>41</v>
      </c>
      <c r="J337" t="s">
        <v>42</v>
      </c>
      <c r="K337" t="s">
        <v>43</v>
      </c>
      <c r="L337">
        <v>50</v>
      </c>
      <c r="M337">
        <v>89</v>
      </c>
      <c r="N337" s="4">
        <v>0.0786</v>
      </c>
      <c r="O337">
        <v>7</v>
      </c>
      <c r="P337" s="5">
        <v>8</v>
      </c>
      <c r="Q337" s="4">
        <v>0</v>
      </c>
      <c r="R337">
        <v>0</v>
      </c>
      <c r="S337">
        <v>0</v>
      </c>
      <c r="T337">
        <v>0</v>
      </c>
      <c r="U337">
        <v>0</v>
      </c>
      <c r="V337">
        <v>0</v>
      </c>
      <c r="W337" s="5" t="s">
        <v>65</v>
      </c>
      <c r="X337">
        <v>0</v>
      </c>
      <c r="Y337" s="4">
        <v>0</v>
      </c>
      <c r="Z337">
        <v>0</v>
      </c>
      <c r="AA337" s="5">
        <v>0</v>
      </c>
      <c r="AB337">
        <v>0</v>
      </c>
      <c r="AC337" s="5">
        <v>0</v>
      </c>
      <c r="AD337" s="5">
        <v>56</v>
      </c>
      <c r="AE337" s="5">
        <v>0</v>
      </c>
      <c r="AF337" s="5">
        <v>56</v>
      </c>
      <c r="AG337" s="5">
        <v>0</v>
      </c>
      <c r="AH337" s="5">
        <v>0</v>
      </c>
      <c r="AI337" s="5">
        <v>0</v>
      </c>
    </row>
    <row r="338">
      <c r="A338" s="2" t="str">
        <f>HYPERLINK("https://www.avito.ru/rostov-na-donu/bytovaya_elektronika/h2d_combo_ams2_pro_eu_3d_printer_novyy_8053814747","8053814747")</f>
      </c>
      <c r="B338" t="s">
        <v>88</v>
      </c>
      <c r="C338" t="s">
        <v>89</v>
      </c>
      <c r="D338" t="s">
        <v>90</v>
      </c>
      <c r="E338" t="s">
        <v>38</v>
      </c>
      <c r="F338" t="s">
        <v>39</v>
      </c>
      <c r="G338" t="s">
        <v>40</v>
      </c>
      <c r="H338" s="3" t="str">
        <f>HYPERLINK("https://www.avito.ru/rostov-na-donu/bytovaya_elektronika/h2d_combo_ams2_pro_eu_3d_printer_novyy_8053814747","H2D Combo AMS2 Pro EU 3D принтер Новый")</f>
      </c>
      <c r="I338" t="s">
        <v>91</v>
      </c>
      <c r="J338" t="s">
        <v>49</v>
      </c>
      <c r="K338" t="s">
        <v>50</v>
      </c>
      <c r="L338">
        <v>52</v>
      </c>
      <c r="M338">
        <v>50</v>
      </c>
      <c r="N338" s="4">
        <v>0.14</v>
      </c>
      <c r="O338">
        <v>7</v>
      </c>
      <c r="P338" s="5">
        <v>8</v>
      </c>
      <c r="Q338" s="4">
        <v>0</v>
      </c>
      <c r="R338">
        <v>0</v>
      </c>
      <c r="S338">
        <v>0</v>
      </c>
      <c r="T338">
        <v>0</v>
      </c>
      <c r="U338">
        <v>0</v>
      </c>
      <c r="V338">
        <v>0</v>
      </c>
      <c r="W338" s="5" t="s">
        <v>65</v>
      </c>
      <c r="X338">
        <v>0</v>
      </c>
      <c r="Y338" s="4">
        <v>0</v>
      </c>
      <c r="Z338">
        <v>0</v>
      </c>
      <c r="AA338" s="5">
        <v>0</v>
      </c>
      <c r="AB338">
        <v>0</v>
      </c>
      <c r="AC338" s="5">
        <v>0</v>
      </c>
      <c r="AD338" s="5">
        <v>56</v>
      </c>
      <c r="AE338" s="5">
        <v>0</v>
      </c>
      <c r="AF338" s="5">
        <v>56</v>
      </c>
      <c r="AG338" s="5">
        <v>0</v>
      </c>
      <c r="AH338" s="5">
        <v>0</v>
      </c>
      <c r="AI338" s="5">
        <v>0</v>
      </c>
    </row>
    <row r="339">
      <c r="A339" s="2" t="str">
        <f>HYPERLINK("https://www.avito.ru/krasnoyarsk/bytovaya_elektronika/h2d_laser_10w_eu_3d_printer_s_aktivnoy_kameroy_8053008842","8053008842")</f>
      </c>
      <c r="B339" t="s">
        <v>139</v>
      </c>
      <c r="C339" t="s">
        <v>140</v>
      </c>
      <c r="D339" t="s">
        <v>141</v>
      </c>
      <c r="E339" t="s">
        <v>38</v>
      </c>
      <c r="F339" t="s">
        <v>39</v>
      </c>
      <c r="G339" t="s">
        <v>40</v>
      </c>
      <c r="H339" s="3" t="str">
        <f>HYPERLINK("https://www.avito.ru/krasnoyarsk/bytovaya_elektronika/h2d_laser_10w_eu_3d_printer_s_aktivnoy_kameroy_8053008842","H2D Laser 10W EU 3D принтер с активной камерой")</f>
      </c>
      <c r="I339" t="s">
        <v>95</v>
      </c>
      <c r="J339" t="s">
        <v>42</v>
      </c>
      <c r="K339" t="s">
        <v>43</v>
      </c>
      <c r="L339">
        <v>50</v>
      </c>
      <c r="M339">
        <v>73</v>
      </c>
      <c r="N339" s="4">
        <v>0.0821</v>
      </c>
      <c r="O339">
        <v>6</v>
      </c>
      <c r="P339" s="5">
        <v>9.33</v>
      </c>
      <c r="Q339" s="4">
        <v>0</v>
      </c>
      <c r="R339">
        <v>0</v>
      </c>
      <c r="S339">
        <v>0</v>
      </c>
      <c r="T339">
        <v>0</v>
      </c>
      <c r="U339">
        <v>0</v>
      </c>
      <c r="V339">
        <v>0</v>
      </c>
      <c r="W339" s="5" t="s">
        <v>65</v>
      </c>
      <c r="X339">
        <v>0</v>
      </c>
      <c r="Y339" s="4">
        <v>0</v>
      </c>
      <c r="Z339">
        <v>0</v>
      </c>
      <c r="AA339" s="5">
        <v>0</v>
      </c>
      <c r="AB339">
        <v>0</v>
      </c>
      <c r="AC339" s="5">
        <v>0</v>
      </c>
      <c r="AD339" s="5">
        <v>56</v>
      </c>
      <c r="AE339" s="5">
        <v>0</v>
      </c>
      <c r="AF339" s="5">
        <v>56</v>
      </c>
      <c r="AG339" s="5">
        <v>0</v>
      </c>
      <c r="AH339" s="5">
        <v>0</v>
      </c>
      <c r="AI339" s="5">
        <v>0</v>
      </c>
    </row>
    <row r="340">
      <c r="A340" s="2" t="str">
        <f>HYPERLINK("https://www.avito.ru/kemerovo/bytovaya_elektronika/h2d_laser_40w_cn_3d_printer_kitayskaya_versiya_8053206413","8053206413")</f>
      </c>
      <c r="B340" t="s">
        <v>99</v>
      </c>
      <c r="C340" t="s">
        <v>100</v>
      </c>
      <c r="D340" t="s">
        <v>101</v>
      </c>
      <c r="E340" t="s">
        <v>38</v>
      </c>
      <c r="F340" t="s">
        <v>39</v>
      </c>
      <c r="G340" t="s">
        <v>40</v>
      </c>
      <c r="H340" s="3" t="str">
        <f>HYPERLINK("https://www.avito.ru/kemerovo/bytovaya_elektronika/h2d_laser_40w_cn_3d_printer_kitayskaya_versiya_8053206413","H2D Laser 40W CN 3D принтер (китайская версия)")</f>
      </c>
      <c r="I340" t="s">
        <v>148</v>
      </c>
      <c r="J340" t="s">
        <v>42</v>
      </c>
      <c r="K340" t="s">
        <v>43</v>
      </c>
      <c r="L340">
        <v>50</v>
      </c>
      <c r="M340">
        <v>60</v>
      </c>
      <c r="N340" s="4">
        <v>0.1</v>
      </c>
      <c r="O340">
        <v>6</v>
      </c>
      <c r="P340" s="5">
        <v>9.33</v>
      </c>
      <c r="Q340" s="4">
        <v>0</v>
      </c>
      <c r="R340">
        <v>0</v>
      </c>
      <c r="S340">
        <v>0</v>
      </c>
      <c r="T340">
        <v>0</v>
      </c>
      <c r="U340">
        <v>0</v>
      </c>
      <c r="V340">
        <v>0</v>
      </c>
      <c r="W340" s="5" t="s">
        <v>65</v>
      </c>
      <c r="X340">
        <v>0</v>
      </c>
      <c r="Y340" s="4">
        <v>0</v>
      </c>
      <c r="Z340">
        <v>0</v>
      </c>
      <c r="AA340" s="5">
        <v>0</v>
      </c>
      <c r="AB340">
        <v>0</v>
      </c>
      <c r="AC340" s="5">
        <v>0</v>
      </c>
      <c r="AD340" s="5">
        <v>56</v>
      </c>
      <c r="AE340" s="5">
        <v>0</v>
      </c>
      <c r="AF340" s="5">
        <v>56</v>
      </c>
      <c r="AG340" s="5">
        <v>0</v>
      </c>
      <c r="AH340" s="5">
        <v>0</v>
      </c>
      <c r="AI340" s="5">
        <v>0</v>
      </c>
    </row>
    <row r="341">
      <c r="A341" s="2" t="str">
        <f>HYPERLINK("https://www.avito.ru/nizhniy_novgorod/bytovaya_elektronika/h2s_combo_ams_2_pro_nastolnyy_3d_printer_8053222733","8053222733")</f>
      </c>
      <c r="B341" t="s">
        <v>125</v>
      </c>
      <c r="C341" t="s">
        <v>126</v>
      </c>
      <c r="D341" t="s">
        <v>127</v>
      </c>
      <c r="E341" t="s">
        <v>38</v>
      </c>
      <c r="F341" t="s">
        <v>39</v>
      </c>
      <c r="G341" t="s">
        <v>40</v>
      </c>
      <c r="H341" s="3" t="str">
        <f>HYPERLINK("https://www.avito.ru/nizhniy_novgorod/bytovaya_elektronika/h2s_combo_ams_2_pro_nastolnyy_3d_printer_8053222733","H2S Combo AMS 2 PRO настольный 3D принтер")</f>
      </c>
      <c r="I341" t="s">
        <v>48</v>
      </c>
      <c r="J341" t="s">
        <v>49</v>
      </c>
      <c r="K341" t="s">
        <v>50</v>
      </c>
      <c r="L341">
        <v>52</v>
      </c>
      <c r="M341">
        <v>53</v>
      </c>
      <c r="N341" s="4">
        <v>0.1132</v>
      </c>
      <c r="O341">
        <v>6</v>
      </c>
      <c r="P341" s="5">
        <v>9.33</v>
      </c>
      <c r="Q341" s="4">
        <v>0</v>
      </c>
      <c r="R341">
        <v>0</v>
      </c>
      <c r="S341">
        <v>0</v>
      </c>
      <c r="T341">
        <v>0</v>
      </c>
      <c r="U341">
        <v>0</v>
      </c>
      <c r="V341">
        <v>0</v>
      </c>
      <c r="W341" s="5" t="s">
        <v>65</v>
      </c>
      <c r="X341">
        <v>0</v>
      </c>
      <c r="Y341" s="4">
        <v>0</v>
      </c>
      <c r="Z341">
        <v>0</v>
      </c>
      <c r="AA341" s="5">
        <v>0</v>
      </c>
      <c r="AB341">
        <v>0</v>
      </c>
      <c r="AC341" s="5">
        <v>0</v>
      </c>
      <c r="AD341" s="5">
        <v>56</v>
      </c>
      <c r="AE341" s="5">
        <v>0</v>
      </c>
      <c r="AF341" s="5">
        <v>56</v>
      </c>
      <c r="AG341" s="5">
        <v>0</v>
      </c>
      <c r="AH341" s="5">
        <v>0</v>
      </c>
      <c r="AI341" s="5">
        <v>0</v>
      </c>
    </row>
    <row r="342">
      <c r="A342" s="2" t="str">
        <f>HYPERLINK("https://www.avito.ru/ryazan/bytovaya_elektronika/3d_printer_bambu_lab_h2d_combo_ams2_pro_eu_8053263346","8053263346")</f>
      </c>
      <c r="B342" t="s">
        <v>122</v>
      </c>
      <c r="C342" t="s">
        <v>123</v>
      </c>
      <c r="D342" t="s">
        <v>248</v>
      </c>
      <c r="E342" t="s">
        <v>38</v>
      </c>
      <c r="F342" t="s">
        <v>39</v>
      </c>
      <c r="G342" t="s">
        <v>40</v>
      </c>
      <c r="H342" s="3" t="str">
        <f>HYPERLINK("https://www.avito.ru/ryazan/bytovaya_elektronika/3d_printer_bambu_lab_h2d_combo_ams2_pro_eu_8053263346","3D принтер Bambu Lab H2D Combo AMS2 Pro EU")</f>
      </c>
      <c r="I342" t="s">
        <v>91</v>
      </c>
      <c r="J342" t="s">
        <v>49</v>
      </c>
      <c r="K342" t="s">
        <v>50</v>
      </c>
      <c r="L342">
        <v>52</v>
      </c>
      <c r="M342">
        <v>208</v>
      </c>
      <c r="N342" s="4">
        <v>0.0288</v>
      </c>
      <c r="O342">
        <v>6</v>
      </c>
      <c r="P342" s="5">
        <v>9.33</v>
      </c>
      <c r="Q342" s="4">
        <v>0</v>
      </c>
      <c r="R342">
        <v>0</v>
      </c>
      <c r="S342">
        <v>0</v>
      </c>
      <c r="T342">
        <v>0</v>
      </c>
      <c r="U342">
        <v>0</v>
      </c>
      <c r="V342">
        <v>0</v>
      </c>
      <c r="W342" s="5" t="s">
        <v>65</v>
      </c>
      <c r="X342">
        <v>0</v>
      </c>
      <c r="Y342" s="4">
        <v>0</v>
      </c>
      <c r="Z342">
        <v>0</v>
      </c>
      <c r="AA342" s="5">
        <v>0</v>
      </c>
      <c r="AB342">
        <v>0</v>
      </c>
      <c r="AC342" s="5">
        <v>0</v>
      </c>
      <c r="AD342" s="5">
        <v>56</v>
      </c>
      <c r="AE342" s="5">
        <v>0</v>
      </c>
      <c r="AF342" s="5">
        <v>56</v>
      </c>
      <c r="AG342" s="5">
        <v>0</v>
      </c>
      <c r="AH342" s="5">
        <v>0</v>
      </c>
      <c r="AI342" s="5">
        <v>0</v>
      </c>
    </row>
    <row r="343">
      <c r="A343" s="2" t="str">
        <f>HYPERLINK("https://www.avito.ru/vladivostok/bytovaya_elektronika/h2s_combo_ams_2_pro_professionalnaya_seriya_8053267440","8053267440")</f>
      </c>
      <c r="B343" t="s">
        <v>190</v>
      </c>
      <c r="C343" t="s">
        <v>191</v>
      </c>
      <c r="D343" t="s">
        <v>192</v>
      </c>
      <c r="E343" t="s">
        <v>38</v>
      </c>
      <c r="F343" t="s">
        <v>39</v>
      </c>
      <c r="G343" t="s">
        <v>40</v>
      </c>
      <c r="H343" s="3" t="str">
        <f>HYPERLINK("https://www.avito.ru/vladivostok/bytovaya_elektronika/h2s_combo_ams_2_pro_professionalnaya_seriya_8053267440","H2S Combo AMS 2 PRO профессиональная серия")</f>
      </c>
      <c r="I343" t="s">
        <v>48</v>
      </c>
      <c r="J343" t="s">
        <v>115</v>
      </c>
      <c r="K343" t="s">
        <v>116</v>
      </c>
      <c r="L343">
        <v>51</v>
      </c>
      <c r="M343">
        <v>54</v>
      </c>
      <c r="N343" s="4">
        <v>0.1111</v>
      </c>
      <c r="O343">
        <v>6</v>
      </c>
      <c r="P343" s="5">
        <v>9.33</v>
      </c>
      <c r="Q343" s="4">
        <v>0</v>
      </c>
      <c r="R343">
        <v>0</v>
      </c>
      <c r="S343">
        <v>0</v>
      </c>
      <c r="T343">
        <v>0</v>
      </c>
      <c r="U343">
        <v>0</v>
      </c>
      <c r="V343">
        <v>0</v>
      </c>
      <c r="W343" s="5" t="s">
        <v>65</v>
      </c>
      <c r="X343">
        <v>2</v>
      </c>
      <c r="Y343" s="4">
        <v>0</v>
      </c>
      <c r="Z343">
        <v>0</v>
      </c>
      <c r="AA343" s="5">
        <v>0</v>
      </c>
      <c r="AB343">
        <v>0</v>
      </c>
      <c r="AC343" s="5">
        <v>0</v>
      </c>
      <c r="AD343" s="5">
        <v>56</v>
      </c>
      <c r="AE343" s="5">
        <v>0</v>
      </c>
      <c r="AF343" s="5">
        <v>56</v>
      </c>
      <c r="AG343" s="5">
        <v>0</v>
      </c>
      <c r="AH343" s="5">
        <v>0</v>
      </c>
      <c r="AI343" s="5">
        <v>0</v>
      </c>
    </row>
    <row r="344">
      <c r="A344" s="2" t="str">
        <f>HYPERLINK("https://www.avito.ru/izhevsk/bytovaya_elektronika/h2s_combo_ams_2_pro_3d_printer_s_kameroy_8053269690","8053269690")</f>
      </c>
      <c r="B344" t="s">
        <v>149</v>
      </c>
      <c r="C344" t="s">
        <v>150</v>
      </c>
      <c r="D344" t="s">
        <v>151</v>
      </c>
      <c r="E344" t="s">
        <v>38</v>
      </c>
      <c r="F344" t="s">
        <v>39</v>
      </c>
      <c r="G344" t="s">
        <v>40</v>
      </c>
      <c r="H344" s="3" t="str">
        <f>HYPERLINK("https://www.avito.ru/izhevsk/bytovaya_elektronika/h2s_combo_ams_2_pro_3d_printer_s_kameroy_8053269690","H2S Combo AMS 2 PRO 3D принтер с камерой")</f>
      </c>
      <c r="I344" t="s">
        <v>48</v>
      </c>
      <c r="J344" t="s">
        <v>115</v>
      </c>
      <c r="K344" t="s">
        <v>116</v>
      </c>
      <c r="L344">
        <v>51</v>
      </c>
      <c r="M344">
        <v>134</v>
      </c>
      <c r="N344" s="4">
        <v>0.0447</v>
      </c>
      <c r="O344">
        <v>6</v>
      </c>
      <c r="P344" s="5">
        <v>9.33</v>
      </c>
      <c r="Q344" s="4">
        <v>0</v>
      </c>
      <c r="R344">
        <v>0</v>
      </c>
      <c r="S344">
        <v>0</v>
      </c>
      <c r="T344">
        <v>0</v>
      </c>
      <c r="U344">
        <v>0</v>
      </c>
      <c r="V344">
        <v>0</v>
      </c>
      <c r="W344" s="5" t="s">
        <v>65</v>
      </c>
      <c r="X344">
        <v>0</v>
      </c>
      <c r="Y344" s="4">
        <v>0</v>
      </c>
      <c r="Z344">
        <v>0</v>
      </c>
      <c r="AA344" s="5">
        <v>0</v>
      </c>
      <c r="AB344">
        <v>0</v>
      </c>
      <c r="AC344" s="5">
        <v>0</v>
      </c>
      <c r="AD344" s="5">
        <v>56</v>
      </c>
      <c r="AE344" s="5">
        <v>0</v>
      </c>
      <c r="AF344" s="5">
        <v>56</v>
      </c>
      <c r="AG344" s="5">
        <v>0</v>
      </c>
      <c r="AH344" s="5">
        <v>0</v>
      </c>
      <c r="AI344" s="5">
        <v>0</v>
      </c>
    </row>
    <row r="345">
      <c r="A345" s="2" t="str">
        <f>HYPERLINK("https://www.avito.ru/tolyatti/bytovaya_elektronika/3d_printer_bambu_lab_h2s_laser_10w_eu_8053363533","8053363533")</f>
      </c>
      <c r="B345" t="s">
        <v>173</v>
      </c>
      <c r="C345" t="s">
        <v>216</v>
      </c>
      <c r="D345" t="s">
        <v>217</v>
      </c>
      <c r="E345" t="s">
        <v>38</v>
      </c>
      <c r="F345" t="s">
        <v>39</v>
      </c>
      <c r="G345" t="s">
        <v>40</v>
      </c>
      <c r="H345" s="3" t="str">
        <f>HYPERLINK("https://www.avito.ru/tolyatti/bytovaya_elektronika/3d_printer_bambu_lab_h2s_laser_10w_eu_8053363533","3Д принтер Bambu Lab H2S Laser 10W EU")</f>
      </c>
      <c r="I345" t="s">
        <v>129</v>
      </c>
      <c r="J345" t="s">
        <v>115</v>
      </c>
      <c r="K345" t="s">
        <v>116</v>
      </c>
      <c r="L345">
        <v>51</v>
      </c>
      <c r="M345">
        <v>110</v>
      </c>
      <c r="N345" s="4">
        <v>0.0545</v>
      </c>
      <c r="O345">
        <v>6</v>
      </c>
      <c r="P345" s="5">
        <v>9.33</v>
      </c>
      <c r="Q345" s="4">
        <v>0</v>
      </c>
      <c r="R345">
        <v>0</v>
      </c>
      <c r="S345">
        <v>0</v>
      </c>
      <c r="T345">
        <v>0</v>
      </c>
      <c r="U345">
        <v>0</v>
      </c>
      <c r="V345">
        <v>0</v>
      </c>
      <c r="W345" s="5" t="s">
        <v>65</v>
      </c>
      <c r="X345">
        <v>0</v>
      </c>
      <c r="Y345" s="4">
        <v>0</v>
      </c>
      <c r="Z345">
        <v>0</v>
      </c>
      <c r="AA345" s="5">
        <v>0</v>
      </c>
      <c r="AB345">
        <v>0</v>
      </c>
      <c r="AC345" s="5">
        <v>0</v>
      </c>
      <c r="AD345" s="5">
        <v>56</v>
      </c>
      <c r="AE345" s="5">
        <v>0</v>
      </c>
      <c r="AF345" s="5">
        <v>56</v>
      </c>
      <c r="AG345" s="5">
        <v>0</v>
      </c>
      <c r="AH345" s="5">
        <v>0</v>
      </c>
      <c r="AI345" s="5">
        <v>0</v>
      </c>
    </row>
    <row r="346">
      <c r="A346" s="2" t="str">
        <f>HYPERLINK("https://www.avito.ru/yaroslavl/bytovaya_elektronika/h2s_combo_ams_2_pro_3d_printer_1000_mms_dlya_biznesa_8053372732","8053372732")</f>
      </c>
      <c r="B346" t="s">
        <v>176</v>
      </c>
      <c r="C346" t="s">
        <v>177</v>
      </c>
      <c r="D346" t="s">
        <v>178</v>
      </c>
      <c r="E346" t="s">
        <v>38</v>
      </c>
      <c r="F346" t="s">
        <v>39</v>
      </c>
      <c r="G346" t="s">
        <v>40</v>
      </c>
      <c r="H346" s="3" t="str">
        <f>HYPERLINK("https://www.avito.ru/yaroslavl/bytovaya_elektronika/h2s_combo_ams_2_pro_3d_printer_1000_mms_dlya_biznesa_8053372732","H2S Combo AMS 2 PRO 3D принтер 1000 мм/с для бизнеса")</f>
      </c>
      <c r="I346" t="s">
        <v>48</v>
      </c>
      <c r="J346" t="s">
        <v>115</v>
      </c>
      <c r="K346" t="s">
        <v>116</v>
      </c>
      <c r="L346">
        <v>51</v>
      </c>
      <c r="M346">
        <v>112</v>
      </c>
      <c r="N346" s="4">
        <v>0.0535</v>
      </c>
      <c r="O346">
        <v>6</v>
      </c>
      <c r="P346" s="5">
        <v>9.33</v>
      </c>
      <c r="Q346" s="4">
        <v>0</v>
      </c>
      <c r="R346">
        <v>0</v>
      </c>
      <c r="S346">
        <v>0</v>
      </c>
      <c r="T346">
        <v>0</v>
      </c>
      <c r="U346">
        <v>0</v>
      </c>
      <c r="V346">
        <v>0</v>
      </c>
      <c r="W346" s="5" t="s">
        <v>65</v>
      </c>
      <c r="X346">
        <v>0</v>
      </c>
      <c r="Y346" s="4">
        <v>0</v>
      </c>
      <c r="Z346">
        <v>0</v>
      </c>
      <c r="AA346" s="5">
        <v>0</v>
      </c>
      <c r="AB346">
        <v>0</v>
      </c>
      <c r="AC346" s="5">
        <v>0</v>
      </c>
      <c r="AD346" s="5">
        <v>56</v>
      </c>
      <c r="AE346" s="5">
        <v>0</v>
      </c>
      <c r="AF346" s="5">
        <v>56</v>
      </c>
      <c r="AG346" s="5">
        <v>0</v>
      </c>
      <c r="AH346" s="5">
        <v>0</v>
      </c>
      <c r="AI346" s="5">
        <v>0</v>
      </c>
    </row>
    <row r="347">
      <c r="A347" s="2" t="str">
        <f>HYPERLINK("https://www.avito.ru/samara/bytovaya_elektronika/bambu_lab_h2s_laser_10w_global_8053378638","8053378638")</f>
      </c>
      <c r="B347" t="s">
        <v>173</v>
      </c>
      <c r="C347" t="s">
        <v>174</v>
      </c>
      <c r="D347" t="s">
        <v>175</v>
      </c>
      <c r="E347" t="s">
        <v>38</v>
      </c>
      <c r="F347" t="s">
        <v>39</v>
      </c>
      <c r="G347" t="s">
        <v>40</v>
      </c>
      <c r="H347" s="3" t="str">
        <f>HYPERLINK("https://www.avito.ru/samara/bytovaya_elektronika/bambu_lab_h2s_laser_10w_global_8053378638","Bambu Lab H2S Laser 10W Global")</f>
      </c>
      <c r="I347" t="s">
        <v>129</v>
      </c>
      <c r="J347" t="s">
        <v>115</v>
      </c>
      <c r="K347" t="s">
        <v>116</v>
      </c>
      <c r="L347">
        <v>51</v>
      </c>
      <c r="M347">
        <v>161</v>
      </c>
      <c r="N347" s="4">
        <v>0.0372</v>
      </c>
      <c r="O347">
        <v>6</v>
      </c>
      <c r="P347" s="5">
        <v>9.33</v>
      </c>
      <c r="Q347" s="4">
        <v>0</v>
      </c>
      <c r="R347">
        <v>0</v>
      </c>
      <c r="S347">
        <v>0</v>
      </c>
      <c r="T347">
        <v>0</v>
      </c>
      <c r="U347">
        <v>0</v>
      </c>
      <c r="V347">
        <v>0</v>
      </c>
      <c r="W347" s="5" t="s">
        <v>65</v>
      </c>
      <c r="X347">
        <v>1</v>
      </c>
      <c r="Y347" s="4">
        <v>0</v>
      </c>
      <c r="Z347">
        <v>0</v>
      </c>
      <c r="AA347" s="5">
        <v>0</v>
      </c>
      <c r="AB347">
        <v>0</v>
      </c>
      <c r="AC347" s="5">
        <v>0</v>
      </c>
      <c r="AD347" s="5">
        <v>56</v>
      </c>
      <c r="AE347" s="5">
        <v>0</v>
      </c>
      <c r="AF347" s="5">
        <v>56</v>
      </c>
      <c r="AG347" s="5">
        <v>0</v>
      </c>
      <c r="AH347" s="5">
        <v>0</v>
      </c>
      <c r="AI347" s="5">
        <v>0</v>
      </c>
    </row>
    <row r="348">
      <c r="A348" s="2" t="str">
        <f>HYPERLINK("https://www.avito.ru/ulyanovsk/bytovaya_elektronika/h2c_ams_combo_3d_printer_8053587969","8053587969")</f>
      </c>
      <c r="B348" t="s">
        <v>219</v>
      </c>
      <c r="C348" t="s">
        <v>220</v>
      </c>
      <c r="D348" t="s">
        <v>221</v>
      </c>
      <c r="E348" t="s">
        <v>38</v>
      </c>
      <c r="F348" t="s">
        <v>39</v>
      </c>
      <c r="G348" t="s">
        <v>40</v>
      </c>
      <c r="H348" s="3" t="str">
        <f>HYPERLINK("https://www.avito.ru/ulyanovsk/bytovaya_elektronika/h2c_ams_combo_3d_printer_8053587969","H2C AMS Combo 3D принтер")</f>
      </c>
      <c r="I348" t="s">
        <v>83</v>
      </c>
      <c r="J348" t="s">
        <v>49</v>
      </c>
      <c r="K348" t="s">
        <v>50</v>
      </c>
      <c r="L348">
        <v>52</v>
      </c>
      <c r="M348">
        <v>42</v>
      </c>
      <c r="N348" s="4">
        <v>0.1428</v>
      </c>
      <c r="O348">
        <v>6</v>
      </c>
      <c r="P348" s="5">
        <v>9.33</v>
      </c>
      <c r="Q348" s="4">
        <v>0</v>
      </c>
      <c r="R348">
        <v>0</v>
      </c>
      <c r="S348">
        <v>0</v>
      </c>
      <c r="T348">
        <v>0</v>
      </c>
      <c r="U348">
        <v>0</v>
      </c>
      <c r="V348">
        <v>0</v>
      </c>
      <c r="W348" s="5" t="s">
        <v>65</v>
      </c>
      <c r="X348">
        <v>0</v>
      </c>
      <c r="Y348" s="4">
        <v>0</v>
      </c>
      <c r="Z348">
        <v>0</v>
      </c>
      <c r="AA348" s="5">
        <v>0</v>
      </c>
      <c r="AB348">
        <v>0</v>
      </c>
      <c r="AC348" s="5">
        <v>0</v>
      </c>
      <c r="AD348" s="5">
        <v>56</v>
      </c>
      <c r="AE348" s="5">
        <v>0</v>
      </c>
      <c r="AF348" s="5">
        <v>56</v>
      </c>
      <c r="AG348" s="5">
        <v>0</v>
      </c>
      <c r="AH348" s="5">
        <v>0</v>
      </c>
      <c r="AI348" s="5">
        <v>0</v>
      </c>
    </row>
    <row r="349">
      <c r="A349" s="2" t="str">
        <f>HYPERLINK("https://www.avito.ru/saratov/bytovaya_elektronika/h2s_laser_10w_3d_printer_340x320x340_eu_8053706430","8053706430")</f>
      </c>
      <c r="B349" t="s">
        <v>208</v>
      </c>
      <c r="C349" t="s">
        <v>209</v>
      </c>
      <c r="D349" t="s">
        <v>210</v>
      </c>
      <c r="E349" t="s">
        <v>38</v>
      </c>
      <c r="F349" t="s">
        <v>39</v>
      </c>
      <c r="G349" t="s">
        <v>40</v>
      </c>
      <c r="H349" s="3" t="str">
        <f>HYPERLINK("https://www.avito.ru/saratov/bytovaya_elektronika/h2s_laser_10w_3d_printer_340x320x340_eu_8053706430","H2S Laser 10W 3D принтер 340x320x340 EU")</f>
      </c>
      <c r="I349" t="s">
        <v>129</v>
      </c>
      <c r="J349" t="s">
        <v>115</v>
      </c>
      <c r="K349" t="s">
        <v>116</v>
      </c>
      <c r="L349">
        <v>51</v>
      </c>
      <c r="M349">
        <v>368</v>
      </c>
      <c r="N349" s="4">
        <v>0.0163</v>
      </c>
      <c r="O349">
        <v>6</v>
      </c>
      <c r="P349" s="5">
        <v>9.33</v>
      </c>
      <c r="Q349" s="4">
        <v>0</v>
      </c>
      <c r="R349">
        <v>0</v>
      </c>
      <c r="S349">
        <v>0</v>
      </c>
      <c r="T349">
        <v>0</v>
      </c>
      <c r="U349">
        <v>0</v>
      </c>
      <c r="V349">
        <v>0</v>
      </c>
      <c r="W349" s="5" t="s">
        <v>65</v>
      </c>
      <c r="X349">
        <v>0</v>
      </c>
      <c r="Y349" s="4">
        <v>0</v>
      </c>
      <c r="Z349">
        <v>0</v>
      </c>
      <c r="AA349" s="5">
        <v>0</v>
      </c>
      <c r="AB349">
        <v>0</v>
      </c>
      <c r="AC349" s="5">
        <v>0</v>
      </c>
      <c r="AD349" s="5">
        <v>56</v>
      </c>
      <c r="AE349" s="5">
        <v>0</v>
      </c>
      <c r="AF349" s="5">
        <v>56</v>
      </c>
      <c r="AG349" s="5">
        <v>0</v>
      </c>
      <c r="AH349" s="5">
        <v>0</v>
      </c>
      <c r="AI349" s="5">
        <v>0</v>
      </c>
    </row>
    <row r="350">
      <c r="A350" s="2" t="str">
        <f>HYPERLINK("https://www.avito.ru/krasnodar/bytovaya_elektronika/3d_printer_h2d_laser_40w_eu_dlya_proizvodstva_8053847938","8053847938")</f>
      </c>
      <c r="B350" t="s">
        <v>78</v>
      </c>
      <c r="C350" t="s">
        <v>79</v>
      </c>
      <c r="D350" t="s">
        <v>80</v>
      </c>
      <c r="E350" t="s">
        <v>38</v>
      </c>
      <c r="F350" t="s">
        <v>39</v>
      </c>
      <c r="G350" t="s">
        <v>40</v>
      </c>
      <c r="H350" s="3" t="str">
        <f>HYPERLINK("https://www.avito.ru/krasnodar/bytovaya_elektronika/3d_printer_h2d_laser_40w_eu_dlya_proizvodstva_8053847938","3D принтер H2D Laser 40W EU для производства")</f>
      </c>
      <c r="I350" t="s">
        <v>57</v>
      </c>
      <c r="J350" t="s">
        <v>42</v>
      </c>
      <c r="K350" t="s">
        <v>43</v>
      </c>
      <c r="L350">
        <v>50</v>
      </c>
      <c r="M350">
        <v>60</v>
      </c>
      <c r="N350" s="4">
        <v>0.1</v>
      </c>
      <c r="O350">
        <v>6</v>
      </c>
      <c r="P350" s="5">
        <v>9.33</v>
      </c>
      <c r="Q350" s="4">
        <v>0</v>
      </c>
      <c r="R350">
        <v>0</v>
      </c>
      <c r="S350">
        <v>0</v>
      </c>
      <c r="T350">
        <v>0</v>
      </c>
      <c r="U350">
        <v>0</v>
      </c>
      <c r="V350">
        <v>0</v>
      </c>
      <c r="W350" s="5" t="s">
        <v>65</v>
      </c>
      <c r="X350">
        <v>1</v>
      </c>
      <c r="Y350" s="4">
        <v>0</v>
      </c>
      <c r="Z350">
        <v>0</v>
      </c>
      <c r="AA350" s="5">
        <v>0</v>
      </c>
      <c r="AB350">
        <v>0</v>
      </c>
      <c r="AC350" s="5">
        <v>0</v>
      </c>
      <c r="AD350" s="5">
        <v>56</v>
      </c>
      <c r="AE350" s="5">
        <v>0</v>
      </c>
      <c r="AF350" s="5">
        <v>56</v>
      </c>
      <c r="AG350" s="5">
        <v>0</v>
      </c>
      <c r="AH350" s="5">
        <v>0</v>
      </c>
      <c r="AI350" s="5">
        <v>0</v>
      </c>
    </row>
    <row r="351">
      <c r="A351" s="2" t="str">
        <f>HYPERLINK("https://www.avito.ru/voronezh/bytovaya_elektronika/bambu_lab_h2d_laser_10w_eu_350h320h325_mm_8053857350","8053857350")</f>
      </c>
      <c r="B351" t="s">
        <v>109</v>
      </c>
      <c r="C351" t="s">
        <v>110</v>
      </c>
      <c r="D351" t="s">
        <v>111</v>
      </c>
      <c r="E351" t="s">
        <v>38</v>
      </c>
      <c r="F351" t="s">
        <v>39</v>
      </c>
      <c r="G351" t="s">
        <v>40</v>
      </c>
      <c r="H351" s="3" t="str">
        <f>HYPERLINK("https://www.avito.ru/voronezh/bytovaya_elektronika/bambu_lab_h2d_laser_10w_eu_350h320h325_mm_8053857350","Bambu Lab H2D Laser 10W EU 350х320х325 мм")</f>
      </c>
      <c r="I351" t="s">
        <v>95</v>
      </c>
      <c r="J351" t="s">
        <v>42</v>
      </c>
      <c r="K351" t="s">
        <v>43</v>
      </c>
      <c r="L351">
        <v>50</v>
      </c>
      <c r="M351">
        <v>77</v>
      </c>
      <c r="N351" s="4">
        <v>0.0779</v>
      </c>
      <c r="O351">
        <v>6</v>
      </c>
      <c r="P351" s="5">
        <v>9.33</v>
      </c>
      <c r="Q351" s="4">
        <v>0</v>
      </c>
      <c r="R351">
        <v>0</v>
      </c>
      <c r="S351">
        <v>0</v>
      </c>
      <c r="T351">
        <v>0</v>
      </c>
      <c r="U351">
        <v>0</v>
      </c>
      <c r="V351">
        <v>0</v>
      </c>
      <c r="W351" s="5" t="s">
        <v>65</v>
      </c>
      <c r="X351">
        <v>0</v>
      </c>
      <c r="Y351" s="4">
        <v>0</v>
      </c>
      <c r="Z351">
        <v>0</v>
      </c>
      <c r="AA351" s="5">
        <v>0</v>
      </c>
      <c r="AB351">
        <v>0</v>
      </c>
      <c r="AC351" s="5">
        <v>0</v>
      </c>
      <c r="AD351" s="5">
        <v>56</v>
      </c>
      <c r="AE351" s="5">
        <v>0</v>
      </c>
      <c r="AF351" s="5">
        <v>56</v>
      </c>
      <c r="AG351" s="5">
        <v>0</v>
      </c>
      <c r="AH351" s="5">
        <v>0</v>
      </c>
      <c r="AI351" s="5">
        <v>0</v>
      </c>
    </row>
    <row r="352">
      <c r="A352" s="2" t="str">
        <f>HYPERLINK("https://www.avito.ru/moskva/bytovaya_elektronika/3d-printer_bambu_lab_p2s_combo_7989176980","7989176980")</f>
      </c>
      <c r="B352" t="s">
        <v>35</v>
      </c>
      <c r="C352" t="s">
        <v>36</v>
      </c>
      <c r="D352" t="s">
        <v>249</v>
      </c>
      <c r="E352" t="s">
        <v>38</v>
      </c>
      <c r="F352" t="s">
        <v>39</v>
      </c>
      <c r="G352" t="s">
        <v>40</v>
      </c>
      <c r="H352" s="3" t="str">
        <f>HYPERLINK("https://www.avito.ru/moskva/bytovaya_elektronika/3d-printer_bambu_lab_p2s_combo_7989176980","3D-принтер Bambu Lab P2S Combo")</f>
      </c>
      <c r="I352" t="s">
        <v>128</v>
      </c>
      <c r="J352" t="s">
        <v>97</v>
      </c>
      <c r="K352" t="s">
        <v>98</v>
      </c>
      <c r="L352">
        <v>79</v>
      </c>
      <c r="M352">
        <v>43</v>
      </c>
      <c r="N352" s="4">
        <v>0.1162</v>
      </c>
      <c r="O352">
        <v>5</v>
      </c>
      <c r="P352" s="5">
        <v>4.38</v>
      </c>
      <c r="Q352" s="4">
        <v>0</v>
      </c>
      <c r="R352">
        <v>0</v>
      </c>
      <c r="S352">
        <v>0</v>
      </c>
      <c r="T352">
        <v>0</v>
      </c>
      <c r="U352">
        <v>0</v>
      </c>
      <c r="V352">
        <v>0</v>
      </c>
      <c r="W352" s="5" t="s">
        <v>65</v>
      </c>
      <c r="X352">
        <v>0</v>
      </c>
      <c r="Y352" s="4">
        <v>0</v>
      </c>
      <c r="Z352">
        <v>0</v>
      </c>
      <c r="AA352" s="5">
        <v>0</v>
      </c>
      <c r="AB352">
        <v>0</v>
      </c>
      <c r="AC352" s="5">
        <v>0</v>
      </c>
      <c r="AD352" s="5">
        <v>21.91</v>
      </c>
      <c r="AE352" s="5">
        <v>0</v>
      </c>
      <c r="AF352" s="5">
        <v>21.91</v>
      </c>
      <c r="AG352" s="5">
        <v>0</v>
      </c>
      <c r="AH352" s="5">
        <v>0</v>
      </c>
      <c r="AI352" s="5">
        <v>0</v>
      </c>
    </row>
    <row r="353">
      <c r="A353" s="2" t="str">
        <f>HYPERLINK("https://www.avito.ru/volgograd/bytovaya_elektronika/h2d_laser_40w_eu_3d_printer_s_lazerom_40vt_8053050623","8053050623")</f>
      </c>
      <c r="B353" t="s">
        <v>196</v>
      </c>
      <c r="C353" t="s">
        <v>197</v>
      </c>
      <c r="D353" t="s">
        <v>198</v>
      </c>
      <c r="E353" t="s">
        <v>38</v>
      </c>
      <c r="F353" t="s">
        <v>39</v>
      </c>
      <c r="G353" t="s">
        <v>40</v>
      </c>
      <c r="H353" s="3" t="str">
        <f>HYPERLINK("https://www.avito.ru/volgograd/bytovaya_elektronika/h2d_laser_40w_eu_3d_printer_s_lazerom_40vt_8053050623","H2D Laser 40W EU 3D принтер с лазером 40Вт")</f>
      </c>
      <c r="I353" t="s">
        <v>57</v>
      </c>
      <c r="J353" t="s">
        <v>42</v>
      </c>
      <c r="K353" t="s">
        <v>43</v>
      </c>
      <c r="L353">
        <v>50</v>
      </c>
      <c r="M353">
        <v>46</v>
      </c>
      <c r="N353" s="4">
        <v>0.1086</v>
      </c>
      <c r="O353">
        <v>5</v>
      </c>
      <c r="P353" s="5">
        <v>11.2</v>
      </c>
      <c r="Q353" s="4">
        <v>0</v>
      </c>
      <c r="R353">
        <v>0</v>
      </c>
      <c r="S353">
        <v>0</v>
      </c>
      <c r="T353">
        <v>0</v>
      </c>
      <c r="U353">
        <v>0</v>
      </c>
      <c r="V353">
        <v>0</v>
      </c>
      <c r="W353" s="5" t="s">
        <v>65</v>
      </c>
      <c r="X353">
        <v>0</v>
      </c>
      <c r="Y353" s="4">
        <v>0</v>
      </c>
      <c r="Z353">
        <v>0</v>
      </c>
      <c r="AA353" s="5">
        <v>0</v>
      </c>
      <c r="AB353">
        <v>0</v>
      </c>
      <c r="AC353" s="5">
        <v>0</v>
      </c>
      <c r="AD353" s="5">
        <v>56</v>
      </c>
      <c r="AE353" s="5">
        <v>0</v>
      </c>
      <c r="AF353" s="5">
        <v>56</v>
      </c>
      <c r="AG353" s="5">
        <v>0</v>
      </c>
      <c r="AH353" s="5">
        <v>0</v>
      </c>
      <c r="AI353" s="5">
        <v>0</v>
      </c>
    </row>
    <row r="354">
      <c r="A354" s="2" t="str">
        <f>HYPERLINK("https://www.avito.ru/tyumen/bytovaya_elektronika/promyshlennyy_3d_printer_bambu_lab_h2d_laser_10w_8053157048","8053157048")</f>
      </c>
      <c r="B354" t="s">
        <v>145</v>
      </c>
      <c r="C354" t="s">
        <v>146</v>
      </c>
      <c r="D354" t="s">
        <v>147</v>
      </c>
      <c r="E354" t="s">
        <v>38</v>
      </c>
      <c r="F354" t="s">
        <v>39</v>
      </c>
      <c r="G354" t="s">
        <v>40</v>
      </c>
      <c r="H354" s="3" t="str">
        <f>HYPERLINK("https://www.avito.ru/tyumen/bytovaya_elektronika/promyshlennyy_3d_printer_bambu_lab_h2d_laser_10w_8053157048","Промышленный 3Д принтер Bambu Lab H2D Laser 10W")</f>
      </c>
      <c r="I354" t="s">
        <v>95</v>
      </c>
      <c r="J354" t="s">
        <v>42</v>
      </c>
      <c r="K354" t="s">
        <v>43</v>
      </c>
      <c r="L354">
        <v>50</v>
      </c>
      <c r="M354">
        <v>136</v>
      </c>
      <c r="N354" s="4">
        <v>0.0367</v>
      </c>
      <c r="O354">
        <v>5</v>
      </c>
      <c r="P354" s="5">
        <v>11.2</v>
      </c>
      <c r="Q354" s="4">
        <v>0</v>
      </c>
      <c r="R354">
        <v>0</v>
      </c>
      <c r="S354">
        <v>0</v>
      </c>
      <c r="T354">
        <v>0</v>
      </c>
      <c r="U354">
        <v>0</v>
      </c>
      <c r="V354">
        <v>0</v>
      </c>
      <c r="W354" s="5" t="s">
        <v>65</v>
      </c>
      <c r="X354">
        <v>0</v>
      </c>
      <c r="Y354" s="4">
        <v>0</v>
      </c>
      <c r="Z354">
        <v>0</v>
      </c>
      <c r="AA354" s="5">
        <v>0</v>
      </c>
      <c r="AB354">
        <v>0</v>
      </c>
      <c r="AC354" s="5">
        <v>0</v>
      </c>
      <c r="AD354" s="5">
        <v>56</v>
      </c>
      <c r="AE354" s="5">
        <v>0</v>
      </c>
      <c r="AF354" s="5">
        <v>56</v>
      </c>
      <c r="AG354" s="5">
        <v>0</v>
      </c>
      <c r="AH354" s="5">
        <v>0</v>
      </c>
      <c r="AI354" s="5">
        <v>0</v>
      </c>
    </row>
    <row r="355">
      <c r="A355" s="2" t="str">
        <f>HYPERLINK("https://www.avito.ru/yaroslavl/bytovaya_elektronika/3d_printer_h2d_combo_ams2_pro_eu_dlya_biznesa_8053314856","8053314856")</f>
      </c>
      <c r="B355" t="s">
        <v>176</v>
      </c>
      <c r="C355" t="s">
        <v>177</v>
      </c>
      <c r="D355" t="s">
        <v>250</v>
      </c>
      <c r="E355" t="s">
        <v>38</v>
      </c>
      <c r="F355" t="s">
        <v>39</v>
      </c>
      <c r="G355" t="s">
        <v>40</v>
      </c>
      <c r="H355" s="3" t="str">
        <f>HYPERLINK("https://www.avito.ru/yaroslavl/bytovaya_elektronika/3d_printer_h2d_combo_ams2_pro_eu_dlya_biznesa_8053314856","3D принтер H2D Combo AMS2 Pro EU для бизнеса")</f>
      </c>
      <c r="I355" t="s">
        <v>91</v>
      </c>
      <c r="J355" t="s">
        <v>49</v>
      </c>
      <c r="K355" t="s">
        <v>50</v>
      </c>
      <c r="L355">
        <v>52</v>
      </c>
      <c r="M355">
        <v>92</v>
      </c>
      <c r="N355" s="4">
        <v>0.0543</v>
      </c>
      <c r="O355">
        <v>5</v>
      </c>
      <c r="P355" s="5">
        <v>11.2</v>
      </c>
      <c r="Q355" s="4">
        <v>0</v>
      </c>
      <c r="R355">
        <v>0</v>
      </c>
      <c r="S355">
        <v>0</v>
      </c>
      <c r="T355">
        <v>0</v>
      </c>
      <c r="U355">
        <v>0</v>
      </c>
      <c r="V355">
        <v>0</v>
      </c>
      <c r="W355" s="5" t="s">
        <v>65</v>
      </c>
      <c r="X355">
        <v>0</v>
      </c>
      <c r="Y355" s="4">
        <v>0</v>
      </c>
      <c r="Z355">
        <v>0</v>
      </c>
      <c r="AA355" s="5">
        <v>0</v>
      </c>
      <c r="AB355">
        <v>0</v>
      </c>
      <c r="AC355" s="5">
        <v>0</v>
      </c>
      <c r="AD355" s="5">
        <v>56</v>
      </c>
      <c r="AE355" s="5">
        <v>0</v>
      </c>
      <c r="AF355" s="5">
        <v>56</v>
      </c>
      <c r="AG355" s="5">
        <v>0</v>
      </c>
      <c r="AH355" s="5">
        <v>0</v>
      </c>
      <c r="AI355" s="5">
        <v>0</v>
      </c>
    </row>
    <row r="356">
      <c r="A356" s="2" t="str">
        <f>HYPERLINK("https://www.avito.ru/samara/bytovaya_elektronika/bambu_lab_h2d_combo_ams2_pro_eu_8053415059","8053415059")</f>
      </c>
      <c r="B356" t="s">
        <v>173</v>
      </c>
      <c r="C356" t="s">
        <v>174</v>
      </c>
      <c r="D356" t="s">
        <v>175</v>
      </c>
      <c r="E356" t="s">
        <v>38</v>
      </c>
      <c r="F356" t="s">
        <v>39</v>
      </c>
      <c r="G356" t="s">
        <v>40</v>
      </c>
      <c r="H356" s="3" t="str">
        <f>HYPERLINK("https://www.avito.ru/samara/bytovaya_elektronika/bambu_lab_h2d_combo_ams2_pro_eu_8053415059","Bambu Lab H2D Combo AMS2 Pro EU")</f>
      </c>
      <c r="I356" t="s">
        <v>91</v>
      </c>
      <c r="J356" t="s">
        <v>49</v>
      </c>
      <c r="K356" t="s">
        <v>50</v>
      </c>
      <c r="L356">
        <v>52</v>
      </c>
      <c r="M356">
        <v>47</v>
      </c>
      <c r="N356" s="4">
        <v>0.1063</v>
      </c>
      <c r="O356">
        <v>5</v>
      </c>
      <c r="P356" s="5">
        <v>11.2</v>
      </c>
      <c r="Q356" s="4">
        <v>0</v>
      </c>
      <c r="R356">
        <v>0</v>
      </c>
      <c r="S356">
        <v>0</v>
      </c>
      <c r="T356">
        <v>0</v>
      </c>
      <c r="U356">
        <v>0</v>
      </c>
      <c r="V356">
        <v>0</v>
      </c>
      <c r="W356" s="5" t="s">
        <v>65</v>
      </c>
      <c r="X356">
        <v>0</v>
      </c>
      <c r="Y356" s="4">
        <v>0</v>
      </c>
      <c r="Z356">
        <v>0</v>
      </c>
      <c r="AA356" s="5">
        <v>0</v>
      </c>
      <c r="AB356">
        <v>0</v>
      </c>
      <c r="AC356" s="5">
        <v>0</v>
      </c>
      <c r="AD356" s="5">
        <v>56</v>
      </c>
      <c r="AE356" s="5">
        <v>0</v>
      </c>
      <c r="AF356" s="5">
        <v>56</v>
      </c>
      <c r="AG356" s="5">
        <v>0</v>
      </c>
      <c r="AH356" s="5">
        <v>0</v>
      </c>
      <c r="AI356" s="5">
        <v>0</v>
      </c>
    </row>
    <row r="357">
      <c r="A357" s="2" t="str">
        <f>HYPERLINK("https://www.avito.ru/krasnoyarsk/bytovaya_elektronika/3d_printer_elegoo_giga_storm_krasnoyarsk_8053453099","8053453099")</f>
      </c>
      <c r="B357" t="s">
        <v>139</v>
      </c>
      <c r="C357" t="s">
        <v>140</v>
      </c>
      <c r="D357" t="s">
        <v>141</v>
      </c>
      <c r="E357" t="s">
        <v>38</v>
      </c>
      <c r="F357" t="s">
        <v>39</v>
      </c>
      <c r="G357" t="s">
        <v>40</v>
      </c>
      <c r="H357" s="3" t="str">
        <f>HYPERLINK("https://www.avito.ru/krasnoyarsk/bytovaya_elektronika/3d_printer_elegoo_giga_storm_krasnoyarsk_8053453099","3D принтер Elegoo Giga Storm Красноярск")</f>
      </c>
      <c r="I357" t="s">
        <v>64</v>
      </c>
      <c r="J357" t="s">
        <v>42</v>
      </c>
      <c r="K357" t="s">
        <v>43</v>
      </c>
      <c r="L357">
        <v>50</v>
      </c>
      <c r="M357">
        <v>133</v>
      </c>
      <c r="N357" s="4">
        <v>0.0375</v>
      </c>
      <c r="O357">
        <v>5</v>
      </c>
      <c r="P357" s="5">
        <v>11.2</v>
      </c>
      <c r="Q357" s="4">
        <v>0</v>
      </c>
      <c r="R357">
        <v>0</v>
      </c>
      <c r="S357">
        <v>0</v>
      </c>
      <c r="T357">
        <v>0</v>
      </c>
      <c r="U357">
        <v>0</v>
      </c>
      <c r="V357">
        <v>0</v>
      </c>
      <c r="W357" s="5" t="s">
        <v>65</v>
      </c>
      <c r="X357">
        <v>2</v>
      </c>
      <c r="Y357" s="4">
        <v>0</v>
      </c>
      <c r="Z357">
        <v>0</v>
      </c>
      <c r="AA357" s="5">
        <v>0</v>
      </c>
      <c r="AB357">
        <v>0</v>
      </c>
      <c r="AC357" s="5">
        <v>0</v>
      </c>
      <c r="AD357" s="5">
        <v>56</v>
      </c>
      <c r="AE357" s="5">
        <v>0</v>
      </c>
      <c r="AF357" s="5">
        <v>56</v>
      </c>
      <c r="AG357" s="5">
        <v>0</v>
      </c>
      <c r="AH357" s="5">
        <v>0</v>
      </c>
      <c r="AI357" s="5">
        <v>0</v>
      </c>
    </row>
    <row r="358">
      <c r="A358" s="2" t="str">
        <f>HYPERLINK("https://www.avito.ru/tolyatti/bytovaya_elektronika/h2d_combo_ams_2_pro_3d_printer_35_litrov_cn_8053521454","8053521454")</f>
      </c>
      <c r="B358" t="s">
        <v>173</v>
      </c>
      <c r="C358" t="s">
        <v>216</v>
      </c>
      <c r="D358" t="s">
        <v>217</v>
      </c>
      <c r="E358" t="s">
        <v>38</v>
      </c>
      <c r="F358" t="s">
        <v>39</v>
      </c>
      <c r="G358" t="s">
        <v>40</v>
      </c>
      <c r="H358" s="3" t="str">
        <f>HYPERLINK("https://www.avito.ru/tolyatti/bytovaya_elektronika/h2d_combo_ams_2_pro_3d_printer_35_litrov_cn_8053521454","H2D Combo AMS 2 Pro 3D принтер 35 литров CN")</f>
      </c>
      <c r="I358" t="s">
        <v>41</v>
      </c>
      <c r="J358" t="s">
        <v>42</v>
      </c>
      <c r="K358" t="s">
        <v>43</v>
      </c>
      <c r="L358">
        <v>50</v>
      </c>
      <c r="M358">
        <v>69</v>
      </c>
      <c r="N358" s="4">
        <v>0.0724</v>
      </c>
      <c r="O358">
        <v>5</v>
      </c>
      <c r="P358" s="5">
        <v>11.2</v>
      </c>
      <c r="Q358" s="4">
        <v>0</v>
      </c>
      <c r="R358">
        <v>0</v>
      </c>
      <c r="S358">
        <v>0</v>
      </c>
      <c r="T358">
        <v>0</v>
      </c>
      <c r="U358">
        <v>0</v>
      </c>
      <c r="V358">
        <v>0</v>
      </c>
      <c r="W358" s="5" t="s">
        <v>65</v>
      </c>
      <c r="X358">
        <v>0</v>
      </c>
      <c r="Y358" s="4">
        <v>0</v>
      </c>
      <c r="Z358">
        <v>0</v>
      </c>
      <c r="AA358" s="5">
        <v>0</v>
      </c>
      <c r="AB358">
        <v>0</v>
      </c>
      <c r="AC358" s="5">
        <v>0</v>
      </c>
      <c r="AD358" s="5">
        <v>56</v>
      </c>
      <c r="AE358" s="5">
        <v>0</v>
      </c>
      <c r="AF358" s="5">
        <v>56</v>
      </c>
      <c r="AG358" s="5">
        <v>0</v>
      </c>
      <c r="AH358" s="5">
        <v>0</v>
      </c>
      <c r="AI358" s="5">
        <v>0</v>
      </c>
    </row>
    <row r="359">
      <c r="A359" s="2" t="str">
        <f>HYPERLINK("https://www.avito.ru/novosibirsk/bytovaya_elektronika/h2d_combo_ams2_pro_eu_3d_printer_ams_sistema_8053674426","8053674426")</f>
      </c>
      <c r="B359" t="s">
        <v>142</v>
      </c>
      <c r="C359" t="s">
        <v>143</v>
      </c>
      <c r="D359" t="s">
        <v>144</v>
      </c>
      <c r="E359" t="s">
        <v>38</v>
      </c>
      <c r="F359" t="s">
        <v>39</v>
      </c>
      <c r="G359" t="s">
        <v>40</v>
      </c>
      <c r="H359" s="3" t="str">
        <f>HYPERLINK("https://www.avito.ru/novosibirsk/bytovaya_elektronika/h2d_combo_ams2_pro_eu_3d_printer_ams_sistema_8053674426","H2D Combo AMS2 Pro EU 3D принтер (амs система)")</f>
      </c>
      <c r="I359" t="s">
        <v>91</v>
      </c>
      <c r="J359" t="s">
        <v>49</v>
      </c>
      <c r="K359" t="s">
        <v>50</v>
      </c>
      <c r="L359">
        <v>52</v>
      </c>
      <c r="M359">
        <v>45</v>
      </c>
      <c r="N359" s="4">
        <v>0.1111</v>
      </c>
      <c r="O359">
        <v>5</v>
      </c>
      <c r="P359" s="5">
        <v>11.2</v>
      </c>
      <c r="Q359" s="4">
        <v>0</v>
      </c>
      <c r="R359">
        <v>0</v>
      </c>
      <c r="S359">
        <v>0</v>
      </c>
      <c r="T359">
        <v>0</v>
      </c>
      <c r="U359">
        <v>0</v>
      </c>
      <c r="V359">
        <v>0</v>
      </c>
      <c r="W359" s="5" t="s">
        <v>65</v>
      </c>
      <c r="X359">
        <v>0</v>
      </c>
      <c r="Y359" s="4">
        <v>0</v>
      </c>
      <c r="Z359">
        <v>0</v>
      </c>
      <c r="AA359" s="5">
        <v>0</v>
      </c>
      <c r="AB359">
        <v>0</v>
      </c>
      <c r="AC359" s="5">
        <v>0</v>
      </c>
      <c r="AD359" s="5">
        <v>56</v>
      </c>
      <c r="AE359" s="5">
        <v>0</v>
      </c>
      <c r="AF359" s="5">
        <v>56</v>
      </c>
      <c r="AG359" s="5">
        <v>0</v>
      </c>
      <c r="AH359" s="5">
        <v>0</v>
      </c>
      <c r="AI359" s="5">
        <v>0</v>
      </c>
    </row>
    <row r="360">
      <c r="A360" s="2" t="str">
        <f>HYPERLINK("https://www.avito.ru/chelyabinsk/bytovaya_elektronika/h2d_combo_ams_2_pro_3d_printer_120c_stol_8053784663","8053784663")</f>
      </c>
      <c r="B360" t="s">
        <v>66</v>
      </c>
      <c r="C360" t="s">
        <v>67</v>
      </c>
      <c r="D360" t="s">
        <v>68</v>
      </c>
      <c r="E360" t="s">
        <v>38</v>
      </c>
      <c r="F360" t="s">
        <v>39</v>
      </c>
      <c r="G360" t="s">
        <v>40</v>
      </c>
      <c r="H360" s="3" t="str">
        <f>HYPERLINK("https://www.avito.ru/chelyabinsk/bytovaya_elektronika/h2d_combo_ams_2_pro_3d_printer_120c_stol_8053784663","H2D Combo AMS 2 Pro 3D принтер 120C стол")</f>
      </c>
      <c r="I360" t="s">
        <v>91</v>
      </c>
      <c r="J360" t="s">
        <v>42</v>
      </c>
      <c r="K360" t="s">
        <v>43</v>
      </c>
      <c r="L360">
        <v>50</v>
      </c>
      <c r="M360">
        <v>63</v>
      </c>
      <c r="N360" s="4">
        <v>0.0793</v>
      </c>
      <c r="O360">
        <v>5</v>
      </c>
      <c r="P360" s="5">
        <v>11.2</v>
      </c>
      <c r="Q360" s="4">
        <v>0</v>
      </c>
      <c r="R360">
        <v>0</v>
      </c>
      <c r="S360">
        <v>0</v>
      </c>
      <c r="T360">
        <v>0</v>
      </c>
      <c r="U360">
        <v>0</v>
      </c>
      <c r="V360">
        <v>0</v>
      </c>
      <c r="W360" s="5" t="s">
        <v>65</v>
      </c>
      <c r="X360">
        <v>0</v>
      </c>
      <c r="Y360" s="4">
        <v>0</v>
      </c>
      <c r="Z360">
        <v>0</v>
      </c>
      <c r="AA360" s="5">
        <v>0</v>
      </c>
      <c r="AB360">
        <v>0</v>
      </c>
      <c r="AC360" s="5">
        <v>0</v>
      </c>
      <c r="AD360" s="5">
        <v>56</v>
      </c>
      <c r="AE360" s="5">
        <v>0</v>
      </c>
      <c r="AF360" s="5">
        <v>56</v>
      </c>
      <c r="AG360" s="5">
        <v>0</v>
      </c>
      <c r="AH360" s="5">
        <v>0</v>
      </c>
      <c r="AI360" s="5">
        <v>0</v>
      </c>
    </row>
    <row r="361">
      <c r="A361" s="2" t="str">
        <f>HYPERLINK("https://www.avito.ru/moskva/bytovaya_elektronika/3d-printer_bambu_lab_p2s_combo_7989464352","7989464352")</f>
      </c>
      <c r="B361" t="s">
        <v>35</v>
      </c>
      <c r="C361" t="s">
        <v>36</v>
      </c>
      <c r="D361" t="s">
        <v>251</v>
      </c>
      <c r="E361" t="s">
        <v>38</v>
      </c>
      <c r="F361" t="s">
        <v>39</v>
      </c>
      <c r="G361" t="s">
        <v>40</v>
      </c>
      <c r="H361" s="3" t="str">
        <f>HYPERLINK("https://www.avito.ru/moskva/bytovaya_elektronika/3d-printer_bambu_lab_p2s_combo_7989464352","3D-принтер Bambu Lab P2S Combo")</f>
      </c>
      <c r="I361" t="s">
        <v>128</v>
      </c>
      <c r="J361" t="s">
        <v>97</v>
      </c>
      <c r="K361" t="s">
        <v>98</v>
      </c>
      <c r="L361">
        <v>79</v>
      </c>
      <c r="M361">
        <v>47</v>
      </c>
      <c r="N361" s="4">
        <v>0.0851</v>
      </c>
      <c r="O361">
        <v>4</v>
      </c>
      <c r="P361" s="5">
        <v>5.47</v>
      </c>
      <c r="Q361" s="4">
        <v>0</v>
      </c>
      <c r="R361">
        <v>0</v>
      </c>
      <c r="S361">
        <v>0</v>
      </c>
      <c r="T361">
        <v>0</v>
      </c>
      <c r="U361">
        <v>0</v>
      </c>
      <c r="V361">
        <v>0</v>
      </c>
      <c r="W361" s="5" t="s">
        <v>65</v>
      </c>
      <c r="X361">
        <v>0</v>
      </c>
      <c r="Y361" s="4">
        <v>0</v>
      </c>
      <c r="Z361">
        <v>0</v>
      </c>
      <c r="AA361" s="5">
        <v>0</v>
      </c>
      <c r="AB361">
        <v>0</v>
      </c>
      <c r="AC361" s="5">
        <v>0</v>
      </c>
      <c r="AD361" s="5">
        <v>21.91</v>
      </c>
      <c r="AE361" s="5">
        <v>0</v>
      </c>
      <c r="AF361" s="5">
        <v>21.91</v>
      </c>
      <c r="AG361" s="5">
        <v>0</v>
      </c>
      <c r="AH361" s="5">
        <v>0</v>
      </c>
      <c r="AI361" s="5">
        <v>0</v>
      </c>
    </row>
    <row r="362">
      <c r="A362" s="2" t="str">
        <f>HYPERLINK("https://www.avito.ru/kazan/bytovaya_elektronika/h2d_combo_ams2_pro_eu_3d_printer_dlya_inzhenerov_8052924277","8052924277")</f>
      </c>
      <c r="B362" t="s">
        <v>112</v>
      </c>
      <c r="C362" t="s">
        <v>131</v>
      </c>
      <c r="D362" t="s">
        <v>132</v>
      </c>
      <c r="E362" t="s">
        <v>38</v>
      </c>
      <c r="F362" t="s">
        <v>39</v>
      </c>
      <c r="G362" t="s">
        <v>40</v>
      </c>
      <c r="H362" s="3" t="str">
        <f>HYPERLINK("https://www.avito.ru/kazan/bytovaya_elektronika/h2d_combo_ams2_pro_eu_3d_printer_dlya_inzhenerov_8052924277","H2D Combo AMS2 Pro EU 3D принтер для инженеров")</f>
      </c>
      <c r="I362" t="s">
        <v>91</v>
      </c>
      <c r="J362" t="s">
        <v>49</v>
      </c>
      <c r="K362" t="s">
        <v>50</v>
      </c>
      <c r="L362">
        <v>52</v>
      </c>
      <c r="M362">
        <v>79</v>
      </c>
      <c r="N362" s="4">
        <v>0.0506</v>
      </c>
      <c r="O362">
        <v>4</v>
      </c>
      <c r="P362" s="5">
        <v>14</v>
      </c>
      <c r="Q362" s="4">
        <v>0</v>
      </c>
      <c r="R362">
        <v>0</v>
      </c>
      <c r="S362">
        <v>0</v>
      </c>
      <c r="T362">
        <v>0</v>
      </c>
      <c r="U362">
        <v>0</v>
      </c>
      <c r="V362">
        <v>0</v>
      </c>
      <c r="W362" s="5" t="s">
        <v>65</v>
      </c>
      <c r="X362">
        <v>0</v>
      </c>
      <c r="Y362" s="4">
        <v>0</v>
      </c>
      <c r="Z362">
        <v>0</v>
      </c>
      <c r="AA362" s="5">
        <v>0</v>
      </c>
      <c r="AB362">
        <v>0</v>
      </c>
      <c r="AC362" s="5">
        <v>0</v>
      </c>
      <c r="AD362" s="5">
        <v>56</v>
      </c>
      <c r="AE362" s="5">
        <v>0</v>
      </c>
      <c r="AF362" s="5">
        <v>56</v>
      </c>
      <c r="AG362" s="5">
        <v>0</v>
      </c>
      <c r="AH362" s="5">
        <v>0</v>
      </c>
      <c r="AI362" s="5">
        <v>0</v>
      </c>
    </row>
    <row r="363">
      <c r="A363" s="2" t="str">
        <f>HYPERLINK("https://www.avito.ru/volgograd/bytovaya_elektronika/h2s_combo_ams_2_pro_3d_printer_340h320h340_8053024336","8053024336")</f>
      </c>
      <c r="B363" t="s">
        <v>196</v>
      </c>
      <c r="C363" t="s">
        <v>197</v>
      </c>
      <c r="D363" t="s">
        <v>198</v>
      </c>
      <c r="E363" t="s">
        <v>38</v>
      </c>
      <c r="F363" t="s">
        <v>39</v>
      </c>
      <c r="G363" t="s">
        <v>40</v>
      </c>
      <c r="H363" s="3" t="str">
        <f>HYPERLINK("https://www.avito.ru/volgograd/bytovaya_elektronika/h2s_combo_ams_2_pro_3d_printer_340h320h340_8053024336","H2S Combo AMS 2 PRO 3D принтер 340х320х340")</f>
      </c>
      <c r="I363" t="s">
        <v>48</v>
      </c>
      <c r="J363" t="s">
        <v>49</v>
      </c>
      <c r="K363" t="s">
        <v>50</v>
      </c>
      <c r="L363">
        <v>52</v>
      </c>
      <c r="M363">
        <v>69</v>
      </c>
      <c r="N363" s="4">
        <v>0.0579</v>
      </c>
      <c r="O363">
        <v>4</v>
      </c>
      <c r="P363" s="5">
        <v>14</v>
      </c>
      <c r="Q363" s="4">
        <v>0.25</v>
      </c>
      <c r="R363">
        <v>1</v>
      </c>
      <c r="S363">
        <v>1</v>
      </c>
      <c r="T363">
        <v>0</v>
      </c>
      <c r="U363">
        <v>0</v>
      </c>
      <c r="V363">
        <v>0</v>
      </c>
      <c r="W363" s="5">
        <v>56</v>
      </c>
      <c r="X363">
        <v>0</v>
      </c>
      <c r="Y363" s="4">
        <v>0</v>
      </c>
      <c r="Z363">
        <v>0</v>
      </c>
      <c r="AA363" s="5">
        <v>0</v>
      </c>
      <c r="AB363">
        <v>0</v>
      </c>
      <c r="AC363" s="5">
        <v>0</v>
      </c>
      <c r="AD363" s="5">
        <v>56</v>
      </c>
      <c r="AE363" s="5">
        <v>0</v>
      </c>
      <c r="AF363" s="5">
        <v>56</v>
      </c>
      <c r="AG363" s="5">
        <v>0</v>
      </c>
      <c r="AH363" s="5">
        <v>0</v>
      </c>
      <c r="AI363" s="5">
        <v>0</v>
      </c>
    </row>
    <row r="364">
      <c r="A364" s="2" t="str">
        <f>HYPERLINK("https://www.avito.ru/voronezh/bytovaya_elektronika/promyshlennyy_3d_printer_h2c_ams_combo_eu-versiya_8053056029","8053056029")</f>
      </c>
      <c r="B364" t="s">
        <v>109</v>
      </c>
      <c r="C364" t="s">
        <v>110</v>
      </c>
      <c r="D364" t="s">
        <v>111</v>
      </c>
      <c r="E364" t="s">
        <v>38</v>
      </c>
      <c r="F364" t="s">
        <v>39</v>
      </c>
      <c r="G364" t="s">
        <v>40</v>
      </c>
      <c r="H364" s="3" t="str">
        <f>HYPERLINK("https://www.avito.ru/voronezh/bytovaya_elektronika/promyshlennyy_3d_printer_h2c_ams_combo_eu-versiya_8053056029","Промышленный 3D принтер H2C AMS Combo EU-версия")</f>
      </c>
      <c r="I364" t="s">
        <v>83</v>
      </c>
      <c r="J364" t="s">
        <v>49</v>
      </c>
      <c r="K364" t="s">
        <v>50</v>
      </c>
      <c r="L364">
        <v>52</v>
      </c>
      <c r="M364">
        <v>41</v>
      </c>
      <c r="N364" s="4">
        <v>0.0975</v>
      </c>
      <c r="O364">
        <v>4</v>
      </c>
      <c r="P364" s="5">
        <v>14</v>
      </c>
      <c r="Q364" s="4">
        <v>0</v>
      </c>
      <c r="R364">
        <v>0</v>
      </c>
      <c r="S364">
        <v>0</v>
      </c>
      <c r="T364">
        <v>0</v>
      </c>
      <c r="U364">
        <v>0</v>
      </c>
      <c r="V364">
        <v>0</v>
      </c>
      <c r="W364" s="5" t="s">
        <v>65</v>
      </c>
      <c r="X364">
        <v>0</v>
      </c>
      <c r="Y364" s="4">
        <v>0</v>
      </c>
      <c r="Z364">
        <v>0</v>
      </c>
      <c r="AA364" s="5">
        <v>0</v>
      </c>
      <c r="AB364">
        <v>0</v>
      </c>
      <c r="AC364" s="5">
        <v>0</v>
      </c>
      <c r="AD364" s="5">
        <v>56</v>
      </c>
      <c r="AE364" s="5">
        <v>0</v>
      </c>
      <c r="AF364" s="5">
        <v>56</v>
      </c>
      <c r="AG364" s="5">
        <v>0</v>
      </c>
      <c r="AH364" s="5">
        <v>0</v>
      </c>
      <c r="AI364" s="5">
        <v>0</v>
      </c>
    </row>
    <row r="365">
      <c r="A365" s="2" t="str">
        <f>HYPERLINK("https://www.avito.ru/vladivostok/bytovaya_elektronika/h2s_laser_10w_3d_printer_s_lazerom_10vt_eu_8053171385","8053171385")</f>
      </c>
      <c r="B365" t="s">
        <v>190</v>
      </c>
      <c r="C365" t="s">
        <v>191</v>
      </c>
      <c r="D365" t="s">
        <v>192</v>
      </c>
      <c r="E365" t="s">
        <v>38</v>
      </c>
      <c r="F365" t="s">
        <v>39</v>
      </c>
      <c r="G365" t="s">
        <v>40</v>
      </c>
      <c r="H365" s="3" t="str">
        <f>HYPERLINK("https://www.avito.ru/vladivostok/bytovaya_elektronika/h2s_laser_10w_3d_printer_s_lazerom_10vt_eu_8053171385","H2S Laser 10W 3D принтер с лазером 10Вт EU")</f>
      </c>
      <c r="I365" t="s">
        <v>129</v>
      </c>
      <c r="J365" t="s">
        <v>115</v>
      </c>
      <c r="K365" t="s">
        <v>116</v>
      </c>
      <c r="L365">
        <v>51</v>
      </c>
      <c r="M365">
        <v>99</v>
      </c>
      <c r="N365" s="4">
        <v>0.0404</v>
      </c>
      <c r="O365">
        <v>4</v>
      </c>
      <c r="P365" s="5">
        <v>14</v>
      </c>
      <c r="Q365" s="4">
        <v>0</v>
      </c>
      <c r="R365">
        <v>0</v>
      </c>
      <c r="S365">
        <v>0</v>
      </c>
      <c r="T365">
        <v>0</v>
      </c>
      <c r="U365">
        <v>0</v>
      </c>
      <c r="V365">
        <v>0</v>
      </c>
      <c r="W365" s="5" t="s">
        <v>65</v>
      </c>
      <c r="X365">
        <v>0</v>
      </c>
      <c r="Y365" s="4">
        <v>0</v>
      </c>
      <c r="Z365">
        <v>0</v>
      </c>
      <c r="AA365" s="5">
        <v>0</v>
      </c>
      <c r="AB365">
        <v>0</v>
      </c>
      <c r="AC365" s="5">
        <v>0</v>
      </c>
      <c r="AD365" s="5">
        <v>56</v>
      </c>
      <c r="AE365" s="5">
        <v>0</v>
      </c>
      <c r="AF365" s="5">
        <v>56</v>
      </c>
      <c r="AG365" s="5">
        <v>0</v>
      </c>
      <c r="AH365" s="5">
        <v>0</v>
      </c>
      <c r="AI365" s="5">
        <v>0</v>
      </c>
    </row>
    <row r="366">
      <c r="A366" s="2" t="str">
        <f>HYPERLINK("https://www.avito.ru/chelyabinsk/bytovaya_elektronika/bambu_lab_h2d_combo_ams2_pro_eu-versiya_8053177480","8053177480")</f>
      </c>
      <c r="B366" t="s">
        <v>66</v>
      </c>
      <c r="C366" t="s">
        <v>67</v>
      </c>
      <c r="D366" t="s">
        <v>252</v>
      </c>
      <c r="E366" t="s">
        <v>38</v>
      </c>
      <c r="F366" t="s">
        <v>39</v>
      </c>
      <c r="G366" t="s">
        <v>40</v>
      </c>
      <c r="H366" s="3" t="str">
        <f>HYPERLINK("https://www.avito.ru/chelyabinsk/bytovaya_elektronika/bambu_lab_h2d_combo_ams2_pro_eu-versiya_8053177480","Bambu Lab H2D Combo AMS2 Pro EU-версия")</f>
      </c>
      <c r="I366" t="s">
        <v>91</v>
      </c>
      <c r="J366" t="s">
        <v>49</v>
      </c>
      <c r="K366" t="s">
        <v>50</v>
      </c>
      <c r="L366">
        <v>52</v>
      </c>
      <c r="M366">
        <v>49</v>
      </c>
      <c r="N366" s="4">
        <v>0.0816</v>
      </c>
      <c r="O366">
        <v>4</v>
      </c>
      <c r="P366" s="5">
        <v>14</v>
      </c>
      <c r="Q366" s="4">
        <v>0</v>
      </c>
      <c r="R366">
        <v>0</v>
      </c>
      <c r="S366">
        <v>0</v>
      </c>
      <c r="T366">
        <v>0</v>
      </c>
      <c r="U366">
        <v>0</v>
      </c>
      <c r="V366">
        <v>0</v>
      </c>
      <c r="W366" s="5" t="s">
        <v>65</v>
      </c>
      <c r="X366">
        <v>0</v>
      </c>
      <c r="Y366" s="4">
        <v>0</v>
      </c>
      <c r="Z366">
        <v>0</v>
      </c>
      <c r="AA366" s="5">
        <v>0</v>
      </c>
      <c r="AB366">
        <v>0</v>
      </c>
      <c r="AC366" s="5">
        <v>0</v>
      </c>
      <c r="AD366" s="5">
        <v>56</v>
      </c>
      <c r="AE366" s="5">
        <v>0</v>
      </c>
      <c r="AF366" s="5">
        <v>56</v>
      </c>
      <c r="AG366" s="5">
        <v>0</v>
      </c>
      <c r="AH366" s="5">
        <v>0</v>
      </c>
      <c r="AI366" s="5">
        <v>0</v>
      </c>
    </row>
    <row r="367">
      <c r="A367" s="2" t="str">
        <f>HYPERLINK("https://www.avito.ru/moskva/bytovaya_elektronika/3d-printer_bambu_lab_h2d_combo_eu_novyy_8053323613","8053323613")</f>
      </c>
      <c r="B367" t="s">
        <v>35</v>
      </c>
      <c r="C367" t="s">
        <v>36</v>
      </c>
      <c r="D367" t="s">
        <v>37</v>
      </c>
      <c r="E367" t="s">
        <v>38</v>
      </c>
      <c r="F367" t="s">
        <v>39</v>
      </c>
      <c r="G367" t="s">
        <v>40</v>
      </c>
      <c r="H367" s="3" t="str">
        <f>HYPERLINK("https://www.avito.ru/moskva/bytovaya_elektronika/3d-printer_bambu_lab_h2d_combo_eu_novyy_8053323613","3D-принтер Bambu Lab H2D Combo EU новый")</f>
      </c>
      <c r="I367" t="s">
        <v>91</v>
      </c>
      <c r="J367" t="s">
        <v>49</v>
      </c>
      <c r="K367" t="s">
        <v>50</v>
      </c>
      <c r="L367">
        <v>52</v>
      </c>
      <c r="M367">
        <v>42</v>
      </c>
      <c r="N367" s="4">
        <v>0.0952</v>
      </c>
      <c r="O367">
        <v>4</v>
      </c>
      <c r="P367" s="5">
        <v>21.25</v>
      </c>
      <c r="Q367" s="4">
        <v>0</v>
      </c>
      <c r="R367">
        <v>0</v>
      </c>
      <c r="S367">
        <v>0</v>
      </c>
      <c r="T367">
        <v>0</v>
      </c>
      <c r="U367">
        <v>0</v>
      </c>
      <c r="V367">
        <v>0</v>
      </c>
      <c r="W367" s="5" t="s">
        <v>65</v>
      </c>
      <c r="X367">
        <v>0</v>
      </c>
      <c r="Y367" s="4">
        <v>0</v>
      </c>
      <c r="Z367">
        <v>0</v>
      </c>
      <c r="AA367" s="5">
        <v>0</v>
      </c>
      <c r="AB367">
        <v>0</v>
      </c>
      <c r="AC367" s="5">
        <v>0</v>
      </c>
      <c r="AD367" s="5">
        <v>85</v>
      </c>
      <c r="AE367" s="5">
        <v>0</v>
      </c>
      <c r="AF367" s="5">
        <v>85</v>
      </c>
      <c r="AG367" s="5">
        <v>0</v>
      </c>
      <c r="AH367" s="5">
        <v>0</v>
      </c>
      <c r="AI367" s="5">
        <v>0</v>
      </c>
    </row>
    <row r="368">
      <c r="A368" s="2" t="str">
        <f>HYPERLINK("https://www.avito.ru/volgograd/bytovaya_elektronika/3d_printer_h2c_ams_combo_eu_versiya_s_sistemoy_vortek_8053380998","8053380998")</f>
      </c>
      <c r="B368" t="s">
        <v>196</v>
      </c>
      <c r="C368" t="s">
        <v>197</v>
      </c>
      <c r="D368" t="s">
        <v>198</v>
      </c>
      <c r="E368" t="s">
        <v>38</v>
      </c>
      <c r="F368" t="s">
        <v>39</v>
      </c>
      <c r="G368" t="s">
        <v>40</v>
      </c>
      <c r="H368" s="3" t="str">
        <f>HYPERLINK("https://www.avito.ru/volgograd/bytovaya_elektronika/3d_printer_h2c_ams_combo_eu_versiya_s_sistemoy_vortek_8053380998","3Д принтер H2C AMS Combo EU версия с системой Vortek")</f>
      </c>
      <c r="I368" t="s">
        <v>83</v>
      </c>
      <c r="J368" t="s">
        <v>49</v>
      </c>
      <c r="K368" t="s">
        <v>50</v>
      </c>
      <c r="L368">
        <v>52</v>
      </c>
      <c r="M368">
        <v>35</v>
      </c>
      <c r="N368" s="4">
        <v>0.1142</v>
      </c>
      <c r="O368">
        <v>4</v>
      </c>
      <c r="P368" s="5">
        <v>14</v>
      </c>
      <c r="Q368" s="4">
        <v>0</v>
      </c>
      <c r="R368">
        <v>0</v>
      </c>
      <c r="S368">
        <v>0</v>
      </c>
      <c r="T368">
        <v>0</v>
      </c>
      <c r="U368">
        <v>0</v>
      </c>
      <c r="V368">
        <v>0</v>
      </c>
      <c r="W368" s="5" t="s">
        <v>65</v>
      </c>
      <c r="X368">
        <v>0</v>
      </c>
      <c r="Y368" s="4">
        <v>0</v>
      </c>
      <c r="Z368">
        <v>0</v>
      </c>
      <c r="AA368" s="5">
        <v>0</v>
      </c>
      <c r="AB368">
        <v>0</v>
      </c>
      <c r="AC368" s="5">
        <v>0</v>
      </c>
      <c r="AD368" s="5">
        <v>56</v>
      </c>
      <c r="AE368" s="5">
        <v>0</v>
      </c>
      <c r="AF368" s="5">
        <v>56</v>
      </c>
      <c r="AG368" s="5">
        <v>0</v>
      </c>
      <c r="AH368" s="5">
        <v>0</v>
      </c>
      <c r="AI368" s="5">
        <v>0</v>
      </c>
    </row>
    <row r="369">
      <c r="A369" s="2" t="str">
        <f>HYPERLINK("https://www.avito.ru/izhevsk/bytovaya_elektronika/h2c_ams_combo_3d_printer_325h320h325_promyshlennyy_8053384476","8053384476")</f>
      </c>
      <c r="B369" t="s">
        <v>149</v>
      </c>
      <c r="C369" t="s">
        <v>150</v>
      </c>
      <c r="D369" t="s">
        <v>151</v>
      </c>
      <c r="E369" t="s">
        <v>38</v>
      </c>
      <c r="F369" t="s">
        <v>39</v>
      </c>
      <c r="G369" t="s">
        <v>40</v>
      </c>
      <c r="H369" s="3" t="str">
        <f>HYPERLINK("https://www.avito.ru/izhevsk/bytovaya_elektronika/h2c_ams_combo_3d_printer_325h320h325_promyshlennyy_8053384476","H2C AMS Combo 3D принтер 325х320х325 промышленный")</f>
      </c>
      <c r="I369" t="s">
        <v>83</v>
      </c>
      <c r="J369" t="s">
        <v>49</v>
      </c>
      <c r="K369" t="s">
        <v>50</v>
      </c>
      <c r="L369">
        <v>52</v>
      </c>
      <c r="M369">
        <v>34</v>
      </c>
      <c r="N369" s="4">
        <v>0.1176</v>
      </c>
      <c r="O369">
        <v>4</v>
      </c>
      <c r="P369" s="5">
        <v>14</v>
      </c>
      <c r="Q369" s="4">
        <v>0</v>
      </c>
      <c r="R369">
        <v>0</v>
      </c>
      <c r="S369">
        <v>0</v>
      </c>
      <c r="T369">
        <v>0</v>
      </c>
      <c r="U369">
        <v>0</v>
      </c>
      <c r="V369">
        <v>0</v>
      </c>
      <c r="W369" s="5" t="s">
        <v>65</v>
      </c>
      <c r="X369">
        <v>0</v>
      </c>
      <c r="Y369" s="4">
        <v>0</v>
      </c>
      <c r="Z369">
        <v>0</v>
      </c>
      <c r="AA369" s="5">
        <v>0</v>
      </c>
      <c r="AB369">
        <v>0</v>
      </c>
      <c r="AC369" s="5">
        <v>0</v>
      </c>
      <c r="AD369" s="5">
        <v>56</v>
      </c>
      <c r="AE369" s="5">
        <v>0</v>
      </c>
      <c r="AF369" s="5">
        <v>56</v>
      </c>
      <c r="AG369" s="5">
        <v>0</v>
      </c>
      <c r="AH369" s="5">
        <v>0</v>
      </c>
      <c r="AI369" s="5">
        <v>0</v>
      </c>
    </row>
    <row r="370">
      <c r="A370" s="2" t="str">
        <f>HYPERLINK("https://www.avito.ru/ufa/bytovaya_elektronika/h2d_combo_ams2_pro_eu_dlya_pechati_8053421907","8053421907")</f>
      </c>
      <c r="B370" t="s">
        <v>179</v>
      </c>
      <c r="C370" t="s">
        <v>180</v>
      </c>
      <c r="D370" t="s">
        <v>181</v>
      </c>
      <c r="E370" t="s">
        <v>38</v>
      </c>
      <c r="F370" t="s">
        <v>39</v>
      </c>
      <c r="G370" t="s">
        <v>40</v>
      </c>
      <c r="H370" s="3" t="str">
        <f>HYPERLINK("https://www.avito.ru/ufa/bytovaya_elektronika/h2d_combo_ams2_pro_eu_dlya_pechati_8053421907","H2D Combo AMS2 Pro EU для печати")</f>
      </c>
      <c r="I370" t="s">
        <v>91</v>
      </c>
      <c r="J370" t="s">
        <v>49</v>
      </c>
      <c r="K370" t="s">
        <v>50</v>
      </c>
      <c r="L370">
        <v>52</v>
      </c>
      <c r="M370">
        <v>32</v>
      </c>
      <c r="N370" s="4">
        <v>0.125</v>
      </c>
      <c r="O370">
        <v>4</v>
      </c>
      <c r="P370" s="5">
        <v>14</v>
      </c>
      <c r="Q370" s="4">
        <v>0</v>
      </c>
      <c r="R370">
        <v>0</v>
      </c>
      <c r="S370">
        <v>0</v>
      </c>
      <c r="T370">
        <v>0</v>
      </c>
      <c r="U370">
        <v>0</v>
      </c>
      <c r="V370">
        <v>0</v>
      </c>
      <c r="W370" s="5" t="s">
        <v>65</v>
      </c>
      <c r="X370">
        <v>0</v>
      </c>
      <c r="Y370" s="4">
        <v>0</v>
      </c>
      <c r="Z370">
        <v>0</v>
      </c>
      <c r="AA370" s="5">
        <v>0</v>
      </c>
      <c r="AB370">
        <v>0</v>
      </c>
      <c r="AC370" s="5">
        <v>0</v>
      </c>
      <c r="AD370" s="5">
        <v>56</v>
      </c>
      <c r="AE370" s="5">
        <v>0</v>
      </c>
      <c r="AF370" s="5">
        <v>56</v>
      </c>
      <c r="AG370" s="5">
        <v>0</v>
      </c>
      <c r="AH370" s="5">
        <v>0</v>
      </c>
      <c r="AI370" s="5">
        <v>0</v>
      </c>
    </row>
    <row r="371">
      <c r="A371" s="2" t="str">
        <f>HYPERLINK("https://www.avito.ru/tyumen/bytovaya_elektronika/h2d_combo_ams2_pro_eu_zakrytyy_3d_printer_8053423624","8053423624")</f>
      </c>
      <c r="B371" t="s">
        <v>145</v>
      </c>
      <c r="C371" t="s">
        <v>146</v>
      </c>
      <c r="D371" t="s">
        <v>253</v>
      </c>
      <c r="E371" t="s">
        <v>38</v>
      </c>
      <c r="F371" t="s">
        <v>39</v>
      </c>
      <c r="G371" t="s">
        <v>40</v>
      </c>
      <c r="H371" s="3" t="str">
        <f>HYPERLINK("https://www.avito.ru/tyumen/bytovaya_elektronika/h2d_combo_ams2_pro_eu_zakrytyy_3d_printer_8053423624","H2D Combo AMS2 Pro EU закрытый 3D принтер")</f>
      </c>
      <c r="I371" t="s">
        <v>91</v>
      </c>
      <c r="J371" t="s">
        <v>49</v>
      </c>
      <c r="K371" t="s">
        <v>50</v>
      </c>
      <c r="L371">
        <v>52</v>
      </c>
      <c r="M371">
        <v>36</v>
      </c>
      <c r="N371" s="4">
        <v>0.1111</v>
      </c>
      <c r="O371">
        <v>4</v>
      </c>
      <c r="P371" s="5">
        <v>14</v>
      </c>
      <c r="Q371" s="4">
        <v>0</v>
      </c>
      <c r="R371">
        <v>0</v>
      </c>
      <c r="S371">
        <v>0</v>
      </c>
      <c r="T371">
        <v>0</v>
      </c>
      <c r="U371">
        <v>0</v>
      </c>
      <c r="V371">
        <v>0</v>
      </c>
      <c r="W371" s="5" t="s">
        <v>65</v>
      </c>
      <c r="X371">
        <v>0</v>
      </c>
      <c r="Y371" s="4">
        <v>0</v>
      </c>
      <c r="Z371">
        <v>0</v>
      </c>
      <c r="AA371" s="5">
        <v>0</v>
      </c>
      <c r="AB371">
        <v>0</v>
      </c>
      <c r="AC371" s="5">
        <v>0</v>
      </c>
      <c r="AD371" s="5">
        <v>56</v>
      </c>
      <c r="AE371" s="5">
        <v>0</v>
      </c>
      <c r="AF371" s="5">
        <v>56</v>
      </c>
      <c r="AG371" s="5">
        <v>0</v>
      </c>
      <c r="AH371" s="5">
        <v>0</v>
      </c>
      <c r="AI371" s="5">
        <v>0</v>
      </c>
    </row>
    <row r="372">
      <c r="A372" s="2" t="str">
        <f>HYPERLINK("https://www.avito.ru/moskva/bytovaya_elektronika/h2d_combo_ams2_pro_eu_3d_printer_vysokotochnyy_novyy_8053472377","8053472377")</f>
      </c>
      <c r="B372" t="s">
        <v>35</v>
      </c>
      <c r="C372" t="s">
        <v>36</v>
      </c>
      <c r="D372" t="s">
        <v>254</v>
      </c>
      <c r="E372" t="s">
        <v>38</v>
      </c>
      <c r="F372" t="s">
        <v>39</v>
      </c>
      <c r="G372" t="s">
        <v>40</v>
      </c>
      <c r="H372" s="3" t="str">
        <f>HYPERLINK("https://www.avito.ru/moskva/bytovaya_elektronika/h2d_combo_ams2_pro_eu_3d_printer_vysokotochnyy_novyy_8053472377","H2D Combo AMS2 Pro EU 3D принтер высокоточный Новый")</f>
      </c>
      <c r="I372" t="s">
        <v>91</v>
      </c>
      <c r="J372" t="s">
        <v>49</v>
      </c>
      <c r="K372" t="s">
        <v>50</v>
      </c>
      <c r="L372">
        <v>52</v>
      </c>
      <c r="M372">
        <v>61</v>
      </c>
      <c r="N372" s="4">
        <v>0.0655</v>
      </c>
      <c r="O372">
        <v>4</v>
      </c>
      <c r="P372" s="5">
        <v>21.25</v>
      </c>
      <c r="Q372" s="4">
        <v>0</v>
      </c>
      <c r="R372">
        <v>0</v>
      </c>
      <c r="S372">
        <v>0</v>
      </c>
      <c r="T372">
        <v>0</v>
      </c>
      <c r="U372">
        <v>0</v>
      </c>
      <c r="V372">
        <v>0</v>
      </c>
      <c r="W372" s="5" t="s">
        <v>65</v>
      </c>
      <c r="X372">
        <v>0</v>
      </c>
      <c r="Y372" s="4">
        <v>0</v>
      </c>
      <c r="Z372">
        <v>0</v>
      </c>
      <c r="AA372" s="5">
        <v>0</v>
      </c>
      <c r="AB372">
        <v>0</v>
      </c>
      <c r="AC372" s="5">
        <v>0</v>
      </c>
      <c r="AD372" s="5">
        <v>85</v>
      </c>
      <c r="AE372" s="5">
        <v>0</v>
      </c>
      <c r="AF372" s="5">
        <v>85</v>
      </c>
      <c r="AG372" s="5">
        <v>0</v>
      </c>
      <c r="AH372" s="5">
        <v>0</v>
      </c>
      <c r="AI372" s="5">
        <v>0</v>
      </c>
    </row>
    <row r="373">
      <c r="A373" s="2" t="str">
        <f>HYPERLINK("https://www.avito.ru/izhevsk/bytovaya_elektronika/h2s_laser_10w_printer_3d_bambu_lab_eu_8053624571","8053624571")</f>
      </c>
      <c r="B373" t="s">
        <v>149</v>
      </c>
      <c r="C373" t="s">
        <v>150</v>
      </c>
      <c r="D373" t="s">
        <v>151</v>
      </c>
      <c r="E373" t="s">
        <v>38</v>
      </c>
      <c r="F373" t="s">
        <v>39</v>
      </c>
      <c r="G373" t="s">
        <v>40</v>
      </c>
      <c r="H373" s="3" t="str">
        <f>HYPERLINK("https://www.avito.ru/izhevsk/bytovaya_elektronika/h2s_laser_10w_printer_3d_bambu_lab_eu_8053624571","H2S Laser 10W принтер 3D Bambu Lab EU")</f>
      </c>
      <c r="I373" t="s">
        <v>129</v>
      </c>
      <c r="J373" t="s">
        <v>115</v>
      </c>
      <c r="K373" t="s">
        <v>116</v>
      </c>
      <c r="L373">
        <v>51</v>
      </c>
      <c r="M373">
        <v>151</v>
      </c>
      <c r="N373" s="4">
        <v>0.0264</v>
      </c>
      <c r="O373">
        <v>4</v>
      </c>
      <c r="P373" s="5">
        <v>14</v>
      </c>
      <c r="Q373" s="4">
        <v>0</v>
      </c>
      <c r="R373">
        <v>0</v>
      </c>
      <c r="S373">
        <v>0</v>
      </c>
      <c r="T373">
        <v>0</v>
      </c>
      <c r="U373">
        <v>0</v>
      </c>
      <c r="V373">
        <v>0</v>
      </c>
      <c r="W373" s="5" t="s">
        <v>65</v>
      </c>
      <c r="X373">
        <v>0</v>
      </c>
      <c r="Y373" s="4">
        <v>0</v>
      </c>
      <c r="Z373">
        <v>0</v>
      </c>
      <c r="AA373" s="5">
        <v>0</v>
      </c>
      <c r="AB373">
        <v>0</v>
      </c>
      <c r="AC373" s="5">
        <v>0</v>
      </c>
      <c r="AD373" s="5">
        <v>56</v>
      </c>
      <c r="AE373" s="5">
        <v>0</v>
      </c>
      <c r="AF373" s="5">
        <v>56</v>
      </c>
      <c r="AG373" s="5">
        <v>0</v>
      </c>
      <c r="AH373" s="5">
        <v>0</v>
      </c>
      <c r="AI373" s="5">
        <v>0</v>
      </c>
    </row>
    <row r="374">
      <c r="A374" s="2" t="str">
        <f>HYPERLINK("https://www.avito.ru/ufa/bytovaya_elektronika/bambu_lab_h2c_laser_10w_eu_dlya_masterskoy_8053885605","8053885605")</f>
      </c>
      <c r="B374" t="s">
        <v>179</v>
      </c>
      <c r="C374" t="s">
        <v>180</v>
      </c>
      <c r="D374" t="s">
        <v>181</v>
      </c>
      <c r="E374" t="s">
        <v>38</v>
      </c>
      <c r="F374" t="s">
        <v>39</v>
      </c>
      <c r="G374" t="s">
        <v>40</v>
      </c>
      <c r="H374" s="3" t="str">
        <f>HYPERLINK("https://www.avito.ru/ufa/bytovaya_elektronika/bambu_lab_h2c_laser_10w_eu_dlya_masterskoy_8053885605","Bambu Lab H2C Laser 10W EU для мастерской")</f>
      </c>
      <c r="I374" t="s">
        <v>69</v>
      </c>
      <c r="J374" t="s">
        <v>49</v>
      </c>
      <c r="K374" t="s">
        <v>50</v>
      </c>
      <c r="L374">
        <v>52</v>
      </c>
      <c r="M374">
        <v>51</v>
      </c>
      <c r="N374" s="4">
        <v>0.0784</v>
      </c>
      <c r="O374">
        <v>4</v>
      </c>
      <c r="P374" s="5">
        <v>14</v>
      </c>
      <c r="Q374" s="4">
        <v>0</v>
      </c>
      <c r="R374">
        <v>0</v>
      </c>
      <c r="S374">
        <v>0</v>
      </c>
      <c r="T374">
        <v>0</v>
      </c>
      <c r="U374">
        <v>0</v>
      </c>
      <c r="V374">
        <v>0</v>
      </c>
      <c r="W374" s="5" t="s">
        <v>65</v>
      </c>
      <c r="X374">
        <v>0</v>
      </c>
      <c r="Y374" s="4">
        <v>0</v>
      </c>
      <c r="Z374">
        <v>0</v>
      </c>
      <c r="AA374" s="5">
        <v>0</v>
      </c>
      <c r="AB374">
        <v>0</v>
      </c>
      <c r="AC374" s="5">
        <v>0</v>
      </c>
      <c r="AD374" s="5">
        <v>56</v>
      </c>
      <c r="AE374" s="5">
        <v>0</v>
      </c>
      <c r="AF374" s="5">
        <v>56</v>
      </c>
      <c r="AG374" s="5">
        <v>0</v>
      </c>
      <c r="AH374" s="5">
        <v>0</v>
      </c>
      <c r="AI374" s="5">
        <v>0</v>
      </c>
    </row>
    <row r="375">
      <c r="A375" s="2" t="str">
        <f>HYPERLINK("https://www.avito.ru/krasnoyarsk/bytovaya_elektronika/bambu_lab_h2c_ams_combo_promyshlennyy_klass_8052911747","8052911747")</f>
      </c>
      <c r="B375" t="s">
        <v>139</v>
      </c>
      <c r="C375" t="s">
        <v>140</v>
      </c>
      <c r="D375" t="s">
        <v>141</v>
      </c>
      <c r="E375" t="s">
        <v>38</v>
      </c>
      <c r="F375" t="s">
        <v>39</v>
      </c>
      <c r="G375" t="s">
        <v>40</v>
      </c>
      <c r="H375" s="3" t="str">
        <f>HYPERLINK("https://www.avito.ru/krasnoyarsk/bytovaya_elektronika/bambu_lab_h2c_ams_combo_promyshlennyy_klass_8052911747","Bambu Lab H2C AMS Combo промышленный класс")</f>
      </c>
      <c r="I375" t="s">
        <v>83</v>
      </c>
      <c r="J375" t="s">
        <v>49</v>
      </c>
      <c r="K375" t="s">
        <v>50</v>
      </c>
      <c r="L375">
        <v>52</v>
      </c>
      <c r="M375">
        <v>49</v>
      </c>
      <c r="N375" s="4">
        <v>0.0612</v>
      </c>
      <c r="O375">
        <v>3</v>
      </c>
      <c r="P375" s="5">
        <v>18.66</v>
      </c>
      <c r="Q375" s="4">
        <v>0</v>
      </c>
      <c r="R375">
        <v>0</v>
      </c>
      <c r="S375">
        <v>0</v>
      </c>
      <c r="T375">
        <v>0</v>
      </c>
      <c r="U375">
        <v>0</v>
      </c>
      <c r="V375">
        <v>0</v>
      </c>
      <c r="W375" s="5" t="s">
        <v>65</v>
      </c>
      <c r="X375">
        <v>0</v>
      </c>
      <c r="Y375" s="4">
        <v>0</v>
      </c>
      <c r="Z375">
        <v>0</v>
      </c>
      <c r="AA375" s="5">
        <v>0</v>
      </c>
      <c r="AB375">
        <v>0</v>
      </c>
      <c r="AC375" s="5">
        <v>0</v>
      </c>
      <c r="AD375" s="5">
        <v>56</v>
      </c>
      <c r="AE375" s="5">
        <v>0</v>
      </c>
      <c r="AF375" s="5">
        <v>56</v>
      </c>
      <c r="AG375" s="5">
        <v>0</v>
      </c>
      <c r="AH375" s="5">
        <v>0</v>
      </c>
      <c r="AI375" s="5">
        <v>0</v>
      </c>
    </row>
    <row r="376">
      <c r="A376" s="2" t="str">
        <f>HYPERLINK("https://www.avito.ru/nizhniy_novgorod/bytovaya_elektronika/3d_printer_h2d_combo_ams2_pro_eu_dlya_biznesa_8052989213","8052989213")</f>
      </c>
      <c r="B376" t="s">
        <v>125</v>
      </c>
      <c r="C376" t="s">
        <v>126</v>
      </c>
      <c r="D376" t="s">
        <v>127</v>
      </c>
      <c r="E376" t="s">
        <v>38</v>
      </c>
      <c r="F376" t="s">
        <v>39</v>
      </c>
      <c r="G376" t="s">
        <v>40</v>
      </c>
      <c r="H376" s="3" t="str">
        <f>HYPERLINK("https://www.avito.ru/nizhniy_novgorod/bytovaya_elektronika/3d_printer_h2d_combo_ams2_pro_eu_dlya_biznesa_8052989213","3D принтер H2D Combo AMS2 Pro EU для бизнеса")</f>
      </c>
      <c r="I376" t="s">
        <v>91</v>
      </c>
      <c r="J376" t="s">
        <v>49</v>
      </c>
      <c r="K376" t="s">
        <v>50</v>
      </c>
      <c r="L376">
        <v>52</v>
      </c>
      <c r="M376">
        <v>40</v>
      </c>
      <c r="N376" s="4">
        <v>0.075</v>
      </c>
      <c r="O376">
        <v>3</v>
      </c>
      <c r="P376" s="5">
        <v>18.66</v>
      </c>
      <c r="Q376" s="4">
        <v>0</v>
      </c>
      <c r="R376">
        <v>0</v>
      </c>
      <c r="S376">
        <v>0</v>
      </c>
      <c r="T376">
        <v>0</v>
      </c>
      <c r="U376">
        <v>0</v>
      </c>
      <c r="V376">
        <v>0</v>
      </c>
      <c r="W376" s="5" t="s">
        <v>65</v>
      </c>
      <c r="X376">
        <v>0</v>
      </c>
      <c r="Y376" s="4">
        <v>0</v>
      </c>
      <c r="Z376">
        <v>0</v>
      </c>
      <c r="AA376" s="5">
        <v>0</v>
      </c>
      <c r="AB376">
        <v>0</v>
      </c>
      <c r="AC376" s="5">
        <v>0</v>
      </c>
      <c r="AD376" s="5">
        <v>56</v>
      </c>
      <c r="AE376" s="5">
        <v>0</v>
      </c>
      <c r="AF376" s="5">
        <v>56</v>
      </c>
      <c r="AG376" s="5">
        <v>0</v>
      </c>
      <c r="AH376" s="5">
        <v>0</v>
      </c>
      <c r="AI376" s="5">
        <v>0</v>
      </c>
    </row>
    <row r="377">
      <c r="A377" s="2" t="str">
        <f>HYPERLINK("https://www.avito.ru/kazan/bytovaya_elektronika/3d_printer_h2s_laser_10w_dlya_biznesa_eu_8053450496","8053450496")</f>
      </c>
      <c r="B377" t="s">
        <v>112</v>
      </c>
      <c r="C377" t="s">
        <v>131</v>
      </c>
      <c r="D377" t="s">
        <v>132</v>
      </c>
      <c r="E377" t="s">
        <v>38</v>
      </c>
      <c r="F377" t="s">
        <v>39</v>
      </c>
      <c r="G377" t="s">
        <v>40</v>
      </c>
      <c r="H377" s="3" t="str">
        <f>HYPERLINK("https://www.avito.ru/kazan/bytovaya_elektronika/3d_printer_h2s_laser_10w_dlya_biznesa_eu_8053450496","3D принтер H2S Laser 10W для бизнеса EU")</f>
      </c>
      <c r="I377" t="s">
        <v>129</v>
      </c>
      <c r="J377" t="s">
        <v>115</v>
      </c>
      <c r="K377" t="s">
        <v>116</v>
      </c>
      <c r="L377">
        <v>51</v>
      </c>
      <c r="M377">
        <v>279</v>
      </c>
      <c r="N377" s="4">
        <v>0.0107</v>
      </c>
      <c r="O377">
        <v>3</v>
      </c>
      <c r="P377" s="5">
        <v>18.66</v>
      </c>
      <c r="Q377" s="4">
        <v>0</v>
      </c>
      <c r="R377">
        <v>0</v>
      </c>
      <c r="S377">
        <v>0</v>
      </c>
      <c r="T377">
        <v>0</v>
      </c>
      <c r="U377">
        <v>0</v>
      </c>
      <c r="V377">
        <v>0</v>
      </c>
      <c r="W377" s="5" t="s">
        <v>65</v>
      </c>
      <c r="X377">
        <v>1</v>
      </c>
      <c r="Y377" s="4">
        <v>0</v>
      </c>
      <c r="Z377">
        <v>0</v>
      </c>
      <c r="AA377" s="5">
        <v>0</v>
      </c>
      <c r="AB377">
        <v>0</v>
      </c>
      <c r="AC377" s="5">
        <v>0</v>
      </c>
      <c r="AD377" s="5">
        <v>56</v>
      </c>
      <c r="AE377" s="5">
        <v>0</v>
      </c>
      <c r="AF377" s="5">
        <v>56</v>
      </c>
      <c r="AG377" s="5">
        <v>0</v>
      </c>
      <c r="AH377" s="5">
        <v>0</v>
      </c>
      <c r="AI377" s="5">
        <v>0</v>
      </c>
    </row>
    <row r="378">
      <c r="A378" s="2" t="str">
        <f>HYPERLINK("https://www.avito.ru/perm/bytovaya_elektronika/3d_printer_bambu_lab_h2c_ams_combo_proizvodstvennyy_8052939112","8052939112")</f>
      </c>
      <c r="B378" t="s">
        <v>61</v>
      </c>
      <c r="C378" t="s">
        <v>62</v>
      </c>
      <c r="D378" t="s">
        <v>63</v>
      </c>
      <c r="E378" t="s">
        <v>38</v>
      </c>
      <c r="F378" t="s">
        <v>39</v>
      </c>
      <c r="G378" t="s">
        <v>40</v>
      </c>
      <c r="H378" s="3" t="str">
        <f>HYPERLINK("https://www.avito.ru/perm/bytovaya_elektronika/3d_printer_bambu_lab_h2c_ams_combo_proizvodstvennyy_8052939112","3D принтер Bambu Lab H2C AMS Combo производственный")</f>
      </c>
      <c r="I378" t="s">
        <v>83</v>
      </c>
      <c r="J378" t="s">
        <v>49</v>
      </c>
      <c r="K378" t="s">
        <v>50</v>
      </c>
      <c r="L378">
        <v>52</v>
      </c>
      <c r="M378">
        <v>29</v>
      </c>
      <c r="N378" s="4">
        <v>0.0689</v>
      </c>
      <c r="O378">
        <v>2</v>
      </c>
      <c r="P378" s="5">
        <v>28</v>
      </c>
      <c r="Q378" s="4">
        <v>0</v>
      </c>
      <c r="R378">
        <v>0</v>
      </c>
      <c r="S378">
        <v>0</v>
      </c>
      <c r="T378">
        <v>0</v>
      </c>
      <c r="U378">
        <v>0</v>
      </c>
      <c r="V378">
        <v>0</v>
      </c>
      <c r="W378" s="5" t="s">
        <v>65</v>
      </c>
      <c r="X378">
        <v>0</v>
      </c>
      <c r="Y378" s="4">
        <v>0</v>
      </c>
      <c r="Z378">
        <v>0</v>
      </c>
      <c r="AA378" s="5">
        <v>0</v>
      </c>
      <c r="AB378">
        <v>0</v>
      </c>
      <c r="AC378" s="5">
        <v>0</v>
      </c>
      <c r="AD378" s="5">
        <v>56</v>
      </c>
      <c r="AE378" s="5">
        <v>0</v>
      </c>
      <c r="AF378" s="5">
        <v>56</v>
      </c>
      <c r="AG378" s="5">
        <v>0</v>
      </c>
      <c r="AH378" s="5">
        <v>0</v>
      </c>
      <c r="AI378" s="5">
        <v>0</v>
      </c>
    </row>
    <row r="379">
      <c r="A379" s="2" t="str">
        <f>HYPERLINK("https://www.avito.ru/saratov/bytovaya_elektronika/h2c_ams_combo_stantsiya_3d_pechati_8053104622","8053104622")</f>
      </c>
      <c r="B379" t="s">
        <v>208</v>
      </c>
      <c r="C379" t="s">
        <v>209</v>
      </c>
      <c r="D379" t="s">
        <v>210</v>
      </c>
      <c r="E379" t="s">
        <v>38</v>
      </c>
      <c r="F379" t="s">
        <v>39</v>
      </c>
      <c r="G379" t="s">
        <v>40</v>
      </c>
      <c r="H379" s="3" t="str">
        <f>HYPERLINK("https://www.avito.ru/saratov/bytovaya_elektronika/h2c_ams_combo_stantsiya_3d_pechati_8053104622","H2C AMS Combo станция 3D печати")</f>
      </c>
      <c r="I379" t="s">
        <v>83</v>
      </c>
      <c r="J379" t="s">
        <v>49</v>
      </c>
      <c r="K379" t="s">
        <v>50</v>
      </c>
      <c r="L379">
        <v>52</v>
      </c>
      <c r="M379">
        <v>22</v>
      </c>
      <c r="N379" s="4">
        <v>0.0909</v>
      </c>
      <c r="O379">
        <v>2</v>
      </c>
      <c r="P379" s="5">
        <v>28</v>
      </c>
      <c r="Q379" s="4">
        <v>0</v>
      </c>
      <c r="R379">
        <v>0</v>
      </c>
      <c r="S379">
        <v>0</v>
      </c>
      <c r="T379">
        <v>0</v>
      </c>
      <c r="U379">
        <v>0</v>
      </c>
      <c r="V379">
        <v>0</v>
      </c>
      <c r="W379" s="5" t="s">
        <v>65</v>
      </c>
      <c r="X379">
        <v>0</v>
      </c>
      <c r="Y379" s="4">
        <v>0</v>
      </c>
      <c r="Z379">
        <v>0</v>
      </c>
      <c r="AA379" s="5">
        <v>0</v>
      </c>
      <c r="AB379">
        <v>0</v>
      </c>
      <c r="AC379" s="5">
        <v>0</v>
      </c>
      <c r="AD379" s="5">
        <v>56</v>
      </c>
      <c r="AE379" s="5">
        <v>0</v>
      </c>
      <c r="AF379" s="5">
        <v>56</v>
      </c>
      <c r="AG379" s="5">
        <v>0</v>
      </c>
      <c r="AH379" s="5">
        <v>0</v>
      </c>
      <c r="AI379" s="5">
        <v>0</v>
      </c>
    </row>
    <row r="380">
      <c r="A380" s="2" t="str">
        <f>HYPERLINK("https://www.avito.ru/izhevsk/bytovaya_elektronika/bambu_lab_h2d_combo_ams2_pro_eu_8053135008","8053135008")</f>
      </c>
      <c r="B380" t="s">
        <v>149</v>
      </c>
      <c r="C380" t="s">
        <v>150</v>
      </c>
      <c r="D380" t="s">
        <v>255</v>
      </c>
      <c r="E380" t="s">
        <v>38</v>
      </c>
      <c r="F380" t="s">
        <v>39</v>
      </c>
      <c r="G380" t="s">
        <v>40</v>
      </c>
      <c r="H380" s="3" t="str">
        <f>HYPERLINK("https://www.avito.ru/izhevsk/bytovaya_elektronika/bambu_lab_h2d_combo_ams2_pro_eu_8053135008","Bambu Lab H2D Combo AMS2 Pro EU")</f>
      </c>
      <c r="I380" t="s">
        <v>91</v>
      </c>
      <c r="J380" t="s">
        <v>49</v>
      </c>
      <c r="K380" t="s">
        <v>50</v>
      </c>
      <c r="L380">
        <v>52</v>
      </c>
      <c r="M380">
        <v>47</v>
      </c>
      <c r="N380" s="4">
        <v>0.0425</v>
      </c>
      <c r="O380">
        <v>2</v>
      </c>
      <c r="P380" s="5">
        <v>28</v>
      </c>
      <c r="Q380" s="4">
        <v>0</v>
      </c>
      <c r="R380">
        <v>0</v>
      </c>
      <c r="S380">
        <v>0</v>
      </c>
      <c r="T380">
        <v>0</v>
      </c>
      <c r="U380">
        <v>0</v>
      </c>
      <c r="V380">
        <v>0</v>
      </c>
      <c r="W380" s="5" t="s">
        <v>65</v>
      </c>
      <c r="X380">
        <v>0</v>
      </c>
      <c r="Y380" s="4">
        <v>0</v>
      </c>
      <c r="Z380">
        <v>0</v>
      </c>
      <c r="AA380" s="5">
        <v>0</v>
      </c>
      <c r="AB380">
        <v>0</v>
      </c>
      <c r="AC380" s="5">
        <v>0</v>
      </c>
      <c r="AD380" s="5">
        <v>56</v>
      </c>
      <c r="AE380" s="5">
        <v>0</v>
      </c>
      <c r="AF380" s="5">
        <v>56</v>
      </c>
      <c r="AG380" s="5">
        <v>0</v>
      </c>
      <c r="AH380" s="5">
        <v>0</v>
      </c>
      <c r="AI380" s="5">
        <v>0</v>
      </c>
    </row>
    <row r="381">
      <c r="A381" s="2" t="str">
        <f>HYPERLINK("https://www.avito.ru/omsk/bytovaya_elektronika/h2s_laser_10w_3d_printer_s_kameroy_i_ii_eu_8053263692","8053263692")</f>
      </c>
      <c r="B381" t="s">
        <v>70</v>
      </c>
      <c r="C381" t="s">
        <v>71</v>
      </c>
      <c r="D381" t="s">
        <v>72</v>
      </c>
      <c r="E381" t="s">
        <v>38</v>
      </c>
      <c r="F381" t="s">
        <v>39</v>
      </c>
      <c r="G381" t="s">
        <v>40</v>
      </c>
      <c r="H381" s="3" t="str">
        <f>HYPERLINK("https://www.avito.ru/omsk/bytovaya_elektronika/h2s_laser_10w_3d_printer_s_kameroy_i_ii_eu_8053263692","H2S Laser 10W 3D принтер с камерой и ии EU")</f>
      </c>
      <c r="I381" t="s">
        <v>129</v>
      </c>
      <c r="J381" t="s">
        <v>115</v>
      </c>
      <c r="K381" t="s">
        <v>116</v>
      </c>
      <c r="L381">
        <v>51</v>
      </c>
      <c r="M381">
        <v>161</v>
      </c>
      <c r="N381" s="4">
        <v>0.0124</v>
      </c>
      <c r="O381">
        <v>2</v>
      </c>
      <c r="P381" s="5">
        <v>28</v>
      </c>
      <c r="Q381" s="4">
        <v>0</v>
      </c>
      <c r="R381">
        <v>0</v>
      </c>
      <c r="S381">
        <v>0</v>
      </c>
      <c r="T381">
        <v>0</v>
      </c>
      <c r="U381">
        <v>0</v>
      </c>
      <c r="V381">
        <v>0</v>
      </c>
      <c r="W381" s="5" t="s">
        <v>65</v>
      </c>
      <c r="X381">
        <v>0</v>
      </c>
      <c r="Y381" s="4">
        <v>0</v>
      </c>
      <c r="Z381">
        <v>0</v>
      </c>
      <c r="AA381" s="5">
        <v>0</v>
      </c>
      <c r="AB381">
        <v>0</v>
      </c>
      <c r="AC381" s="5">
        <v>0</v>
      </c>
      <c r="AD381" s="5">
        <v>56</v>
      </c>
      <c r="AE381" s="5">
        <v>0</v>
      </c>
      <c r="AF381" s="5">
        <v>56</v>
      </c>
      <c r="AG381" s="5">
        <v>0</v>
      </c>
      <c r="AH381" s="5">
        <v>0</v>
      </c>
      <c r="AI381" s="5">
        <v>0</v>
      </c>
    </row>
    <row r="382">
      <c r="A382" s="2" t="str">
        <f>HYPERLINK("https://www.avito.ru/barnaul/bytovaya_elektronika/h2d_combo_ams2_pro_eu_printer_3d_bambu_lab_8053306116","8053306116")</f>
      </c>
      <c r="B382" t="s">
        <v>158</v>
      </c>
      <c r="C382" t="s">
        <v>159</v>
      </c>
      <c r="D382" t="s">
        <v>256</v>
      </c>
      <c r="E382" t="s">
        <v>38</v>
      </c>
      <c r="F382" t="s">
        <v>39</v>
      </c>
      <c r="G382" t="s">
        <v>40</v>
      </c>
      <c r="H382" s="3" t="str">
        <f>HYPERLINK("https://www.avito.ru/barnaul/bytovaya_elektronika/h2d_combo_ams2_pro_eu_printer_3d_bambu_lab_8053306116","H2D Combo AMS2 Pro EU принтер 3D Bambu Lab")</f>
      </c>
      <c r="I382" t="s">
        <v>91</v>
      </c>
      <c r="J382" t="s">
        <v>49</v>
      </c>
      <c r="K382" t="s">
        <v>50</v>
      </c>
      <c r="L382">
        <v>52</v>
      </c>
      <c r="M382">
        <v>49</v>
      </c>
      <c r="N382" s="4">
        <v>0.0408</v>
      </c>
      <c r="O382">
        <v>2</v>
      </c>
      <c r="P382" s="5">
        <v>28</v>
      </c>
      <c r="Q382" s="4">
        <v>0</v>
      </c>
      <c r="R382">
        <v>0</v>
      </c>
      <c r="S382">
        <v>0</v>
      </c>
      <c r="T382">
        <v>0</v>
      </c>
      <c r="U382">
        <v>0</v>
      </c>
      <c r="V382">
        <v>0</v>
      </c>
      <c r="W382" s="5" t="s">
        <v>65</v>
      </c>
      <c r="X382">
        <v>0</v>
      </c>
      <c r="Y382" s="4">
        <v>0</v>
      </c>
      <c r="Z382">
        <v>0</v>
      </c>
      <c r="AA382" s="5">
        <v>0</v>
      </c>
      <c r="AB382">
        <v>0</v>
      </c>
      <c r="AC382" s="5">
        <v>0</v>
      </c>
      <c r="AD382" s="5">
        <v>56</v>
      </c>
      <c r="AE382" s="5">
        <v>0</v>
      </c>
      <c r="AF382" s="5">
        <v>56</v>
      </c>
      <c r="AG382" s="5">
        <v>0</v>
      </c>
      <c r="AH382" s="5">
        <v>0</v>
      </c>
      <c r="AI382" s="5">
        <v>0</v>
      </c>
    </row>
    <row r="383">
      <c r="A383" s="2" t="str">
        <f>HYPERLINK("https://www.avito.ru/kazan/bytovaya_elektronika/h2s_combo_ams_2_pro_printer_3d_skorostnoy_8053460721","8053460721")</f>
      </c>
      <c r="B383" t="s">
        <v>112</v>
      </c>
      <c r="C383" t="s">
        <v>131</v>
      </c>
      <c r="D383" t="s">
        <v>132</v>
      </c>
      <c r="E383" t="s">
        <v>38</v>
      </c>
      <c r="F383" t="s">
        <v>39</v>
      </c>
      <c r="G383" t="s">
        <v>40</v>
      </c>
      <c r="H383" s="3" t="str">
        <f>HYPERLINK("https://www.avito.ru/kazan/bytovaya_elektronika/h2s_combo_ams_2_pro_printer_3d_skorostnoy_8053460721","H2S Combo AMS 2 PRO принтер 3D скоростной")</f>
      </c>
      <c r="I383" t="s">
        <v>48</v>
      </c>
      <c r="J383" t="s">
        <v>49</v>
      </c>
      <c r="K383" t="s">
        <v>50</v>
      </c>
      <c r="L383">
        <v>52</v>
      </c>
      <c r="M383">
        <v>30</v>
      </c>
      <c r="N383" s="4">
        <v>0.0666</v>
      </c>
      <c r="O383">
        <v>2</v>
      </c>
      <c r="P383" s="5">
        <v>28</v>
      </c>
      <c r="Q383" s="4">
        <v>0</v>
      </c>
      <c r="R383">
        <v>0</v>
      </c>
      <c r="S383">
        <v>0</v>
      </c>
      <c r="T383">
        <v>0</v>
      </c>
      <c r="U383">
        <v>0</v>
      </c>
      <c r="V383">
        <v>0</v>
      </c>
      <c r="W383" s="5" t="s">
        <v>65</v>
      </c>
      <c r="X383">
        <v>0</v>
      </c>
      <c r="Y383" s="4">
        <v>0</v>
      </c>
      <c r="Z383">
        <v>0</v>
      </c>
      <c r="AA383" s="5">
        <v>0</v>
      </c>
      <c r="AB383">
        <v>0</v>
      </c>
      <c r="AC383" s="5">
        <v>0</v>
      </c>
      <c r="AD383" s="5">
        <v>56</v>
      </c>
      <c r="AE383" s="5">
        <v>0</v>
      </c>
      <c r="AF383" s="5">
        <v>56</v>
      </c>
      <c r="AG383" s="5">
        <v>0</v>
      </c>
      <c r="AH383" s="5">
        <v>0</v>
      </c>
      <c r="AI383" s="5">
        <v>0</v>
      </c>
    </row>
    <row r="384">
      <c r="A384" s="2" t="str">
        <f>HYPERLINK("https://www.avito.ru/omsk/bytovaya_elektronika/h2s_combo_ams_2_pro_nastolnyy_3d_printer_8053721911","8053721911")</f>
      </c>
      <c r="B384" t="s">
        <v>70</v>
      </c>
      <c r="C384" t="s">
        <v>71</v>
      </c>
      <c r="D384" t="s">
        <v>72</v>
      </c>
      <c r="E384" t="s">
        <v>38</v>
      </c>
      <c r="F384" t="s">
        <v>39</v>
      </c>
      <c r="G384" t="s">
        <v>40</v>
      </c>
      <c r="H384" s="3" t="str">
        <f>HYPERLINK("https://www.avito.ru/omsk/bytovaya_elektronika/h2s_combo_ams_2_pro_nastolnyy_3d_printer_8053721911","H2S Combo AMS 2 PRO настольный 3D принтер")</f>
      </c>
      <c r="I384" t="s">
        <v>48</v>
      </c>
      <c r="J384" t="s">
        <v>49</v>
      </c>
      <c r="K384" t="s">
        <v>50</v>
      </c>
      <c r="L384">
        <v>52</v>
      </c>
      <c r="M384">
        <v>43</v>
      </c>
      <c r="N384" s="4">
        <v>0.0465</v>
      </c>
      <c r="O384">
        <v>2</v>
      </c>
      <c r="P384" s="5">
        <v>28</v>
      </c>
      <c r="Q384" s="4">
        <v>0</v>
      </c>
      <c r="R384">
        <v>0</v>
      </c>
      <c r="S384">
        <v>0</v>
      </c>
      <c r="T384">
        <v>0</v>
      </c>
      <c r="U384">
        <v>0</v>
      </c>
      <c r="V384">
        <v>0</v>
      </c>
      <c r="W384" s="5" t="s">
        <v>65</v>
      </c>
      <c r="X384">
        <v>0</v>
      </c>
      <c r="Y384" s="4">
        <v>0</v>
      </c>
      <c r="Z384">
        <v>0</v>
      </c>
      <c r="AA384" s="5">
        <v>0</v>
      </c>
      <c r="AB384">
        <v>0</v>
      </c>
      <c r="AC384" s="5">
        <v>0</v>
      </c>
      <c r="AD384" s="5">
        <v>56</v>
      </c>
      <c r="AE384" s="5">
        <v>0</v>
      </c>
      <c r="AF384" s="5">
        <v>56</v>
      </c>
      <c r="AG384" s="5">
        <v>0</v>
      </c>
      <c r="AH384" s="5">
        <v>0</v>
      </c>
      <c r="AI384" s="5">
        <v>0</v>
      </c>
    </row>
    <row r="385">
      <c r="A385" s="2" t="str">
        <f>HYPERLINK("https://www.avito.ru/volgograd/bytovaya_elektronika/3d_printer_bambu_lab_h2d_combo_ams_2_pro_8053760554","8053760554")</f>
      </c>
      <c r="B385" t="s">
        <v>196</v>
      </c>
      <c r="C385" t="s">
        <v>197</v>
      </c>
      <c r="D385" t="s">
        <v>198</v>
      </c>
      <c r="E385" t="s">
        <v>38</v>
      </c>
      <c r="F385" t="s">
        <v>39</v>
      </c>
      <c r="G385" t="s">
        <v>40</v>
      </c>
      <c r="H385" s="3" t="str">
        <f>HYPERLINK("https://www.avito.ru/volgograd/bytovaya_elektronika/3d_printer_bambu_lab_h2d_combo_ams_2_pro_8053760554","3D принтер Bambu Lab H2D Combo AMS 2 Pro")</f>
      </c>
      <c r="I385" t="s">
        <v>91</v>
      </c>
      <c r="J385" t="s">
        <v>42</v>
      </c>
      <c r="K385" t="s">
        <v>43</v>
      </c>
      <c r="L385">
        <v>50</v>
      </c>
      <c r="M385">
        <v>61</v>
      </c>
      <c r="N385" s="4">
        <v>0.0327</v>
      </c>
      <c r="O385">
        <v>2</v>
      </c>
      <c r="P385" s="5">
        <v>28</v>
      </c>
      <c r="Q385" s="4">
        <v>0</v>
      </c>
      <c r="R385">
        <v>0</v>
      </c>
      <c r="S385">
        <v>0</v>
      </c>
      <c r="T385">
        <v>0</v>
      </c>
      <c r="U385">
        <v>0</v>
      </c>
      <c r="V385">
        <v>0</v>
      </c>
      <c r="W385" s="5" t="s">
        <v>65</v>
      </c>
      <c r="X385">
        <v>0</v>
      </c>
      <c r="Y385" s="4">
        <v>0</v>
      </c>
      <c r="Z385">
        <v>0</v>
      </c>
      <c r="AA385" s="5">
        <v>0</v>
      </c>
      <c r="AB385">
        <v>0</v>
      </c>
      <c r="AC385" s="5">
        <v>0</v>
      </c>
      <c r="AD385" s="5">
        <v>56</v>
      </c>
      <c r="AE385" s="5">
        <v>0</v>
      </c>
      <c r="AF385" s="5">
        <v>56</v>
      </c>
      <c r="AG385" s="5">
        <v>0</v>
      </c>
      <c r="AH385" s="5">
        <v>0</v>
      </c>
      <c r="AI385" s="5">
        <v>0</v>
      </c>
    </row>
    <row r="386">
      <c r="A386" s="2" t="str">
        <f>HYPERLINK("https://www.avito.ru/omsk/bytovaya_elektronika/h2d_combo_ams2_pro_eu_3d_printer_dlya_proizvodstva_8053776825","8053776825")</f>
      </c>
      <c r="B386" t="s">
        <v>70</v>
      </c>
      <c r="C386" t="s">
        <v>71</v>
      </c>
      <c r="D386" t="s">
        <v>257</v>
      </c>
      <c r="E386" t="s">
        <v>38</v>
      </c>
      <c r="F386" t="s">
        <v>39</v>
      </c>
      <c r="G386" t="s">
        <v>40</v>
      </c>
      <c r="H386" s="3" t="str">
        <f>HYPERLINK("https://www.avito.ru/omsk/bytovaya_elektronika/h2d_combo_ams2_pro_eu_3d_printer_dlya_proizvodstva_8053776825","H2D Combo AMS2 Pro EU 3D принтер для производства")</f>
      </c>
      <c r="I386" t="s">
        <v>91</v>
      </c>
      <c r="J386" t="s">
        <v>49</v>
      </c>
      <c r="K386" t="s">
        <v>50</v>
      </c>
      <c r="L386">
        <v>52</v>
      </c>
      <c r="M386">
        <v>32</v>
      </c>
      <c r="N386" s="4">
        <v>0.0625</v>
      </c>
      <c r="O386">
        <v>2</v>
      </c>
      <c r="P386" s="5">
        <v>28</v>
      </c>
      <c r="Q386" s="4">
        <v>0</v>
      </c>
      <c r="R386">
        <v>0</v>
      </c>
      <c r="S386">
        <v>0</v>
      </c>
      <c r="T386">
        <v>0</v>
      </c>
      <c r="U386">
        <v>0</v>
      </c>
      <c r="V386">
        <v>0</v>
      </c>
      <c r="W386" s="5" t="s">
        <v>65</v>
      </c>
      <c r="X386">
        <v>0</v>
      </c>
      <c r="Y386" s="4">
        <v>0</v>
      </c>
      <c r="Z386">
        <v>0</v>
      </c>
      <c r="AA386" s="5">
        <v>0</v>
      </c>
      <c r="AB386">
        <v>0</v>
      </c>
      <c r="AC386" s="5">
        <v>0</v>
      </c>
      <c r="AD386" s="5">
        <v>56</v>
      </c>
      <c r="AE386" s="5">
        <v>0</v>
      </c>
      <c r="AF386" s="5">
        <v>56</v>
      </c>
      <c r="AG386" s="5">
        <v>0</v>
      </c>
      <c r="AH386" s="5">
        <v>0</v>
      </c>
      <c r="AI386" s="5">
        <v>0</v>
      </c>
    </row>
    <row r="387">
      <c r="A387" s="2" t="str">
        <f>HYPERLINK("https://www.avito.ru/volgograd/bytovaya_elektronika/h2d_combo_ams2_pro_eu_3d_printer_s_ii_8053842108","8053842108")</f>
      </c>
      <c r="B387" t="s">
        <v>196</v>
      </c>
      <c r="C387" t="s">
        <v>197</v>
      </c>
      <c r="D387" t="s">
        <v>258</v>
      </c>
      <c r="E387" t="s">
        <v>38</v>
      </c>
      <c r="F387" t="s">
        <v>39</v>
      </c>
      <c r="G387" t="s">
        <v>40</v>
      </c>
      <c r="H387" s="3" t="str">
        <f>HYPERLINK("https://www.avito.ru/volgograd/bytovaya_elektronika/h2d_combo_ams2_pro_eu_3d_printer_s_ii_8053842108","H2D Combo AMS2 Pro EU 3D принтер с ии")</f>
      </c>
      <c r="I387" t="s">
        <v>91</v>
      </c>
      <c r="J387" t="s">
        <v>49</v>
      </c>
      <c r="K387" t="s">
        <v>50</v>
      </c>
      <c r="L387">
        <v>52</v>
      </c>
      <c r="M387">
        <v>29</v>
      </c>
      <c r="N387" s="4">
        <v>0.0689</v>
      </c>
      <c r="O387">
        <v>2</v>
      </c>
      <c r="P387" s="5">
        <v>28</v>
      </c>
      <c r="Q387" s="4">
        <v>0</v>
      </c>
      <c r="R387">
        <v>0</v>
      </c>
      <c r="S387">
        <v>0</v>
      </c>
      <c r="T387">
        <v>0</v>
      </c>
      <c r="U387">
        <v>0</v>
      </c>
      <c r="V387">
        <v>0</v>
      </c>
      <c r="W387" s="5" t="s">
        <v>65</v>
      </c>
      <c r="X387">
        <v>0</v>
      </c>
      <c r="Y387" s="4">
        <v>0</v>
      </c>
      <c r="Z387">
        <v>0</v>
      </c>
      <c r="AA387" s="5">
        <v>0</v>
      </c>
      <c r="AB387">
        <v>0</v>
      </c>
      <c r="AC387" s="5">
        <v>0</v>
      </c>
      <c r="AD387" s="5">
        <v>56</v>
      </c>
      <c r="AE387" s="5">
        <v>0</v>
      </c>
      <c r="AF387" s="5">
        <v>56</v>
      </c>
      <c r="AG387" s="5">
        <v>0</v>
      </c>
      <c r="AH387" s="5">
        <v>0</v>
      </c>
      <c r="AI387" s="5">
        <v>0</v>
      </c>
    </row>
    <row r="388">
      <c r="A388" s="2" t="str">
        <f>HYPERLINK("https://www.avito.ru/novosibirsk/bytovaya_elektronika/professionalnyy_3d_printer_h2d_laser_40w_eu_8053108783","8053108783")</f>
      </c>
      <c r="B388" t="s">
        <v>142</v>
      </c>
      <c r="C388" t="s">
        <v>143</v>
      </c>
      <c r="D388" t="s">
        <v>144</v>
      </c>
      <c r="E388" t="s">
        <v>38</v>
      </c>
      <c r="F388" t="s">
        <v>39</v>
      </c>
      <c r="G388" t="s">
        <v>40</v>
      </c>
      <c r="H388" s="3" t="str">
        <f>HYPERLINK("https://www.avito.ru/novosibirsk/bytovaya_elektronika/professionalnyy_3d_printer_h2d_laser_40w_eu_8053108783","Профессиональный 3D принтер H2D Laser 40W EU")</f>
      </c>
      <c r="I388" t="s">
        <v>57</v>
      </c>
      <c r="J388" t="s">
        <v>42</v>
      </c>
      <c r="K388" t="s">
        <v>43</v>
      </c>
      <c r="L388">
        <v>50</v>
      </c>
      <c r="M388">
        <v>82</v>
      </c>
      <c r="N388" s="4">
        <v>0.0121</v>
      </c>
      <c r="O388">
        <v>1</v>
      </c>
      <c r="P388" s="5">
        <v>56</v>
      </c>
      <c r="Q388" s="4">
        <v>0</v>
      </c>
      <c r="R388">
        <v>0</v>
      </c>
      <c r="S388">
        <v>0</v>
      </c>
      <c r="T388">
        <v>0</v>
      </c>
      <c r="U388">
        <v>0</v>
      </c>
      <c r="V388">
        <v>0</v>
      </c>
      <c r="W388" s="5" t="s">
        <v>65</v>
      </c>
      <c r="X388">
        <v>0</v>
      </c>
      <c r="Y388" s="4">
        <v>0</v>
      </c>
      <c r="Z388">
        <v>0</v>
      </c>
      <c r="AA388" s="5">
        <v>0</v>
      </c>
      <c r="AB388">
        <v>0</v>
      </c>
      <c r="AC388" s="5">
        <v>0</v>
      </c>
      <c r="AD388" s="5">
        <v>56</v>
      </c>
      <c r="AE388" s="5">
        <v>0</v>
      </c>
      <c r="AF388" s="5">
        <v>56</v>
      </c>
      <c r="AG388" s="5">
        <v>0</v>
      </c>
      <c r="AH388" s="5">
        <v>0</v>
      </c>
      <c r="AI388" s="5">
        <v>0</v>
      </c>
    </row>
    <row r="389">
      <c r="A389" s="2" t="str">
        <f>HYPERLINK("https://www.avito.ru/krasnoyarsk/bytovaya_elektronika/h2d_combo_ams2_pro_eu_3d_printer_dlya_doma_i_biznesa_8053358955","8053358955")</f>
      </c>
      <c r="B389" t="s">
        <v>139</v>
      </c>
      <c r="C389" t="s">
        <v>140</v>
      </c>
      <c r="D389" t="s">
        <v>259</v>
      </c>
      <c r="E389" t="s">
        <v>38</v>
      </c>
      <c r="F389" t="s">
        <v>39</v>
      </c>
      <c r="G389" t="s">
        <v>40</v>
      </c>
      <c r="H389" s="3" t="str">
        <f>HYPERLINK("https://www.avito.ru/krasnoyarsk/bytovaya_elektronika/h2d_combo_ams2_pro_eu_3d_printer_dlya_doma_i_biznesa_8053358955","H2D Combo AMS2 Pro EU 3D принтер для дома и бизнеса")</f>
      </c>
      <c r="I389" t="s">
        <v>91</v>
      </c>
      <c r="J389" t="s">
        <v>49</v>
      </c>
      <c r="K389" t="s">
        <v>50</v>
      </c>
      <c r="L389">
        <v>52</v>
      </c>
      <c r="M389">
        <v>34</v>
      </c>
      <c r="N389" s="4">
        <v>0.0294</v>
      </c>
      <c r="O389">
        <v>1</v>
      </c>
      <c r="P389" s="5">
        <v>56</v>
      </c>
      <c r="Q389" s="4">
        <v>0</v>
      </c>
      <c r="R389">
        <v>0</v>
      </c>
      <c r="S389">
        <v>0</v>
      </c>
      <c r="T389">
        <v>0</v>
      </c>
      <c r="U389">
        <v>0</v>
      </c>
      <c r="V389">
        <v>0</v>
      </c>
      <c r="W389" s="5" t="s">
        <v>65</v>
      </c>
      <c r="X389">
        <v>0</v>
      </c>
      <c r="Y389" s="4">
        <v>0</v>
      </c>
      <c r="Z389">
        <v>0</v>
      </c>
      <c r="AA389" s="5">
        <v>0</v>
      </c>
      <c r="AB389">
        <v>0</v>
      </c>
      <c r="AC389" s="5">
        <v>0</v>
      </c>
      <c r="AD389" s="5">
        <v>56</v>
      </c>
      <c r="AE389" s="5">
        <v>0</v>
      </c>
      <c r="AF389" s="5">
        <v>56</v>
      </c>
      <c r="AG389" s="5">
        <v>0</v>
      </c>
      <c r="AH389" s="5">
        <v>0</v>
      </c>
      <c r="AI389" s="5">
        <v>0</v>
      </c>
    </row>
    <row r="390">
      <c r="A390" s="2" t="str">
        <f>HYPERLINK("https://www.avito.ru/perm/bytovaya_elektronika/h2s_combo_ams_2_pro_dlya_biznesa_i_doma_8053507285","8053507285")</f>
      </c>
      <c r="B390" t="s">
        <v>61</v>
      </c>
      <c r="C390" t="s">
        <v>62</v>
      </c>
      <c r="D390" t="s">
        <v>63</v>
      </c>
      <c r="E390" t="s">
        <v>38</v>
      </c>
      <c r="F390" t="s">
        <v>39</v>
      </c>
      <c r="G390" t="s">
        <v>40</v>
      </c>
      <c r="H390" s="3" t="str">
        <f>HYPERLINK("https://www.avito.ru/perm/bytovaya_elektronika/h2s_combo_ams_2_pro_dlya_biznesa_i_doma_8053507285","H2S Combo AMS 2 PRO для бизнеса и дома")</f>
      </c>
      <c r="I390" t="s">
        <v>48</v>
      </c>
      <c r="J390" t="s">
        <v>49</v>
      </c>
      <c r="K390" t="s">
        <v>50</v>
      </c>
      <c r="L390">
        <v>52</v>
      </c>
      <c r="M390">
        <v>20</v>
      </c>
      <c r="N390" s="4">
        <v>0.05</v>
      </c>
      <c r="O390">
        <v>1</v>
      </c>
      <c r="P390" s="5">
        <v>56</v>
      </c>
      <c r="Q390" s="4">
        <v>0</v>
      </c>
      <c r="R390">
        <v>0</v>
      </c>
      <c r="S390">
        <v>0</v>
      </c>
      <c r="T390">
        <v>0</v>
      </c>
      <c r="U390">
        <v>0</v>
      </c>
      <c r="V390">
        <v>0</v>
      </c>
      <c r="W390" s="5" t="s">
        <v>65</v>
      </c>
      <c r="X390">
        <v>0</v>
      </c>
      <c r="Y390" s="4">
        <v>0</v>
      </c>
      <c r="Z390">
        <v>0</v>
      </c>
      <c r="AA390" s="5">
        <v>0</v>
      </c>
      <c r="AB390">
        <v>0</v>
      </c>
      <c r="AC390" s="5">
        <v>0</v>
      </c>
      <c r="AD390" s="5">
        <v>56</v>
      </c>
      <c r="AE390" s="5">
        <v>0</v>
      </c>
      <c r="AF390" s="5">
        <v>56</v>
      </c>
      <c r="AG390" s="5">
        <v>0</v>
      </c>
      <c r="AH390" s="5">
        <v>0</v>
      </c>
      <c r="AI390" s="5">
        <v>0</v>
      </c>
    </row>
    <row r="391">
      <c r="A391">
        <v>7989838485</v>
      </c>
      <c r="B391" t="s">
        <v>35</v>
      </c>
      <c r="C391" t="s">
        <v>36</v>
      </c>
      <c r="D391" t="s">
        <v>260</v>
      </c>
      <c r="E391" t="s">
        <v>38</v>
      </c>
      <c r="F391" t="s">
        <v>39</v>
      </c>
      <c r="G391" t="s">
        <v>40</v>
      </c>
      <c r="H391" t="s">
        <v>207</v>
      </c>
      <c r="I391" t="s">
        <v>65</v>
      </c>
      <c r="J391" t="s">
        <v>97</v>
      </c>
      <c r="K391" t="s">
        <v>98</v>
      </c>
      <c r="L391">
        <v>79</v>
      </c>
      <c r="M391">
        <v>0</v>
      </c>
      <c r="N391" s="4" t="s">
        <v>65</v>
      </c>
      <c r="O391">
        <v>0</v>
      </c>
      <c r="P391" s="5" t="s">
        <v>65</v>
      </c>
      <c r="Q391" s="4" t="s">
        <v>65</v>
      </c>
      <c r="R391">
        <v>0</v>
      </c>
      <c r="S391">
        <v>0</v>
      </c>
      <c r="T391">
        <v>0</v>
      </c>
      <c r="U391">
        <v>0</v>
      </c>
      <c r="V391">
        <v>0</v>
      </c>
      <c r="W391" s="5" t="s">
        <v>65</v>
      </c>
      <c r="X391">
        <v>0</v>
      </c>
      <c r="Y391" s="4" t="s">
        <v>65</v>
      </c>
      <c r="Z391">
        <v>0</v>
      </c>
      <c r="AA391" s="5">
        <v>0</v>
      </c>
      <c r="AB391">
        <v>0</v>
      </c>
      <c r="AC391" s="5">
        <v>0</v>
      </c>
      <c r="AD391" s="5">
        <v>21.91</v>
      </c>
      <c r="AE391" s="5">
        <v>0</v>
      </c>
      <c r="AF391" s="5">
        <v>21.91</v>
      </c>
      <c r="AG391" s="5">
        <v>0</v>
      </c>
      <c r="AH391" s="5">
        <v>0</v>
      </c>
      <c r="AI391" s="5">
        <v>0</v>
      </c>
    </row>
  </sheetData>
  <autoFilter ref="$A$1:$AI$39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
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лавная" sheetId="1" r:id="rId5"/>
    <sheet state="visible" name="М и Х Bambu Lab" sheetId="2" r:id="rId6"/>
    <sheet state="visible" name="М и Х Dowell" sheetId="3" r:id="rId7"/>
    <sheet state="visible" name="Upsell" sheetId="4" r:id="rId8"/>
    <sheet state="visible" name="✅ Купили у нас" sheetId="5" r:id="rId9"/>
    <sheet state="visible" name="❌ Купили у конкурентов" sheetId="6" r:id="rId10"/>
    <sheet state="visible" name="📊 Аналитика" sheetId="7" r:id="rId11"/>
    <sheet state="visible" name="Продажа из наличия" sheetId="8" r:id="rId12"/>
    <sheet state="visible" name="Предзаказ" sheetId="9" r:id="rId13"/>
    <sheet state="visible" name="Самовывозшоурум" sheetId="10" r:id="rId14"/>
    <sheet state="visible" name="Доставка СДЭКТК" sheetId="11" r:id="rId15"/>
    <sheet state="visible" name="АМОСРМ + Мой Склад" sheetId="12" r:id="rId16"/>
    <sheet state="visible" name="Договоры и счета" sheetId="13" r:id="rId17"/>
    <sheet state="visible" name="Шаблоны сообщений" sheetId="14" r:id="rId18"/>
    <sheet state="visible" name="FAQОшибки" sheetId="15" r:id="rId19"/>
  </sheets>
  <definedNames>
    <definedName hidden="1" localSheetId="4" name="_xlnm._FilterDatabase">'✅ Купили у нас'!$A$2:$G$202</definedName>
    <definedName hidden="1" localSheetId="5" name="_xlnm._FilterDatabase">'❌ Купили у конкурентов'!$A$2:$H$202</definedName>
  </definedNames>
  <calcPr/>
</workbook>
</file>

<file path=xl/sharedStrings.xml><?xml version="1.0" encoding="utf-8"?>
<sst xmlns="http://schemas.openxmlformats.org/spreadsheetml/2006/main" count="1396" uniqueCount="947">
  <si>
    <t>ПромКонтур: База знаний менеджера</t>
  </si>
  <si>
    <t>Продажи 3D-принтеров, условия работы, оформление сделок, самовывоз, доставка и предзаказ</t>
  </si>
  <si>
    <t>Версия: 1.0</t>
  </si>
  <si>
    <t>Ответственный: Александр</t>
  </si>
  <si>
    <t>Для роли: Менеджер</t>
  </si>
  <si>
    <t>Канал фиксации: amoCRM + рабочая группа</t>
  </si>
  <si>
    <t>БЫСТРАЯ НАВИГАЦИЯ</t>
  </si>
  <si>
    <t>Модели и характеристики</t>
  </si>
  <si>
    <t>Продажа из наличия</t>
  </si>
  <si>
    <t>Предзаказ</t>
  </si>
  <si>
    <t>Самовывоз / шоурум</t>
  </si>
  <si>
    <t>Модели, комплектации, характеристики, отличия</t>
  </si>
  <si>
    <t>Алгоритм от лида до подтверждения получения товара</t>
  </si>
  <si>
    <t>Как вести клиента по предзаказу и передать в операционку</t>
  </si>
  <si>
    <t>Визит клиента, временной слот, передача данных</t>
  </si>
  <si>
    <t>Открыть →</t>
  </si>
  <si>
    <t>Доставка СДЭК / ТК</t>
  </si>
  <si>
    <t>Договоры и счета</t>
  </si>
  <si>
    <t>Шаблоны сообщений</t>
  </si>
  <si>
    <t>FAQ / ошибки</t>
  </si>
  <si>
    <t>Данные доставки, оформление, трек, статусы</t>
  </si>
  <si>
    <t>Генератор договоров, счета, подписи, оплата</t>
  </si>
  <si>
    <t>Готовые тексты для клиента и рабочих групп</t>
  </si>
  <si>
    <t>Исключения, запреты, эскалация, спорные ситуации</t>
  </si>
  <si>
    <t>ЧТО ДЕЛАТЬ В РАБОЧЕЙ СИТУАЦИИ</t>
  </si>
  <si>
    <t>КРИТИЧНЫЕ ПРАВИЛА МЕНЕДЖЕРА</t>
  </si>
  <si>
    <t>Ситуация</t>
  </si>
  <si>
    <t>Куда перейти</t>
  </si>
  <si>
    <t>Что сделать</t>
  </si>
  <si>
    <t>Результат</t>
  </si>
  <si>
    <t>Клиент спрашивает характеристики модели</t>
  </si>
  <si>
    <t>Найти модель, комплектацию, область печати, особенности и ограничения</t>
  </si>
  <si>
    <t>Клиент получил точную информацию</t>
  </si>
  <si>
    <t>Договор и счет формирует менеджер через генератор договоров</t>
  </si>
  <si>
    <t>Клиент готов купить товар из наличия</t>
  </si>
  <si>
    <t>Зафиксировать модель, данные клиента, способ оплаты и способ получения</t>
  </si>
  <si>
    <t>Сделка готова к оформлению</t>
  </si>
  <si>
    <t>Договор с подписью клиенту отправляет менеджер</t>
  </si>
  <si>
    <t>Клиент хочет оформить предзаказ</t>
  </si>
  <si>
    <t>Объяснить формат поставки, сроки, оплату, способ получения и зафиксировать данные</t>
  </si>
  <si>
    <t>Клиент понимает условия предзаказа</t>
  </si>
  <si>
    <t>При самовывозе точное время согласуется с администратором шоурума</t>
  </si>
  <si>
    <t>Клиент хочет самовывоз</t>
  </si>
  <si>
    <t>Согласовать точное время визита и передать данные администратору в рабочую группу</t>
  </si>
  <si>
    <t>Шоурум готов к выдаче</t>
  </si>
  <si>
    <t>Вся операционная коммуникация фиксируется в рабочей группе</t>
  </si>
  <si>
    <t>Клиенту нужна доставка</t>
  </si>
  <si>
    <t>Собрать данные, оформить СДЭК/ТК, передать данные администратору</t>
  </si>
  <si>
    <t>Клиент получил трек-номер</t>
  </si>
  <si>
    <t>Трек-номер клиенту передает менеджер</t>
  </si>
  <si>
    <t>Нужно оформить договор и счет</t>
  </si>
  <si>
    <t>Сформировать договор и счет через генератор договоров</t>
  </si>
  <si>
    <t>Клиент получил документы</t>
  </si>
  <si>
    <t>Сделка закрывается только после подтверждения получения товара</t>
  </si>
  <si>
    <t>Нужно отправить клиенту статус</t>
  </si>
  <si>
    <t>Взять готовый шаблон и адаптировать под ситуацию</t>
  </si>
  <si>
    <t>Клиент получил понятное обновление</t>
  </si>
  <si>
    <t>Обещать точное время самовывоза без подтверждения администратора</t>
  </si>
  <si>
    <t>Возникла нестандартная ситуация</t>
  </si>
  <si>
    <t>Найти сценарий или передать вопрос Александру/Дмитрию</t>
  </si>
  <si>
    <t>Ошибка не потерялась и взята в работу</t>
  </si>
  <si>
    <t>Передавать задачу в личке без фиксации в рабочей группе</t>
  </si>
  <si>
    <t>Указывать неполную модель без версии и комплектации</t>
  </si>
  <si>
    <t>Обещать срок предзаказа без подтверждения логистики</t>
  </si>
  <si>
    <t>Прайс-лист 
Bambu Lab</t>
  </si>
  <si>
    <t>slug</t>
  </si>
  <si>
    <t>Версия</t>
  </si>
  <si>
    <t>Модель (Комплектация)</t>
  </si>
  <si>
    <t>Статус (Выпадающий список)</t>
  </si>
  <si>
    <t>Доступно (шт.)</t>
  </si>
  <si>
    <t>Срок доставки / ETA</t>
  </si>
  <si>
    <t>Розничная цена (₽)</t>
  </si>
  <si>
    <t>Цена безналичный расчет (+7%)</t>
  </si>
  <si>
    <t>Цена моб банк (+3%)</t>
  </si>
  <si>
    <t>a1_eu</t>
  </si>
  <si>
    <t>EU</t>
  </si>
  <si>
    <t>A1</t>
  </si>
  <si>
    <t>-</t>
  </si>
  <si>
    <t>20-27 дней</t>
  </si>
  <si>
    <t>a1_combo_eu</t>
  </si>
  <si>
    <t>A1 Combo</t>
  </si>
  <si>
    <t>p2s_combo_eu</t>
  </si>
  <si>
    <t xml:space="preserve">P2S Combo </t>
  </si>
  <si>
    <t>h2s_laser_10w_eu</t>
  </si>
  <si>
    <t>H2S Laser 10W</t>
  </si>
  <si>
    <t>h2s_combo_ams2pro_eu</t>
  </si>
  <si>
    <t>H2S Combo AMS 2 PRO</t>
  </si>
  <si>
    <t>h2s_combo_ams2pro_cn</t>
  </si>
  <si>
    <t>CN</t>
  </si>
  <si>
    <t>h2d_laser_10w_eu</t>
  </si>
  <si>
    <t>H2D Laser 10W</t>
  </si>
  <si>
    <t>h2d_laser_40w_eu</t>
  </si>
  <si>
    <t>H2D Laser 40W</t>
  </si>
  <si>
    <t>h2d_combo_ams2pro_eu</t>
  </si>
  <si>
    <t>H2D Combo AMS 2 Pro</t>
  </si>
  <si>
    <t>h2d_pro_combo_ams_eu</t>
  </si>
  <si>
    <t>H2D PRO Combo AMS</t>
  </si>
  <si>
    <t>h2d_combo_ams2pro_cn</t>
  </si>
  <si>
    <t>h2d_laser_10w_cn</t>
  </si>
  <si>
    <t>h2d_laser_40w_cn</t>
  </si>
  <si>
    <t>h2d_pro_combo_ams_cn</t>
  </si>
  <si>
    <t>h2c_laser_full_10w_eu</t>
  </si>
  <si>
    <t>H2C Laser Full Combo 10W</t>
  </si>
  <si>
    <t>h2c_laser_full_40w_eu</t>
  </si>
  <si>
    <t>H2C Laser Full Combo 40W</t>
  </si>
  <si>
    <t>h2c_combo_eu</t>
  </si>
  <si>
    <t>H2C Combo</t>
  </si>
  <si>
    <t>Сток и предзаказ</t>
  </si>
  <si>
    <t>10 дней</t>
  </si>
  <si>
    <t>h2c_combo_cn</t>
  </si>
  <si>
    <t>Техническая матрица</t>
  </si>
  <si>
    <t>Параметр / Модель</t>
  </si>
  <si>
    <t>P2S Combo</t>
  </si>
  <si>
    <t>H2S Combo</t>
  </si>
  <si>
    <t>H2D Laser 10W/40W</t>
  </si>
  <si>
    <t>Целевой сегмент</t>
  </si>
  <si>
    <t>Новички, мейкеры, хобби</t>
  </si>
  <si>
    <t>Энтузиасты, крупные детали</t>
  </si>
  <si>
    <t>Продвинутые, инженеры</t>
  </si>
  <si>
    <t>Мастерские (резка/гравировка)</t>
  </si>
  <si>
    <t>Промышленность, B2B</t>
  </si>
  <si>
    <t>Ключевая особенность</t>
  </si>
  <si>
    <t>Надежная база</t>
  </si>
  <si>
    <t>Крупный формат печати</t>
  </si>
  <si>
    <t>Гибрид «3-в-1» (Два независимых экструдера)</t>
  </si>
  <si>
    <t>Максимальная гибридная станция со всеми модулями</t>
  </si>
  <si>
    <t>Система Vortek (до 6 материалов без отходов на очистку)</t>
  </si>
  <si>
    <t>Камера печати</t>
  </si>
  <si>
    <t>Закрытая (пластиковый корпус)</t>
  </si>
  <si>
    <t>Закрытая (активный подогрев)</t>
  </si>
  <si>
    <t>Закрытая (промышленная термокамера)</t>
  </si>
  <si>
    <t>Температура стола</t>
  </si>
  <si>
    <t>до 110°C</t>
  </si>
  <si>
    <t>до 120°C</t>
  </si>
  <si>
    <t>Материалы (Филаменты)</t>
  </si>
  <si>
    <t>PLA, PETG, ABS, TPU</t>
  </si>
  <si>
    <t>PLA, PETG, ABS, ASA</t>
  </si>
  <si>
    <t>+ Carbon (PA-CF), PC, Nylon</t>
  </si>
  <si>
    <t>Инженерные (PEEK, PEI, PPS)</t>
  </si>
  <si>
    <t>Система AMS</t>
  </si>
  <si>
    <t>✅ В комплекте (базовая)</t>
  </si>
  <si>
    <t>✅ В комплекте (AMS 2 Pro)</t>
  </si>
  <si>
    <t>✅ В комплекте (инженерная) + Независимые хотэнды (Vortek)</t>
  </si>
  <si>
    <t>Гравировка / Лазер</t>
  </si>
  <si>
    <t>❌ Нет</t>
  </si>
  <si>
    <t>⚠️ Опционально (модуль 10W)</t>
  </si>
  <si>
    <t>⚠️ Опционально (модули 10/40W)</t>
  </si>
  <si>
    <t>✅ Лазер 10W/40W в комплекте</t>
  </si>
  <si>
    <t>⚠️ КРИТИЧЕСКИЙ КРАСНЫЙ ФЛАГ</t>
  </si>
  <si>
    <t>Не подходит под филаменты PPS и PPA-CF/GF.</t>
  </si>
  <si>
    <t>Не поддерживает лазер 40W. Не подходит под PEEK.</t>
  </si>
  <si>
    <t>Базовая комплектация идет БЕЗ лазера (докупается отдельно).</t>
  </si>
  <si>
    <t>Не обещать резку металлов.</t>
  </si>
  <si>
    <t>Избыточен и дорог для простой сувенирки.</t>
  </si>
  <si>
    <t>Модель</t>
  </si>
  <si>
    <t>Характеристика</t>
  </si>
  <si>
    <t>Характеристика 2</t>
  </si>
  <si>
    <t>Bambu Lab</t>
  </si>
  <si>
    <t>Характеристики
Основные
Материал печати: Пластиковая нить
Технология печати: FDM / FFF
DIY (набор для сборки): Нет
Корпус принтера: Закрытый
Диаметр нити: 1.75 мм
Кол-во печатающих сопел: 1 шт.
Температура экструдера: до 300°С
Температура стола: до 110°С
Температура камеры печати: до 60°С
Область печати: 256 × 256 × 256 мм
Калибровка: Автоматическая
Скорость печати / выращивания: до 600 мм/с
Подогреваемый стол: Да
Видеокамера: Да
Принудительный подогрев камеры: Нет
Контроль наличия пластика: Да
Система возобновления печати: Да
Сопло: 0.4 мм (0.2 мм, 0.6 мм, 0.8 мм — опционально)
Поддерживаемые материалы: PLA, PETG, TPU, ABS, ASA, PA, PC, композитные</t>
  </si>
  <si>
    <t>Программное обеспечение
Поддерживаемые форматы файлов: .STL, .OBJ, .3MF
Совместимые ОС: Windows, Mac OS, Linux
Программное обеспечение: Bambu Studio, Bambu Handy
Дополнительная информация
Интерфейс подключения: Wi-Fi, LAN, USB
Электропитание: 100–120 VAC / 200–240 VAC, 50/60 Гц
Рабочая температура среды: 10°C – 35°C
Габаритные и вес
Габариты товара: около 392 × 406 × 478 мм
Габариты упаковки: около 467 × 403 × 720 мм
Вес нетто: около 21 кг
Вес брутто: около 27 кг</t>
  </si>
  <si>
    <t>H2S Combo 
AMS 2 PRO</t>
  </si>
  <si>
    <t>Характеристики
Основные
Материал печати: Пластиковая нить
Технология печати: FDM / FFF
DIY (набор для сборки): Нет
Корпус принтера: Закрытый
Диаметр нити: 1.75 мм
Кол-во печатающих сопел: 1 шт.
Температура экструдера: до 300°С
Температура стола: до 110°С
Температура камеры печати: до 60°С
Область печати: 256 × 256 × 256 мм
Калибровка: Автоматическая
Скорость печати / выращивания: до 600 мм/с
Подогреваемый стол: Да
Видеокамера: Да
Принудительный подогрев камеры: Нет
Контроль наличия пластика: Да
Система возобновления печати: Да
Сопло: 0.4 мм (0.2 мм, 0.6 мм, 0.8 мм — опционально)
Поддерживаемые материалы: PLA, PETG, TPU, ABS, ASA, PA, PC</t>
  </si>
  <si>
    <t>Система AMS
Тип: AMS 2 Pro
Количество катушек: до 4
Поддержка многоцветной печати: Да
Контроль окончания филамента: Да
Автосмена материала: Да
Программное обеспечение
Поддерживаемые форматы файлов: .STL, .OBJ, .3MF
Совместимые ОС: Windows, Mac OS, Linux
Программное обеспечение: Bambu Studio, Bambu Handy
Дополнительная информация
Интерфейс подключения: Wi-Fi, LAN, USB
Электропитание: 100–120 VAC / 200–240 VAC, 50/60 Гц
Рабочая температура среды: 10°C – 35°C
Габаритные и вес
Габариты товара: около 389 × 389 × 458 мм
Габариты упаковки: около 485 × 480 × 530 мм
Вес нетто: около 21 кг
Вес брутто: около 27 кг</t>
  </si>
  <si>
    <t>H2D Combo AMS</t>
  </si>
  <si>
    <t>Характеристики
Основные
Материал печати: Пластиковая нить
Технология печати: FDM / FFF
DIY (набор для сборки): Нет
Корпус принтера: Закрытый
Диаметр нити: 1.75 мм
Кол-во печатающих сопел: 2 шт.
Температура экструдера: 350°С
Температура стола: 120°С
Температура камеры печати: 65°С
Область печати: 350 × 320 × 325 мм
Калибровка: Автоматическая
Скорость печати / выращивания: до 1000 мм/с
Подогреваемый стол: Да
Видеокамера: Да
Принудительный подогрев камеры: Да
Контроль наличия пластика: Да
Система возобновления печати: Да
Сопло: 0.4 мм (0.2 мм, 0.6 мм, 0.8 мм — опционально)
Поддерживаемые материалы: PLA, PETG, TPU, ABS, ASA, PVA, PET, PA, PC</t>
  </si>
  <si>
    <t>Система AMS
Тип: AMS (Full Combo)
Количество катушек: до 4
Поддержка многоцветной печати: Да
Контроль окончания филамента: Да
Автосмена материала: Да
Программное обеспечение
Поддерживаемые форматы файлов: .STL, .OBJ, .3MF
Совместимые ОС: Windows, Mac OS
Программное обеспечение: Bambu Studio, Bambu Suite, Bambu Handy, Super Slicer, PrusaSlicer, Cura
Дополнительная информация
Интерфейс подключения: Wi-Fi, Bambu-Bus
Электропитание: 100–120 VAC / 200–240 VAC, 50/60 Гц
Рабочая температура среды: 0°C – 35°C
Габаритные и вес
Габариты товара: 492 × 514 × 626 мм
Габариты упаковки: 620 × 620 × 770 мм
Вес нетто: 31 кг
Вес брутто: 46.2 кг</t>
  </si>
  <si>
    <t>H2D + Laser 10W</t>
  </si>
  <si>
    <t>Характеристики
Основные
Материал печати: Пластиковая нить
Технология печати: FDM / FFF + лазерная обработка
DIY (набор для сборки): Нет
Корпус принтера: Закрытый
Диаметр нити: 1.75 мм
Кол-во печатающих сопел: 2 шт.
Температура экструдера: 350°С
Температура стола: 120°С
Температура камеры печати: 65°С
Область печати: 350 × 320 × 325 мм
Калибровка: Автоматическая
Скорость печати / выращивания: до 1000 мм/с
Подогреваемый стол: Да
Видеокамера: Да
Принудительный подогрев камеры: Да
Контроль наличия пластика: Да
Система возобновления печати: Да
Сопло: 0.4 мм (0.2 мм, 0.6 мм, 0.8 мм — опционально)
Поддерживаемые материалы: PLA, PETG, TPU, ABS, ASA, PVA, PET, PA, PC
Лазерный модуль
Тип лазера: Диодный
Мощность лазера: 10 Вт
Длина волны: 455 нм
Рабочая область лазера: до 350 × 320 мм
Материалы для гравировки/резки: дерево, фанера, кожа, картон, пластик, анодированный алюминий
Система безопасности: защитный кожух, датчики открытия, аварийная остановка</t>
  </si>
  <si>
    <t>Система AMS
Тип: AMS (Full Combo)
Количество катушек: до 4
Поддержка многоцветной печати: Да
Контроль окончания филамента: Да
Автосмена материала: Да
Программное обеспечение
Поддерживаемые форматы файлов: .STL, .OBJ, .3MF, .SVG
Совместимые ОС: Windows, Mac OS
Программное обеспечение: Bambu Studio, Bambu Suite, Bambu Handy
Дополнительная информация
Интерфейс подключения: Wi-Fi, Bambu-Bus
Электропитание: 100–120 VAC / 200–240 VAC, 50/60 Гц
Рабочая температура среды: 0°C – 35°C
Габаритные и вес
Габариты товара: 492 × 514 × 626 мм
Габариты упаковки: 620 × 620 × 770 мм
Вес нетто: 31 кг
Вес брутто: 46.2 кг</t>
  </si>
  <si>
    <t>H2D + Laser 40W</t>
  </si>
  <si>
    <t>Характеристики
Основные
Материал печати: Пластиковая нить
Технология печати: FDM / FFF + лазерная обработка
DIY (набор для сборки): Нет
Корпус принтера: Закрытый
Диаметр нити: 1.75 мм
Кол-во печатающих сопел: 2 шт.
Температура экструдера: 350°С
Температура стола: 120°С
Температура камеры печати: 65°С
Область печати: 350 × 320 × 325 мм
Калибровка: Автоматическая
Скорость печати / выращивания: до 1000 мм/с
Подогреваемый стол: Да
Видеокамера: Да
Принудительный подогрев камеры: Да
Контроль наличия пластика: Да
Система возобновления печати: Да
Сопло: 0.4 мм (0.2 мм, 0.6 мм, 0.8 мм — опционально)
Поддерживаемые материалы: PLA, PETG, TPU, ABS, ASA, PVA, PET, PA, PC
Лазерный модуль
Тип лазера: Диодный
Мощность лазера: 40 Вт
Длина волны: 455 нм
Рабочая область лазера: до 350 × 320 мм
Материалы для гравировки/резки: дерево, фанера, кожа, картон, пластик, анодированный алюминий
Система безопасности: защитный кожух, датчики открытия, аварийная остановка</t>
  </si>
  <si>
    <t>Основные
Материал печати: Пластиковая нить
Технология печати: FDM / FFF + лазерная обработка
DIY (набор для сборки): Нет
Корпус принтера: Закрытый (огнестойкие материалы стандарта UL94 V-0)
Диаметр нити: 1.75 мм
Кол-во печатающих сопел: 2 шт. (одно фиксированное + система бесконтактной смены хотэндов Vortek на 6 слотов)
Температура экструдера: 350°С
Температура стола: 120°С
Температура камеры печати: 65°С (активный принудительный подогрев)
Область печати: 330 × 320 × 325 мм
Калибровка: Автоматическая (на базе ИИ, лидара и оптического энкодера с точностью 50 мкм)
Скорость печати / выращивания: до 1000 мм/с (ускорение до 20 000 мм/с²)
Подогреваемый стол: Да
Видеокамера: Да (встроенная квадро-камера с распознаванием ошибок)
Принудительный подогрев камеры: Да
Контроль наличия пластика: Да (и контроль по всей линии подачи филамента)
Система возобновления печати: Да
Сопло: 0.4 мм (0.2 мм, 0.6 мм, 0.8 мм — опционально)
Поддерживаемые материалы: PLA, PETG, TPU, ABS, ASA, PVA, PET, PA, PC, а также стекло- и угленаполненные полимеры
Лазерный модуль (для версии Laser Full Combo)
Тип лазера: Диодный
Мощность лазера: 40 Вт (10 Вт — опционально)
Длина волны: 455 нм (рабочий лазер) / 850 нм (инфракрасный для измерения высоты)
Рабочая область лазера: до 330 × 320 мм
Материалы для гравировки/резки: дерево, фанера, кожа, картон, пластик, анодированный алюминий, темный акрил
Система безопасности: защитный кожух, датчики открытия двери, аварийная остановка, 3-ступенчатая система фильтрации (предфильтр G3, HEPA H12, активированный уголь)</t>
  </si>
  <si>
    <t>Система AMS
Тип: AMS 2 Pro
Количество катушек: до 4 (возможность расширения до 24 катушек при подключении доп. модулей)
Поддержка многоцветной печати: Да (благодаря системе Vortek печать идет без отходов на очистку сопла)
Контроль окончания филамента: Да
Автосмена материала: Да
Программное обеспечение
Поддерживаемые форматы файлов: .STL, .OBJ, .3MF, .SVG (для лазера)
Совместимые ОС: Windows, Mac OS
Программное обеспечение: Bambu Studio, Bambu Handy
Дополнительная информация
Интерфейс подключения: Wi-Fi, Ethernet, USB
Электропитание: 100–120 VAC / 200–240 VAC, 50/60 Гц
Рабочая температура среды: 10°C – 30°C
Габариты и вес
Габариты товара: 492 × 514 × 626 мм
Габариты упаковки: 620 × 620 × 775 мм
Вес нетто: 32.5 кг
Вес брутто: 41.75 кг (до 46.2 кг в зависимости от точной комплектации модулей)</t>
  </si>
  <si>
    <t xml:space="preserve">Серия DM Plus </t>
  </si>
  <si>
    <t>ID</t>
  </si>
  <si>
    <t>Навзвание модели</t>
  </si>
  <si>
    <t>Ссылка на товар</t>
  </si>
  <si>
    <t>Стоимость</t>
  </si>
  <si>
    <t>Размер печати</t>
  </si>
  <si>
    <t>Вес товара</t>
  </si>
  <si>
    <t>Размеры с упаковкой</t>
  </si>
  <si>
    <t>Сроки доставки</t>
  </si>
  <si>
    <r>
      <rPr>
        <rFont val="Arial"/>
        <b/>
        <color theme="1"/>
        <sz val="12.0"/>
      </rPr>
      <t>Характеристики</t>
    </r>
    <r>
      <rPr>
        <rFont val="Arial"/>
        <color theme="1"/>
        <sz val="12.0"/>
      </rPr>
      <t xml:space="preserve">
</t>
    </r>
    <r>
      <rPr>
        <rFont val="Arial"/>
        <b/>
        <color theme="1"/>
        <sz val="12.0"/>
      </rPr>
      <t>• Основные</t>
    </r>
    <r>
      <rPr>
        <rFont val="Arial"/>
        <color theme="1"/>
        <sz val="12.0"/>
      </rPr>
      <t xml:space="preserve">
    ◦ Материал печати: Пластиковая нить (филамент).
    ◦ Технология печати: FDM Industrial.
    ◦ DIY (набор для сборки): Нет.
    ◦ Корпус принтера: Открытый; Закрытый (опция 60°C Enclosure).
    ◦ Диаметр нити: 1.75 мм.
    ◦ Кол-во печатающих сопел: 1 шт. (стандарт); 2 шт. (опция).
    ◦ Температура экструдера: до 380°С.
    ◦ Температура стола: до 100°С (опционально до 150°С).
    ◦ Температура камеры печати: до 60°С (при установке опционального корпуса).
    ◦ Область печати: от 600×600×600 мм до 1950×1200×1600 мм.
    ◦ Калибровка: Автоматическая (100-точечное или 64-точечное сканирование).
    ◦ Скорость печати: 150–500 мм/с.
    ◦ Подогреваемый стол: Да (закаленное стекло 6 мм).
    ◦ Видеокамера: Да (опция).
    ◦ Принудительный подогрев камеры: Нет.
    ◦ Контроль наличия пластика: Да.
    ◦ Система возобновления печати: Да.
    ◦ Сопло: 0.4 / 0.6 / 0.8 мм.
    ◦ Поддерживаемые материалы: PLA, PETG, ABS, ASA, TPU, PVA, Wood, Carbon Fiber и др..
</t>
    </r>
    <r>
      <rPr>
        <rFont val="Arial"/>
        <b/>
        <color theme="1"/>
        <sz val="12.0"/>
      </rPr>
      <t>• Программное обеспечение</t>
    </r>
    <r>
      <rPr>
        <rFont val="Arial"/>
        <color theme="1"/>
        <sz val="12.0"/>
      </rPr>
      <t xml:space="preserve">
    ◦ Форматы файлов: STL, OBJ, G-code.
    ◦ Совместимые ОС: Windows.
    ◦ ПО: Cura, Dowell3D, Orca, PrusaSlicer.
</t>
    </r>
    <r>
      <rPr>
        <rFont val="Arial"/>
        <b/>
        <color theme="1"/>
        <sz val="12.0"/>
      </rPr>
      <t>• Дополнительная информация</t>
    </r>
    <r>
      <rPr>
        <rFont val="Arial"/>
        <color theme="1"/>
        <sz val="12.0"/>
      </rPr>
      <t xml:space="preserve">
    ◦ Интерфейс подключения: SD-карта, USB, Wi-Fi.
    ◦ Электропитание: 110 / 220 VAC.</t>
    </r>
  </si>
  <si>
    <t>DM6plus</t>
  </si>
  <si>
    <t>352 544,4 ₽</t>
  </si>
  <si>
    <t>600×600×600</t>
  </si>
  <si>
    <t>180.000 кг</t>
  </si>
  <si>
    <t>DM6plus (enclosed)</t>
  </si>
  <si>
    <t>437 618,7 ₽</t>
  </si>
  <si>
    <t>600×600×601</t>
  </si>
  <si>
    <t>DM6-8Plus</t>
  </si>
  <si>
    <t>https://www.alibaba.com/product-detail/DM6-8Plus-Cheap-High-Precision-Strong_1600198772086.html</t>
  </si>
  <si>
    <t xml:space="preserve">430 292,3 ₽                </t>
  </si>
  <si>
    <t>600×600×800</t>
  </si>
  <si>
    <t>320.000 кг</t>
  </si>
  <si>
    <t>138X109X80 см</t>
  </si>
  <si>
    <t>DM6-10Plus</t>
  </si>
  <si>
    <t>https://www.alibaba.com/product-detail/Dowell3D-DM6-10Plus-High-Speed-Large_1600336308534.html</t>
  </si>
  <si>
    <t xml:space="preserve">446 257,4 ₽                </t>
  </si>
  <si>
    <t>600×600×1000</t>
  </si>
  <si>
    <t>350.000 кг</t>
  </si>
  <si>
    <t>95X93X95 см</t>
  </si>
  <si>
    <t>DM6-12Plus</t>
  </si>
  <si>
    <t xml:space="preserve">462 222,5 ₽                </t>
  </si>
  <si>
    <t>600×600×1200</t>
  </si>
  <si>
    <t>360.000 кг</t>
  </si>
  <si>
    <t>150X150X155 см</t>
  </si>
  <si>
    <t xml:space="preserve">DM6-12plus (enclosed)                </t>
  </si>
  <si>
    <t xml:space="preserve">525 645,5 ₽                </t>
  </si>
  <si>
    <t>DM6-16Plus</t>
  </si>
  <si>
    <t>https://www.alibaba.com/product-detail/DM6-16Plus-Large-Industrial-Dowell-Big_1600192489022.html</t>
  </si>
  <si>
    <t xml:space="preserve">494 043,3 ₽                </t>
  </si>
  <si>
    <t>600×600×1600</t>
  </si>
  <si>
    <t>380.000 кг</t>
  </si>
  <si>
    <t>158X193X50 см</t>
  </si>
  <si>
    <t>DM8Plus</t>
  </si>
  <si>
    <t>https://dwdz.en.alibaba.com/search/product?SearchText=DM8Plus</t>
  </si>
  <si>
    <t xml:space="preserve">461 129,0 ₽                </t>
  </si>
  <si>
    <t>800×800×800</t>
  </si>
  <si>
    <t>180X180X116 см</t>
  </si>
  <si>
    <t xml:space="preserve">DM8plus (enclosed)                </t>
  </si>
  <si>
    <t xml:space="preserve">527 723,1 ₽                </t>
  </si>
  <si>
    <t xml:space="preserve">DM8-12plus                </t>
  </si>
  <si>
    <t xml:space="preserve">524 880,0 ₽                </t>
  </si>
  <si>
    <t>DM8-16Plus</t>
  </si>
  <si>
    <t>https://www.alibaba.com/product-detail/Large-Print-Size-800-800-1600mm_1600288706290.html</t>
  </si>
  <si>
    <t xml:space="preserve">550 139,9 ₽                </t>
  </si>
  <si>
    <t>800×800×1600</t>
  </si>
  <si>
    <t>210X180X160 см</t>
  </si>
  <si>
    <t xml:space="preserve">DM8-16plus (enclosed)                </t>
  </si>
  <si>
    <t xml:space="preserve">635 760,9 ₽                </t>
  </si>
  <si>
    <t>DM10-6Plus</t>
  </si>
  <si>
    <t>https://www.alibaba.com/product-detail/DM10-6Plus-Home-Industrial-3d-Printer_1601043796708.html</t>
  </si>
  <si>
    <t xml:space="preserve">458 942,0 ₽                </t>
  </si>
  <si>
    <t>1000×1000×600</t>
  </si>
  <si>
    <t>180X180X130 см</t>
  </si>
  <si>
    <t>DM10-8Plus</t>
  </si>
  <si>
    <t>https://www.alibaba.com/product-detail/DM10-8Plus-1000mm-Automatic-FDM-3D_1600722278271.html</t>
  </si>
  <si>
    <t xml:space="preserve">468 236,7 ₽                </t>
  </si>
  <si>
    <t>1000*1000*800mm</t>
  </si>
  <si>
    <t>340.000 кг</t>
  </si>
  <si>
    <t>153X142X110 см</t>
  </si>
  <si>
    <t>DM1016-10Plus</t>
  </si>
  <si>
    <t>https://www.alibaba.com/product-detail/DM1016-10Plus-Fast-Printing-Large-Format_1600193159916.html</t>
  </si>
  <si>
    <t xml:space="preserve">624 825,9 ₽                </t>
  </si>
  <si>
    <t>1000×1600×1000</t>
  </si>
  <si>
    <t>197X139X57 см</t>
  </si>
  <si>
    <t xml:space="preserve">DM1016-10plus (enclosed)                </t>
  </si>
  <si>
    <t>https://www.alibaba.com/product-detail/Dowell-DM1016-12Plus-Fast-3d-Printing_1600415561143.html</t>
  </si>
  <si>
    <t xml:space="preserve">751 562,6 ₽                </t>
  </si>
  <si>
    <t>1000×1600×1200</t>
  </si>
  <si>
    <t>230X210X160 см</t>
  </si>
  <si>
    <t>DM1016-12Plus</t>
  </si>
  <si>
    <t xml:space="preserve">644 837,0 ₽                </t>
  </si>
  <si>
    <t xml:space="preserve">DM1018-10plus                </t>
  </si>
  <si>
    <t xml:space="preserve">810 830,3 ₽                </t>
  </si>
  <si>
    <t xml:space="preserve">DM1018-16plus                </t>
  </si>
  <si>
    <t xml:space="preserve">757 686,2 ₽                </t>
  </si>
  <si>
    <t>DM1020-10Plus</t>
  </si>
  <si>
    <t>https://www.alibaba.com/product-detail/DM1020-10Plus-High-Precision-Impresora-3d_1600666308860.html</t>
  </si>
  <si>
    <t xml:space="preserve">777 041,1 ₽                </t>
  </si>
  <si>
    <t>1000×2000×1000</t>
  </si>
  <si>
    <t>440.000 кг</t>
  </si>
  <si>
    <t>230X210X198 см</t>
  </si>
  <si>
    <t>DM12Plus</t>
  </si>
  <si>
    <t>https://www.alibaba.com/product-detail/DM12Plus-Precision-Auto-Leveling-Imprimante-3d_1601197175515.html</t>
  </si>
  <si>
    <t xml:space="preserve">569 932,2 ₽                </t>
  </si>
  <si>
    <t>1200×1200×1200</t>
  </si>
  <si>
    <t>220X190X160 см</t>
  </si>
  <si>
    <t>DM1216-12Plus</t>
  </si>
  <si>
    <t>https://www.alibaba.com/product-detail/DOWELL3D-DM1216-12Plus-Large-Format-Industrial_1601089723389.html</t>
  </si>
  <si>
    <t xml:space="preserve">944 893,4 ₽                </t>
  </si>
  <si>
    <t>1200×1600×1200</t>
  </si>
  <si>
    <t>480.000 кг</t>
  </si>
  <si>
    <t>Для кого</t>
  </si>
  <si>
    <t>Для чего</t>
  </si>
  <si>
    <t>Зачем</t>
  </si>
  <si>
    <t>DM1216-16Plus</t>
  </si>
  <si>
    <t>https://www.alibaba.com/product-detail/DM1216-16Plus-Imprimante-3d-Printer-Large_1600677978386.html</t>
  </si>
  <si>
    <t xml:space="preserve">836 199,5 ₽                </t>
  </si>
  <si>
    <t>1200×1600×1600</t>
  </si>
  <si>
    <t>Для сервисных бюро 3D-печати, дизайнерских студий, профессионалов и энтузиастов, которым важен темп</t>
  </si>
  <si>
    <t>Создание прототипов и конечных изделий в максимально короткие сроки.</t>
  </si>
  <si>
    <t>Печатает на 50% быстрее других крупных принтеров (до 500 мм/с), что критически важно для быстрой итерации моделей.</t>
  </si>
  <si>
    <t xml:space="preserve">DM1218-16plus                </t>
  </si>
  <si>
    <t xml:space="preserve">999 459,0 ₽                </t>
  </si>
  <si>
    <t>DM1220-8Plus</t>
  </si>
  <si>
    <t>https://www.alibaba.com/product-detail/DM1220-8Plus-Large-Big-Size-3D_1601014980308.html</t>
  </si>
  <si>
    <t xml:space="preserve">861 021,9 ₽                </t>
  </si>
  <si>
    <t>1200×1950×800</t>
  </si>
  <si>
    <t>410.000 кг</t>
  </si>
  <si>
    <t>230X210X180 см</t>
  </si>
  <si>
    <t xml:space="preserve">DM1220-10plus                </t>
  </si>
  <si>
    <t xml:space="preserve">910 448,1 ₽                </t>
  </si>
  <si>
    <t xml:space="preserve">DM1220-16plus                </t>
  </si>
  <si>
    <t xml:space="preserve">1 174 309,7 ₽                </t>
  </si>
  <si>
    <t>Серия DM Pro</t>
  </si>
  <si>
    <t>Столбец 1</t>
  </si>
  <si>
    <t>Характеристики
• Основные
    ◦ Материал печати: Пластиковая нить (филамент).
    ◦ Технология печати: FDM Industrial.
    ◦ DIY (набор для сборки): Нет.
    ◦ Корпус принтера: Открытый; Закрытый (опция 60°C Enclosure).
    ◦ Диаметр нити: 2.85 мм.
    ◦ Кол-во печатающих сопел: 1 шт. (стандарт); 2 шт. (опция).
    ◦ Температура экструдера: до 420°С.
    ◦ Температура стола: до 100°С (опционально до 150°С).
    ◦ Температура камеры печати: до 60°С (при установке опционального корпуса).
    ◦ Область печати: до 1200×2000×2000 мм.
    ◦ Калибровка: Автоматическая.
    ◦ Скорость печати: 250–500 мм/с.
    ◦ Подогреваемый стол: Да (закаленное стекло + силиконовый нагреватель).
    ◦ Видеокамера: Да (стандартно или опция в зависимости от комплектации).
    ◦ Принудительный подогрев камеры: Нет.
    ◦ Контроль наличия пластика: Да.
    ◦ Система возобновления печати: Да.
    ◦ Сопло: 0.4 / 0.8 / 1.2 / 1.6 / 2.0 мм.
    ◦ Поддерживаемые материалы: 2.85мм PLA, PETG, ABS, ASA, TPU, Wood, Nylon, Carbon Fiber и др..
• Программное обеспечение
    ◦ Форматы файлов: STL, OBJ, G-code, JPG.
    ◦ Совместимые ОС: Windows.
    ◦ ПО: Cura, Dowell3D, Simplify3D, Slic3r.
• Дополнительная информация
    ◦ Интерфейс подключения: SD-карта, USB, Wi-Fi.
    ◦ Электропитание: 110 / 220 VAC.
    ◦ Особенности: 10-дюймовый сенсорный экран, система анти-коллизии сопла.</t>
  </si>
  <si>
    <t xml:space="preserve">DM8-6pro                </t>
  </si>
  <si>
    <t xml:space="preserve">542 704,1 ₽                </t>
  </si>
  <si>
    <t xml:space="preserve">DM8pro                </t>
  </si>
  <si>
    <t xml:space="preserve">565 230,2 ₽                </t>
  </si>
  <si>
    <t xml:space="preserve">DM8-10pro                </t>
  </si>
  <si>
    <t xml:space="preserve">603 174,6 ₽                </t>
  </si>
  <si>
    <t xml:space="preserve">DM8-12pro                </t>
  </si>
  <si>
    <t xml:space="preserve">609 188,9 ₽                </t>
  </si>
  <si>
    <t xml:space="preserve">DM10-8pro                </t>
  </si>
  <si>
    <t xml:space="preserve">595 301,4 ₽                </t>
  </si>
  <si>
    <t>DM-10Pro</t>
  </si>
  <si>
    <t>https://www.alibaba.com/product-detail/DM8-6Pro-Large-3d-Printer-PLA_1600830212315.html</t>
  </si>
  <si>
    <t xml:space="preserve">598 035,2 ₽                </t>
  </si>
  <si>
    <t>800×800×600</t>
  </si>
  <si>
    <t>140X140X90 см</t>
  </si>
  <si>
    <t xml:space="preserve">DM10-12pro                </t>
  </si>
  <si>
    <t xml:space="preserve">636 089,0 ₽                </t>
  </si>
  <si>
    <t xml:space="preserve">DM1014-6pro                </t>
  </si>
  <si>
    <t xml:space="preserve">656 865,5 ₽                </t>
  </si>
  <si>
    <t xml:space="preserve">DM1014-16pro                </t>
  </si>
  <si>
    <t>https://www.alibaba.com/product-detail/DM1014-6pro-High-Precision-Impresora-3d_1601566303606.html</t>
  </si>
  <si>
    <t xml:space="preserve">753 093,5 ₽                </t>
  </si>
  <si>
    <t>1000×1400×600</t>
  </si>
  <si>
    <t>240X240X110 см</t>
  </si>
  <si>
    <t xml:space="preserve">DM1016-6pro                </t>
  </si>
  <si>
    <t xml:space="preserve">717 773,4 ₽                </t>
  </si>
  <si>
    <t xml:space="preserve"> DM1016-8Pro</t>
  </si>
  <si>
    <t>https://www.alibaba.com/product-detail/DM1016-8pro-High-Precision-Large-Format_1601562293685.html</t>
  </si>
  <si>
    <t xml:space="preserve">880 048,8 ₽                </t>
  </si>
  <si>
    <t>1000×1600×800</t>
  </si>
  <si>
    <t>392.000 кг</t>
  </si>
  <si>
    <t>170X280X91 см</t>
  </si>
  <si>
    <t>DM1016-10Pro</t>
  </si>
  <si>
    <t>https://www.alibaba.com/product-detail/Dowell-DM1016-10Pro-1600mm-1000mm-Big_1601227603765.html</t>
  </si>
  <si>
    <t xml:space="preserve">754 187,0 ₽                </t>
  </si>
  <si>
    <t>210X190X100 см</t>
  </si>
  <si>
    <t xml:space="preserve">DM1016-12pro                </t>
  </si>
  <si>
    <t xml:space="preserve">780 759,0 ₽                </t>
  </si>
  <si>
    <t xml:space="preserve">DM1016-16pro                </t>
  </si>
  <si>
    <t xml:space="preserve">825 920,6 ₽                </t>
  </si>
  <si>
    <t>DM1020-10Pro</t>
  </si>
  <si>
    <t>https://www.alibaba.com/product-detail/1000-2000-1000mm-Large-Printing-Size_1601566746951.html</t>
  </si>
  <si>
    <t xml:space="preserve">926 085,2 ₽                </t>
  </si>
  <si>
    <t>213X180X121 см</t>
  </si>
  <si>
    <t xml:space="preserve">DM1220-6pro                </t>
  </si>
  <si>
    <t xml:space="preserve">983 712,6 ₽                </t>
  </si>
  <si>
    <t>DM1216-12Pro</t>
  </si>
  <si>
    <t>https://www.alibaba.com/product-detail/Dowell-DM1216-12pro-Fdm-Carbon-Fiber_1601564627472.html</t>
  </si>
  <si>
    <t>511.000 кг</t>
  </si>
  <si>
    <t>230X242X181 см</t>
  </si>
  <si>
    <t>DM1216-16Pro</t>
  </si>
  <si>
    <t xml:space="preserve">919 305,5 ₽                </t>
  </si>
  <si>
    <t>DM1218-12Pro</t>
  </si>
  <si>
    <t>https://www.alibaba.com/product-detail/DM1218-12pro-Large-Format-FDM-Multimaterial_1601567141368.html</t>
  </si>
  <si>
    <t xml:space="preserve">957 140,6 ₽                </t>
  </si>
  <si>
    <t>1200×1800×1200</t>
  </si>
  <si>
    <t>412.000 кг</t>
  </si>
  <si>
    <t>240X210X180 см</t>
  </si>
  <si>
    <t>DM1220-16Pro</t>
  </si>
  <si>
    <t>https://www.alibaba.com/product-detail/DM1220-16pro-Industrial-Large-Format-3d_1601564492670.html</t>
  </si>
  <si>
    <t>1200×2000×1600</t>
  </si>
  <si>
    <t>633.000 кг</t>
  </si>
  <si>
    <t>192X264X112 см</t>
  </si>
  <si>
    <t>DM10-20Pro</t>
  </si>
  <si>
    <t>https://www.alibaba.com/product-detail/1000-1000-2000mm-Large-Format-3d_1601563120093.html</t>
  </si>
  <si>
    <t>1000×1000×2000</t>
  </si>
  <si>
    <t>583.000 кг</t>
  </si>
  <si>
    <t>210X198X91 см</t>
  </si>
  <si>
    <t>DM12-16Pro</t>
  </si>
  <si>
    <t>https://www.alibaba.com/product-detail/DM12-16pro-Industrial-Grade-Automatic-Fdm_1601567216860.html</t>
  </si>
  <si>
    <t>1200×1200×1600</t>
  </si>
  <si>
    <t>610.000 кг</t>
  </si>
  <si>
    <t>240X240X160 см</t>
  </si>
  <si>
    <t>DM1218-16Pro</t>
  </si>
  <si>
    <t>https://www.alibaba.com/product-detail/Printer-1200x1800x1600mm-Large-FDM-Multiple-Materials_1601563839751.html</t>
  </si>
  <si>
    <t>1200×1800×1600</t>
  </si>
  <si>
    <t>586.000 кг</t>
  </si>
  <si>
    <t>210X273X142 см</t>
  </si>
  <si>
    <t>DM1220-12Pro</t>
  </si>
  <si>
    <t>https://www.alibaba.com/product-detail/DM1220-12pro-Fully-Automatic-Leveling-Impresora_1601566763703.html</t>
  </si>
  <si>
    <t>1200×2000×1200</t>
  </si>
  <si>
    <t>510.000 кг</t>
  </si>
  <si>
    <t>260X210X210 см</t>
  </si>
  <si>
    <t>Для предприятий тяжелого машиностроения и производства литейной оснастки.</t>
  </si>
  <si>
    <t>Изготовление массивных, цельнолитых промышленных моделей и крупных форм.</t>
  </si>
  <si>
    <t>Благодаря использованию филамента 2,85 мм и потоку до 1000 г/час, время печати огромных объектов сокращается в 2–3 раза.</t>
  </si>
  <si>
    <t>Серия DL (Advanced, filament)</t>
  </si>
  <si>
    <r>
      <rPr>
        <rFont val="Arial"/>
        <b/>
        <color theme="1"/>
      </rPr>
      <t>Характеристики 
Основные</t>
    </r>
    <r>
      <rPr>
        <rFont val="Arial"/>
        <color theme="1"/>
      </rPr>
      <t xml:space="preserve">
• Материал печати: Пластиковая нить (филамент).
• Технология печати: FDM Industrial (промышленная FDM).
• DIY (набор для сборки): Нет (поставляется в собранном виде, готовность около 85%).
• Корпус принтера: Открытый (стандарт); Закрытый (опционально — 60°C Enclosure).
• Диаметр нити: 2.85 мм (для обеспечения высокого потока).
• Кол-во печатающих сопел: 1 шт. (стандарт); возможна установка Dual Extruder (опция).
• Температура экструдера: до 420°С (высокотемпературная головка собственной разработки).
• Температура стола: до 100°С (стандартно); до 150°С (под заказ).
• Температура камеры печати: до 60°С (при наличии опционального корпуса).
• Область печати: от 1000 × 1000 × 1000 мм (DL10) до 1600 × 2400 × 1600 мм (DL1624-16).
• Калибровка: Автоматическая (двухуровневая: независимая регулировка 4 углов + матричное сканирование поверхности до 100 точек).
• Скорость печати / выращивания: до 350 мм/с (акцент сделан на стабильность и высокий поток).
• Подогреваемый стол: Да (закаленное стекло 6 мм + силиконовый нагреватель).
• Видеокамера: Да (стандартно для продвинутых моделей серии DL).
• Принудительный подогрев камеры: Нет (термостабилизация до 60°С за счет корпуса).
• Контроль наличия пластика: Да (Filament Run-out Sensor).
• Система возобновления печати: Да (Auto resume from power off).
• Сопло: 0.4 / 0.8 / 1.2 / 1.6 / 2.0 мм (используется 4-шестеренчатый механизм подачи для высокого потока до 1000 г/ч).
• Поддерживаемые материалы: PLA, PETG, ABS, ASA, PVA, TPU, WOOD, Nylon, Carbon Fiber (CF), PEEK, PEI и другие инженерные композиты.
</t>
    </r>
    <r>
      <rPr>
        <rFont val="Arial"/>
        <b/>
        <color theme="1"/>
      </rPr>
      <t>Программное обеспечение</t>
    </r>
    <r>
      <rPr>
        <rFont val="Arial"/>
        <color theme="1"/>
      </rPr>
      <t xml:space="preserve">
• Поддерживаемые форматы файлов: STL, OBJ, G-code, JPG.
• Совместимые ОС: Windows.
• Программное обеспечение: Cura, Dowell3D, Simplify3D, Slic3r, Orca.
</t>
    </r>
    <r>
      <rPr>
        <rFont val="Arial"/>
        <b/>
        <color theme="1"/>
      </rPr>
      <t>Дополнительная информация</t>
    </r>
    <r>
      <rPr>
        <rFont val="Arial"/>
        <color theme="1"/>
      </rPr>
      <t xml:space="preserve">
• Интерфейс управления: 10-дюймовый цветной сенсорный экран (мультиязычный).
• Интерфейс подключения: USB, Wi-Fi (удаленное управление), SD-карта.
• Электропитание: 110 / 220 VAC.
• Рабочая температура среды: 5°C – 35°C.</t>
    </r>
  </si>
  <si>
    <t>DL10</t>
  </si>
  <si>
    <t>https://www.alibaba.com/product-detail/DL10-Industrial-3d-Printer-Sculpture-Stampante_1601574626486.html</t>
  </si>
  <si>
    <t>1000×1000×1000</t>
  </si>
  <si>
    <t>580.000 кг</t>
  </si>
  <si>
    <t>267X228X198 см</t>
  </si>
  <si>
    <t>DL10-16</t>
  </si>
  <si>
    <t>https://www.alibaba.com/product-detail/Dowell-DL10-16-Large-Faster-Diy_1601575402512.html</t>
  </si>
  <si>
    <t xml:space="preserve">791 147,3 ₽                </t>
  </si>
  <si>
    <t>1000×1000×1600</t>
  </si>
  <si>
    <t>280X280X160 см</t>
  </si>
  <si>
    <t>DL1016-10</t>
  </si>
  <si>
    <t>https://www.alibaba.com/product-detail/DL1016-10-High-Precision-Industrial-3d_1601563992626.html</t>
  </si>
  <si>
    <t xml:space="preserve">1 098 311,4 ₽                </t>
  </si>
  <si>
    <t>673.000 кг</t>
  </si>
  <si>
    <t>281X263X215 см</t>
  </si>
  <si>
    <t xml:space="preserve">DL12-6                </t>
  </si>
  <si>
    <t xml:space="preserve">949 923,5 ₽                </t>
  </si>
  <si>
    <t>DL12-10</t>
  </si>
  <si>
    <t>https://www.alibaba.com/product-detail/DL12-10-Industrial-Large-Format-Impresora_1601566186724.html</t>
  </si>
  <si>
    <t xml:space="preserve">998 802,9 ₽                </t>
  </si>
  <si>
    <t>1200×1200×1000</t>
  </si>
  <si>
    <t>260X246X213 см</t>
  </si>
  <si>
    <t>DL1216-12</t>
  </si>
  <si>
    <t>https://www.alibaba.com/product-detail/Dowell-DL1216-12-High-Flow-Large_1601565632555.html</t>
  </si>
  <si>
    <t xml:space="preserve">1 274 911,7 ₽                </t>
  </si>
  <si>
    <t>780.000 кг</t>
  </si>
  <si>
    <t>280X260X220 см</t>
  </si>
  <si>
    <t>DL1220-12</t>
  </si>
  <si>
    <t>https://www.alibaba.com/product-detail/DL1220-12-Large-High-Accuracy-3d_1601566410214.html</t>
  </si>
  <si>
    <t xml:space="preserve">1 268 788,1 ₽                </t>
  </si>
  <si>
    <t>710.000 кг</t>
  </si>
  <si>
    <t>278X261X220 см</t>
  </si>
  <si>
    <t>DL1220-16</t>
  </si>
  <si>
    <t>https://www.alibaba.com/product-detail/DL1220-16-Large-3D-Printer-Industrial_1600666600676.html</t>
  </si>
  <si>
    <t xml:space="preserve">1 321 713,5 ₽                </t>
  </si>
  <si>
    <t>600.000 кг</t>
  </si>
  <si>
    <t>280X240X180 см</t>
  </si>
  <si>
    <t>DL1220-20</t>
  </si>
  <si>
    <t>https://www.alibaba.com/product-detail/Dowell-3d-Printing-Machine-DL1220-20_1601574774833.html</t>
  </si>
  <si>
    <t xml:space="preserve">1 413 348,8 ₽                </t>
  </si>
  <si>
    <t>1200×2000×2000</t>
  </si>
  <si>
    <t>588.000 кг</t>
  </si>
  <si>
    <t>320X320X240 см</t>
  </si>
  <si>
    <t>DL12</t>
  </si>
  <si>
    <t>https://www.alibaba.com/product-detail/DL12-Industrial-Large-3d-Printer-Machine_1601575488444.html</t>
  </si>
  <si>
    <t xml:space="preserve">884 860,2 ₽                </t>
  </si>
  <si>
    <t>286X260X198 см</t>
  </si>
  <si>
    <t>DL12-16</t>
  </si>
  <si>
    <t>https://www.alibaba.com/product-detail/DL12-16-Professional-3d-Printer-Industrial_1601574658665.html</t>
  </si>
  <si>
    <t xml:space="preserve">986 446,4 ₽                </t>
  </si>
  <si>
    <t>280X267X186 см</t>
  </si>
  <si>
    <t>DL1616-16</t>
  </si>
  <si>
    <t>https://www.alibaba.com/product-detail/Factory-Sale-High-Speed-Impresora-3d_1601567057679.html</t>
  </si>
  <si>
    <t xml:space="preserve">1 373 764,1 ₽                </t>
  </si>
  <si>
    <t>1600×1600×1600</t>
  </si>
  <si>
    <t>910.000 кг</t>
  </si>
  <si>
    <t>298X250X198 см</t>
  </si>
  <si>
    <t>DL1620-16</t>
  </si>
  <si>
    <t>https://www.alibaba.com/product-detail/DL1620-16-Thickened-80-Aluminum-Frame_1601033069142.html</t>
  </si>
  <si>
    <t xml:space="preserve">1 881 804,2 ₽                </t>
  </si>
  <si>
    <t>1600×2000×1600</t>
  </si>
  <si>
    <t>730.000 кг</t>
  </si>
  <si>
    <t>290X280X213 см</t>
  </si>
  <si>
    <t>DL1624-16</t>
  </si>
  <si>
    <t>https://www.alibaba.com/product-detail/Dowell-FDM-Plastic-Home-Ues-High_1601564937460.html</t>
  </si>
  <si>
    <t xml:space="preserve">1 701 376,7 ₽                </t>
  </si>
  <si>
    <t>1600×2400×1600</t>
  </si>
  <si>
    <t>737.000 кг</t>
  </si>
  <si>
    <t>276X254X213 см</t>
  </si>
  <si>
    <t>Серия DL</t>
  </si>
  <si>
    <t>Для аэрокосмического сектора, судостроения и автомобильной промышленности.</t>
  </si>
  <si>
    <t>Печать сверхкрупных деталей (бамперы, части лодок), огромных скульптур (например, динозавров) и мебели.</t>
  </si>
  <si>
    <t>Единственная серия с усиленной рамой 80 мм, позволяющая создавать цельные модели длиной до 2,4 метра с высокой надежностью.</t>
  </si>
  <si>
    <t>Серия DP-A (Pellet / FGF)</t>
  </si>
  <si>
    <r>
      <rPr>
        <rFont val="Arial"/>
        <b/>
        <color theme="1"/>
      </rPr>
      <t>Характеристики
Основные</t>
    </r>
    <r>
      <rPr>
        <rFont val="Arial"/>
        <color theme="1"/>
      </rPr>
      <t xml:space="preserve">
• Материал печати: Полимерные гранулы (Pellets / Granule material) размером до 4 мм.
• Технология печати: FGF (Fused Granulate Fabrication) / 3-ступенчатая шнековая экструзия.
• DIY (набор для сборки): Нет (промышленная установка, поставляется собранной на 85%).
• Корпус принтера: Открытый на базе 80-мм сверхпрочной рамы (стандарт); Закрытый (опция — 60°C Enclosure).
• Диаметр сопла: 1.0 / 2.0 / 3.0 / 4.0 мм.
• Кол-во печатающих сопел: 1 шт. (шнековый экструдер).
• Температура экструдера: до 420°С (с 3-зонным температурным контролем и системой водяного охлаждения).
• Температура стола: до 100°С.
• Температура камеры печати: до 60°С (при установке опционального корпуса).
• Область печати: от 1000 × 1000 × 1000 мм (DP-A10) до 1600 × 2400 × 1600 мм (DP-A1624-16).
• Калибровка: Автоматическая (двухуровневая система с датчиками высокой точности).
• Скорость печати / выращивания: до 250 мм/с.
• Поток экструзии: экстремально высокий — 4000–5000 г/час.
• Подогреваемый стол: Да (закаленное стекло 6 мм + силиконовый нагреватель).
• Видеокамера: Да (устанавливаемая внешняя камера как опция).
• Принудительный подогрев камеры: Да (до 60°С, если выбран вариант с Enclosure).
• Контроль наличия материала: Да (датчик подачи гранул).
• Система возобновления печати: Да.
• Поддерживаемые материалы: PLA, PETG, ABS, TPE и другие термопласты в гранулах.
</t>
    </r>
    <r>
      <rPr>
        <rFont val="Arial"/>
        <b/>
        <color theme="1"/>
      </rPr>
      <t>Программное обеспечение</t>
    </r>
    <r>
      <rPr>
        <rFont val="Arial"/>
        <color theme="1"/>
      </rPr>
      <t xml:space="preserve">
• Поддерживаемые форматы файлов: STL, OBJ, G-code, JPG.
• Совместимые ОС: Windows.
• Программное обеспечение: Dowell, Cura, Simplify3D, Slic3r.
</t>
    </r>
    <r>
      <rPr>
        <rFont val="Arial"/>
        <b/>
        <color theme="1"/>
      </rPr>
      <t>Дополнительная информация</t>
    </r>
    <r>
      <rPr>
        <rFont val="Arial"/>
        <color theme="1"/>
      </rPr>
      <t xml:space="preserve">
• Интерфейс управления: 10-дюймовый полноцветный сенсорный экран.
• Интерфейс подключения: USB, Wi-Fi (удаленное управление), SD-карта.
• Электропитание: 110 / 220 VAC.
• Особенности: Система сервоприводов и винтовых передач (Screw drive &amp; Servo Motor) для точного перемещения тяжелого экструдера.</t>
    </r>
  </si>
  <si>
    <t>DP-A1616-12</t>
  </si>
  <si>
    <t>https://www.alibaba.com/product-detail/DP-A1616-12-3D-Printer-Plastic_1601041123905.html</t>
  </si>
  <si>
    <t xml:space="preserve">1 900 175,0 ₽                </t>
  </si>
  <si>
    <t>1600×1600×1200</t>
  </si>
  <si>
    <t>920.000 кг</t>
  </si>
  <si>
    <t>340X280X210 см</t>
  </si>
  <si>
    <t xml:space="preserve">DP-A1220-12                </t>
  </si>
  <si>
    <t xml:space="preserve">1 880 382,6 ₽                </t>
  </si>
  <si>
    <t>DP-A1220-16</t>
  </si>
  <si>
    <t>https://www.alibaba.com/product-detail/Dowell3D-1200-2000-1600-Pellet-Granule_1601231297101.html</t>
  </si>
  <si>
    <t xml:space="preserve">1 913 406,3 ₽                </t>
  </si>
  <si>
    <t>1160.000 кг</t>
  </si>
  <si>
    <t>310X280X240 см</t>
  </si>
  <si>
    <t xml:space="preserve">DP-A1620-12                </t>
  </si>
  <si>
    <t xml:space="preserve">2 130 247,4 ₽                </t>
  </si>
  <si>
    <t>DP-A1620-16</t>
  </si>
  <si>
    <t>https://www.alibaba.com/product-detail/DP-A1620-16-3D-Printer-Manufacturing_1601043019352.html</t>
  </si>
  <si>
    <t xml:space="preserve">2 110 892,4 ₽                </t>
  </si>
  <si>
    <t>890.000 кг</t>
  </si>
  <si>
    <t>320X280X260 см</t>
  </si>
  <si>
    <t>DP-A10</t>
  </si>
  <si>
    <t>https://www.alibaba.com/product-detail/DP-A10-FGF-Industrial-Pellets-Extruder_1601563043094.html</t>
  </si>
  <si>
    <t xml:space="preserve">1 383 605,6 ₽                </t>
  </si>
  <si>
    <t>670.000 кг</t>
  </si>
  <si>
    <t>280X240X190 см</t>
  </si>
  <si>
    <t>DP-A10-16</t>
  </si>
  <si>
    <t>https://www.alibaba.com/product-detail/DP-A10-16-Large-Size-Granule_1601563008616.html</t>
  </si>
  <si>
    <t xml:space="preserve">1 610 178,8 ₽                </t>
  </si>
  <si>
    <t>723.000 кг</t>
  </si>
  <si>
    <t>298X246X163 см</t>
  </si>
  <si>
    <t>DP-A12</t>
  </si>
  <si>
    <t>https://www.alibaba.com/product-detail/DP-A12-Industrial-Large-Professional-FGF_1601575509218.html</t>
  </si>
  <si>
    <t xml:space="preserve">1 531 665,5 ₽                </t>
  </si>
  <si>
    <t>718.000 кг</t>
  </si>
  <si>
    <t>280X260X260 см</t>
  </si>
  <si>
    <t xml:space="preserve">DP-A12-16                </t>
  </si>
  <si>
    <t xml:space="preserve">1 525 323,2 ₽                </t>
  </si>
  <si>
    <t>DP-A1216-12</t>
  </si>
  <si>
    <t>https://www.alibaba.com/product-detail/Dowell-FGF-3D-Large-Scale-Granule_1600441247466.html</t>
  </si>
  <si>
    <t xml:space="preserve">1 692 956,7 ₽                </t>
  </si>
  <si>
    <t>1060.000 кг</t>
  </si>
  <si>
    <t>320X310X240 см</t>
  </si>
  <si>
    <t>DP-A1616-16</t>
  </si>
  <si>
    <t>https://www.alibaba.com/product-detail/DP-A1616-16-Enclosed-Auto-Leveling_1601566211407.html</t>
  </si>
  <si>
    <t xml:space="preserve">2 225 928,6 ₽                </t>
  </si>
  <si>
    <t>1200.000 кг</t>
  </si>
  <si>
    <t>320X290X210 см</t>
  </si>
  <si>
    <t xml:space="preserve">DP-A1624-12                </t>
  </si>
  <si>
    <t xml:space="preserve">2 291 538,6 ₽                </t>
  </si>
  <si>
    <t>DP-A1624-16</t>
  </si>
  <si>
    <t>https://www.alibaba.com/product-detail/Dowell-DP-A1624-16-Pellet-3d_1601575445825.html</t>
  </si>
  <si>
    <t xml:space="preserve">2 360 647,8 ₽                </t>
  </si>
  <si>
    <t>1250.000 кг</t>
  </si>
  <si>
    <t>340X320X260 см</t>
  </si>
  <si>
    <t>Серия DP</t>
  </si>
  <si>
    <t>Для производителей крупногабаритной мебели, элементов фасадного декора, больших скульптур и полномасштабных прототипов.</t>
  </si>
  <si>
    <t>Создание гигантских моделей при минимальной себестоимости</t>
  </si>
  <si>
    <t>Гранулы в 5–10 раз дешевле филамента, а производительность достигает 6 кг материала в час, что делает печать огромных объектов экономически выгодной.</t>
  </si>
  <si>
    <t>Upgrade Kit</t>
  </si>
  <si>
    <t>10W</t>
  </si>
  <si>
    <t>✅ КЛИЕНТЫ, КОТОРЫЕ КУПИЛИ У НАС</t>
  </si>
  <si>
    <t>Ссылка на профиль клиента</t>
  </si>
  <si>
    <t>Дата покупки</t>
  </si>
  <si>
    <t>Какой принтер купил</t>
  </si>
  <si>
    <t>Наша цена продажи (₽)</t>
  </si>
  <si>
    <t>Почему купил у нас?
(со слов клиента)</t>
  </si>
  <si>
    <t>Комментарий менеджера
(почему купил)</t>
  </si>
  <si>
    <t>Доп. заметки</t>
  </si>
  <si>
    <t>https://www.avito.ru/user/ba5990a9f4e5e7662c7a3dcb1d550bec/profile?iid=8070925459&amp;page_from=from_item_messenger&amp;src=messenger&amp;id=8070925459</t>
  </si>
  <si>
    <t>Bambu Lab H2C Full Combo Laser 10W EU</t>
  </si>
  <si>
    <t>255 730руб.</t>
  </si>
  <si>
    <t>Хорошая цена, договор составили</t>
  </si>
  <si>
    <t>Цена хорошая, сроки клиенту не важны были, заранее покупает</t>
  </si>
  <si>
    <t>https://www.avito.ru/user/56bfdc4e0c2f395bee9dc06add24edc7/profile?iid=8071516922&amp;page_from=from_item_messenger&amp;src=messenger&amp;id=8071516922</t>
  </si>
  <si>
    <t>263 000руб.</t>
  </si>
  <si>
    <t>"Самая низкая цена оказалась. И простой способ оплаты."</t>
  </si>
  <si>
    <t>Предложили хорошую цену, принтер скоро приедет это тоже подкупило</t>
  </si>
  <si>
    <t>Усомнился когда увидел в ссылке магазин ЭлМОторс, объяснил всё и сделка удалась</t>
  </si>
  <si>
    <t>https://avito.ru/user/9041909672e2b8a543a572abddd5281f/profile?iid=7829233208&amp;page_from=from_item_messenger&amp;src=messenger&amp;id=7829233208</t>
  </si>
  <si>
    <t>Bambu Lab H2C Full Combo Laser 40W EU</t>
  </si>
  <si>
    <t>334 856руб.</t>
  </si>
  <si>
    <t>Отвечаем на все вопросы и принтеры везём</t>
  </si>
  <si>
    <t>Сроки поставки и цены, отвечал на все вопросы</t>
  </si>
  <si>
    <t>Получатель товара в СДЭК Листунова Марина Геннадьевна</t>
  </si>
  <si>
    <t>https://avito.ru/brands/00831c58efc8e688b05807c83f905236?iid=8071256524&amp;page_from=from_item_messenger</t>
  </si>
  <si>
    <t>295 000руб.</t>
  </si>
  <si>
    <t>Объяснил ему всё под ТЗ заказчика и подобрали лучший вариант который подойдёт, ранее уже взял принтер, но оказалось не тот</t>
  </si>
  <si>
    <t>https://avito.ru/user/bfc06b5f6003fe24c8eb249404d63db6/profile?iid=8117852192&amp;page_from=from_item_messenger&amp;src=messenger&amp;id=8117852192</t>
  </si>
  <si>
    <t>266 430руб.</t>
  </si>
  <si>
    <t>https://avito.ru/user/64368e8a503e9c29dc93b014bc9da494/profile?iid=8117393735&amp;page_from=from_item_messenger&amp;src=messenger&amp;id=8117393735</t>
  </si>
  <si>
    <t>239 000руб.</t>
  </si>
  <si>
    <t>Хорошая цена и наличие</t>
  </si>
  <si>
    <t>https://avito.ru/user/989c74e231069a25d008c40a108c43a7/profile?iid=8053761857&amp;page_from=from_item_messenger&amp;src=messenger&amp;id=8053761857</t>
  </si>
  <si>
    <t>https://avito.ru/brands/ab3a43412f40fc4fd9639afb3d434ab2?iid=8117852192&amp;page_from=from_item_messenger</t>
  </si>
  <si>
    <t>https://avito.ru/brands/i12441944?iid=8070919462&amp;page_from=from_item_messenger</t>
  </si>
  <si>
    <t>❌ КЛИЕНТЫ, КОТОРЫЕ КУПИЛИ У КОНКУРЕНТОВ</t>
  </si>
  <si>
    <t>Дата контакта</t>
  </si>
  <si>
    <t>Какой принтер рассматривал</t>
  </si>
  <si>
    <t>Наша цена на этот принтер (₽)</t>
  </si>
  <si>
    <t>Цена у конкурента (₽)</t>
  </si>
  <si>
    <t>Название конкурента</t>
  </si>
  <si>
    <t>Почему купил у конкурента?
(со слов клиента)</t>
  </si>
  <si>
    <t>Комментарий менеджера</t>
  </si>
  <si>
    <t>https://www.avito.ru/user/e296a8ea06562cee24c772298cd834cf/profile?iid=8053304613&amp;page_from=from_item_messenger&amp;src=messenger&amp;id=8053304613</t>
  </si>
  <si>
    <t>3Д принтер Elegoo Giga Storm (Giga-формат)</t>
  </si>
  <si>
    <t>279 000руб.</t>
  </si>
  <si>
    <t>Не устроили сроки поставки</t>
  </si>
  <si>
    <t>https://www.avito.ru/brands/914928d0da5f24b116a94843bfae9bd4/all/predlozheniya_uslug?iid=7829627106&amp;page_from=from_item_messenger&amp;sellerId=c19906224c0cae40f09a5864f56d216a</t>
  </si>
  <si>
    <t>3D принтер промышленный dowell DM-10-8</t>
  </si>
  <si>
    <t>459 000руб.</t>
  </si>
  <si>
    <t>Не рассчитала бюджет, хочет 3Д принтер который печатает под 2м. за 250-300тыс.</t>
  </si>
  <si>
    <t>https://www.avito.ru/brands/3d9ee27f9fecbc2d0c87989429f8acb9/all?iid=8053583382&amp;page_from=from_item_messenger&amp;sellerId=94e46ece26863fd1302e86bb270b02bd</t>
  </si>
  <si>
    <t>H2S Combo AMS 2 PRO принтер 3D Bambu Lab</t>
  </si>
  <si>
    <t>149 000руб.</t>
  </si>
  <si>
    <t>Дороже</t>
  </si>
  <si>
    <t>"Уже куплен, чуть дороже, но в наличии"</t>
  </si>
  <si>
    <t>Его не убедили наши слова про договор и были сомнения при оплате</t>
  </si>
  <si>
    <t>https://avito.ru/user/a0f7faa5fe94909ae02f285bfbb183db/profile?iid=8053254619&amp;page_from=from_item_messenger&amp;src=messenger&amp;id=8053254619</t>
  </si>
  <si>
    <t>H2C AMS Combo 3D</t>
  </si>
  <si>
    <t>249 000руб.</t>
  </si>
  <si>
    <t>Бюджет не позволяет, 250тыс. бюджет на 3Д принтер с доставкой и оплатой по безналу</t>
  </si>
  <si>
    <t>https://avito.ru/user/6680a4d2af7d57356fc4b92ace1dc2e5/profile?iid=8053583382&amp;page_from=from_item_messenger&amp;src=messenger&amp;id=8053583382</t>
  </si>
  <si>
    <t>Не хочет ждать 20-27 дней, а на альтернативу H2C бюджет не позволяет</t>
  </si>
  <si>
    <t>https://avito.ru/brands/i85974111?iid=8053134772&amp;page_from=from_item_messenger</t>
  </si>
  <si>
    <t>Bambu Lab H2D Combo AMS 2</t>
  </si>
  <si>
    <t>159 000руб.</t>
  </si>
  <si>
    <t>Хотел по наличию, не устраивают сроки поставки</t>
  </si>
  <si>
    <t>https://www.avito.ru/brands/i171722627/all?iid=8071067275&amp;page_from=from_item_messenger&amp;sellerId=e2270ec0a6c32815d490ac809d99d539</t>
  </si>
  <si>
    <t>Bambu Lab H2D EU Laser 40W Full Combo</t>
  </si>
  <si>
    <t>"Не устроили сроки доставки. Новое ТЗ, необходимо приобрести принтер в течении 5 рабочих дней."</t>
  </si>
  <si>
    <t>Сначала всё было хорошо и одобрили закупку, далее нашли компанию которая продаст из наличия</t>
  </si>
  <si>
    <t>https://www.avito.ru/user/cad73e493a996d3a3a6526994b6e4bc5/profile?iid=8053688972&amp;page_from=from_item_messenger&amp;src=messenger&amp;id=8053688972</t>
  </si>
  <si>
    <t>241 499руб.</t>
  </si>
  <si>
    <t>Не разобрались до конца в характеристиках и не хотим стакнуться с проблемами на приёмке. До конца не понятно какой именно заказчику нужен, они и сами не знают.</t>
  </si>
  <si>
    <t>Проблема с ТЗ заказчика</t>
  </si>
  <si>
    <t>https://www.avito.ru/user/cbbd4ee20e000789e0102e2d37cd4898/profile?iid=7829627106&amp;page_from=from_item_messenger&amp;src=messenger&amp;id=7829627106</t>
  </si>
  <si>
    <t>Для изготовления металлических конструкций</t>
  </si>
  <si>
    <t>Такие принтеры не поставляем</t>
  </si>
  <si>
    <t>https://www.avito.ru/user/f402d4b1cef16d8a69a0f0d5b82fd89f/profile?iid=7943776951&amp;page_from=from_item_messenger&amp;src=messenger&amp;id=7943776951</t>
  </si>
  <si>
    <t>Bambu Lab H2D Laser Full Combo 40W</t>
  </si>
  <si>
    <t>289 900</t>
  </si>
  <si>
    <t>252 300</t>
  </si>
  <si>
    <t>"если у вас под заказ указана цена то это цены выше рынка , рыночная цена на сегодня 252300"</t>
  </si>
  <si>
    <t>Клиенту дорого и не подходит что под заказ</t>
  </si>
  <si>
    <t>https://www.avito.ru/brands/i6661529/all?iid=8070988262&amp;page_from=from_item_messenger&amp;sellerId=1a7ec808582137b982603743389d6cbd</t>
  </si>
  <si>
    <t>266 430</t>
  </si>
  <si>
    <t>Клиент изначально с подозрением относился к нашему диалогу, общаться по телефону не захотел, отправил ему наш договор для ознакомления и он всё равно не уверен был что мы ему поставим. Как бы ни старался его убедить, как об стенку горох</t>
  </si>
  <si>
    <t>https://avito.ru/user/a5e01f67d19ef662848de83b687ca16a/profile?iid=8071345072&amp;page_from=from_item_messenger&amp;src=messenger&amp;id=8071345072</t>
  </si>
  <si>
    <t>Bambu Lab H2S EU</t>
  </si>
  <si>
    <t>"Добрый вечер!
Уже купили, нужно было именно ту модель"</t>
  </si>
  <si>
    <t>Данный принтер в стоп-продаже, а H2C не подходит им</t>
  </si>
  <si>
    <t>https://avito.ru/brands/i35479341?iid=8071323439&amp;page_from=from_item_messenger</t>
  </si>
  <si>
    <t>266 000руб.</t>
  </si>
  <si>
    <t>На европейском сайте скидки на них 2800 евро за версию с 40 вт лазером. Там заказываю</t>
  </si>
  <si>
    <t>Решил заказать напрямую через европу</t>
  </si>
  <si>
    <t>https://avito.ru/user/375b58d3f7dd2da7decdbc9ec658535d/profile?iid=8117291092&amp;page_from=from_item_messenger&amp;src=messenger&amp;id=8117291092</t>
  </si>
  <si>
    <t>"Это коммерческая тайна"</t>
  </si>
  <si>
    <t>https://avito.ru/brands/i20420705?iid=8071561616&amp;page_from=from_item_messenger</t>
  </si>
  <si>
    <t>Bambu Lab H2D EU</t>
  </si>
  <si>
    <t>У частника, б\у заказал</t>
  </si>
  <si>
    <t>https://avito.ru/user/2f4005dfec02f9616fb3c51e5f100015/profile?iid=8070979989&amp;page_from=from_item_messenger&amp;src=messenger&amp;id=8070979989</t>
  </si>
  <si>
    <t>Elegoo Giga Storm</t>
  </si>
  <si>
    <t>279000 руб</t>
  </si>
  <si>
    <t>Не работаем по ЭДО</t>
  </si>
  <si>
    <t>Не хочет работать с компанией которая не подписывает документы по ЭДО</t>
  </si>
  <si>
    <t>https://avito.ru/user/9a2cb705781a4ff0759aa24e71a2e3c7/profile?iid=7861277713&amp;page_from=from_item_messenger&amp;src=messenger&amp;id=7861277713</t>
  </si>
  <si>
    <t>CN Bambu Lab H2D Combo AMS</t>
  </si>
  <si>
    <t>160 000руб.</t>
  </si>
  <si>
    <t>Предложили тот же принтер за 160 по расчётному счёту</t>
  </si>
  <si>
    <t>Предложили за 160тыс. руб. за оплату от юр. лица по счёту, у нас такая цена за налик</t>
  </si>
  <si>
    <t>https://avito.ru/brands/da8cd92ba20bff2788bd28174a72160b?iid=8071481549&amp;page_from=from_item_messenger</t>
  </si>
  <si>
    <t>https://avito.ru/user/dc404cdf74020b580eb1cef105ffc932/profile?iid=8071688201&amp;page_from=from_item_messenger&amp;src=messenger&amp;id=8071688201</t>
  </si>
  <si>
    <t>H2D Laser 40W CN</t>
  </si>
  <si>
    <t>259 000руб.</t>
  </si>
  <si>
    <t>Нужен именно по наличию ему</t>
  </si>
  <si>
    <t>https://avito.ru/user/78c0af25b261dba0c0c00d12f620beb6/profile?iid=8117565800&amp;page_from=from_item_messenger&amp;src=messenger&amp;id=8117565800</t>
  </si>
  <si>
    <t>H2D Combo CN</t>
  </si>
  <si>
    <t>Нужен по наличию</t>
  </si>
  <si>
    <t>https://avito.ru/user/96dd316b15846fd30a84c3a7b10a5de2/profile?iid=8103161199&amp;page_from=from_item_messenger&amp;src=messenger&amp;id=8103161199</t>
  </si>
  <si>
    <t>https://avito.ru/user/dcb50123cd744cb9d822da25cf72a0f3/profile?iid=7861541793&amp;page_from=from_item_messenger&amp;src=messenger&amp;id=7861541793</t>
  </si>
  <si>
    <t>Bambu Lab H2S combo AMS 2 PRO</t>
  </si>
  <si>
    <t>143 900руб.</t>
  </si>
  <si>
    <t>125 000руб.</t>
  </si>
  <si>
    <t>Tevo3dprinter</t>
  </si>
  <si>
    <t>Могут поставить данный принтер</t>
  </si>
  <si>
    <t>https://avito.ru/user/69521adb42f2196fefd2686461e906fd/profile?iid=8071759101&amp;page_from=from_item_messenger&amp;src=messenger&amp;id=8071759101</t>
  </si>
  <si>
    <t>H2D Full laser combo 40w</t>
  </si>
  <si>
    <t>289 000руб.</t>
  </si>
  <si>
    <t>Не можем поставить данный принтер, H2C не рассматривает</t>
  </si>
  <si>
    <t>https://avito.ru/user/5dbcdf9b672076369e94879de1be1bfb/profile?iid=8070990133&amp;page_from=from_item_messenger&amp;src=messenger&amp;id=8070990133</t>
  </si>
  <si>
    <t>📊 СВОДНАЯ АНАЛИТИКА</t>
  </si>
  <si>
    <t>Всего купили у нас</t>
  </si>
  <si>
    <t>Всего ушли к конкурентам</t>
  </si>
  <si>
    <t>Конверсия (наши / сумма)</t>
  </si>
  <si>
    <t>Средний чек у нас (₽)</t>
  </si>
  <si>
    <t>Средняя цена конкурента (₽)</t>
  </si>
  <si>
    <t>Разница цены (мы − конк.)</t>
  </si>
  <si>
    <t>ТОП КОНКУРЕНТОВ (по кол-ву потерянных клиентов)</t>
  </si>
  <si>
    <t>НАШИ ПРЕИМУЩЕСТВА (частые причины покупки у нас)</t>
  </si>
  <si>
    <t>Заполни вручную или используй фильтр на листе ❌</t>
  </si>
  <si>
    <t>Заполни вручную на основе колонки «Почему купил у нас»</t>
  </si>
  <si>
    <t>Продажа из наличия — регламент менеджера</t>
  </si>
  <si>
    <t>Алгоритм работы с клиентом от готовности к покупке до подтверждения получения товара</t>
  </si>
  <si>
    <t>Договор и счет</t>
  </si>
  <si>
    <t>Самовывоз</t>
  </si>
  <si>
    <t>Шаблон сообщения</t>
  </si>
  <si>
    <t>Формирование договора и счета через генератор договоров</t>
  </si>
  <si>
    <t>Согласование визита клиента и передача данных в шоурум</t>
  </si>
  <si>
    <t>Оформление доставки по товару из наличия</t>
  </si>
  <si>
    <t>Готовый текст для передачи данных в рабочую группу</t>
  </si>
  <si>
    <t>Смысл процесса</t>
  </si>
  <si>
    <t>Процесс продажи из наличия начинается с входящего лида/обращения клиента и заканчивается только после подтверждения получения товара клиентом. Менеджер отвечает за фиксацию данных в amoCRM, создание или проверку заказа клиента в МойСклад, формирование договора и счета, согласование самовывоза или доставки, передачу трека клиенту и корректное закрытие сделки.</t>
  </si>
  <si>
    <t xml:space="preserve">№    </t>
  </si>
  <si>
    <t xml:space="preserve">Этап </t>
  </si>
  <si>
    <t>Что делает менеджер</t>
  </si>
  <si>
    <t>Где фиксирует</t>
  </si>
  <si>
    <t xml:space="preserve"> Что должно быть заполнено</t>
  </si>
  <si>
    <t>Кому передает</t>
  </si>
  <si>
    <t>Контрольная точка</t>
  </si>
  <si>
    <t xml:space="preserve"> Что нельзя делать</t>
  </si>
  <si>
    <t>Проверка готовности клиента</t>
  </si>
  <si>
    <t>Уточняет, готов ли клиент к покупке, какая модель нужна, какой способ оплаты и получения</t>
  </si>
  <si>
    <t>amoCRM</t>
  </si>
  <si>
    <t xml:space="preserve">Модель, версия, комплектация, способ оплаты, способ получения </t>
  </si>
  <si>
    <t xml:space="preserve">— </t>
  </si>
  <si>
    <t>Клиент подтвердил условия покупки</t>
  </si>
  <si>
    <t>Нельзя двигать сделку дальше без точной модели и способа получения</t>
  </si>
  <si>
    <t>Формирование договора и счета</t>
  </si>
  <si>
    <t>Формирует договор и счет через генератор договоров</t>
  </si>
  <si>
    <t>Генератор договоров / amoCRM</t>
  </si>
  <si>
    <t>Реквизиты клиента, модель, стоимость, условия оплаты, способ получения</t>
  </si>
  <si>
    <t>Клиенту / администратору шоурума</t>
  </si>
  <si>
    <t>Договор и счет сформированы</t>
  </si>
  <si>
    <t>Нельзя менять условия вручную без согласования</t>
  </si>
  <si>
    <t>Фиксация данных сделки</t>
  </si>
  <si>
    <t>Вносит данные клиента и сделки в CRM, создает заказ клиента в МойСклад или проверяет его создание через API-связку</t>
  </si>
  <si>
    <t xml:space="preserve">amoCRM / МойСклад </t>
  </si>
  <si>
    <t>ФИО, телефон, модель, цена, способ оплаты, способ получения, комментарии по сделке</t>
  </si>
  <si>
    <t>Заказ клиента создан, данные совпадают с CRM</t>
  </si>
  <si>
    <t>Нельзя оставлять неполные данные или создавать заказ без точной комплектации</t>
  </si>
  <si>
    <t>Сценарий самовывоза</t>
  </si>
  <si>
    <t>Готовит договор без подписи для подписания на месте, согласует точное время визита клиента с администратором шоурума</t>
  </si>
  <si>
    <r>
      <rPr>
        <rFont val="Google Sans Text"/>
        <color theme="1"/>
        <sz val="12.0"/>
      </rPr>
      <t xml:space="preserve">amoCRM + </t>
    </r>
    <r>
      <rPr>
        <rFont val="Google Sans Text"/>
        <b/>
        <color theme="1"/>
        <sz val="12.0"/>
      </rPr>
      <t>рабочая группа</t>
    </r>
  </si>
  <si>
    <t>Дата, временной слот, клиент, телефон, модель, статус оплаты, статус договора</t>
  </si>
  <si>
    <t>Администратору шоурума</t>
  </si>
  <si>
    <t xml:space="preserve"> Администратор подтвердил готовность принять клиента</t>
  </si>
  <si>
    <t>Нельзя обещать клиенту самовывоз без подтверждения администратора</t>
  </si>
  <si>
    <t>Ожидание оплаты</t>
  </si>
  <si>
    <t>Контролирует получение оплаты и актуальный статус сделки</t>
  </si>
  <si>
    <t xml:space="preserve"> amoCRM / МойСклад</t>
  </si>
  <si>
    <t>Статус оплаты, сумма, дата оплаты</t>
  </si>
  <si>
    <t>Оплата подтверждена</t>
  </si>
  <si>
    <t>Нельзя передавать товар клиенту или в доставку без подтверждения оплаты</t>
  </si>
  <si>
    <t>Сценарий доставки СДЭК / ТК</t>
  </si>
  <si>
    <t>Коммуникация с ассистентом для реализации доставки и передает данные администратору шоурума</t>
  </si>
  <si>
    <r>
      <rPr>
        <rFont val="Google Sans Text"/>
        <color theme="1"/>
        <sz val="12.0"/>
      </rPr>
      <t xml:space="preserve">СДЭК / amoCRM / </t>
    </r>
    <r>
      <rPr>
        <rFont val="Google Sans Text"/>
        <b/>
        <color theme="1"/>
        <sz val="12.0"/>
      </rPr>
      <t>рабочая группа</t>
    </r>
  </si>
  <si>
    <t>ФИО, телефон, город, адрес или ПВЗ, модель, ТК, трек-номер</t>
  </si>
  <si>
    <t>Ассистент / Администратору шоурума</t>
  </si>
  <si>
    <t>Доставка оформлена, данные переданы</t>
  </si>
  <si>
    <t>Нельзя оформлять доставку с неполными или неподтвержденными данными</t>
  </si>
  <si>
    <t>Передача трек-номера клиенту</t>
  </si>
  <si>
    <t>Отправляет клиенту трек-номер и сообщает актуальный статус отправки</t>
  </si>
  <si>
    <t>amoCRM / чат с клиентом</t>
  </si>
  <si>
    <t>Трек-номер, ТК, дата отправки, статус передачи груза</t>
  </si>
  <si>
    <t xml:space="preserve">Клиенту </t>
  </si>
  <si>
    <t xml:space="preserve">Клиент получил трек-номер </t>
  </si>
  <si>
    <t>Нельзя забывать фиксировать трек в CRM</t>
  </si>
  <si>
    <t>Закрытие сделки</t>
  </si>
  <si>
    <t>Проверяет статус СДЭК/ТК и сообщение клиента о получении товара</t>
  </si>
  <si>
    <t xml:space="preserve">amoCRM </t>
  </si>
  <si>
    <t>Статус доставки, подтверждение клиента, комментарий по завершению</t>
  </si>
  <si>
    <t>Есть подтверждение получения товара клиентом</t>
  </si>
  <si>
    <t>Нельзя закрывать сделку только по факту оформления доставки или передачи товара в СДЭК</t>
  </si>
  <si>
    <t xml:space="preserve">  </t>
  </si>
  <si>
    <t>Главный лист</t>
  </si>
  <si>
    <t>Предзаказ — регламент менеджера</t>
  </si>
  <si>
    <t>Алгоритм работы с клиентом по предзаказу от первого контакта до подтверждения получения товара</t>
  </si>
  <si>
    <t xml:space="preserve">Пошаговый алгоритм: менеджер → ассистент → логист → клиент                                                                </t>
  </si>
  <si>
    <t>№</t>
  </si>
  <si>
    <t>Этап</t>
  </si>
  <si>
    <t>Ответственный</t>
  </si>
  <si>
    <t>Что делается</t>
  </si>
  <si>
    <t>Система/канал</t>
  </si>
  <si>
    <t>SLA/срок</t>
  </si>
  <si>
    <t>Нюанс/запрет</t>
  </si>
  <si>
    <t>Квалификация клиента</t>
  </si>
  <si>
    <t>Менеджер</t>
  </si>
  <si>
    <t>Уточнить модель, версию, комплектацию, сроки, способ получения, город/адрес, готовность к оплате</t>
  </si>
  <si>
    <t>Полная карточка сделки</t>
  </si>
  <si>
    <t>Сразу</t>
  </si>
  <si>
    <t>Клиент понимает формат предзаказа</t>
  </si>
  <si>
    <t>Не обещать точную дату без логистики</t>
  </si>
  <si>
    <t>Генератор / amoCRM</t>
  </si>
  <si>
    <t>Договор и счет отправлены клиенту</t>
  </si>
  <si>
    <t>После подтверждения условий</t>
  </si>
  <si>
    <t>Договор с подписью отправляет менеджер</t>
  </si>
  <si>
    <t>Контролировать оплату и статус сделки</t>
  </si>
  <si>
    <t>amoCRM / МойСклад</t>
  </si>
  <si>
    <t>До запуска закупки</t>
  </si>
  <si>
    <t>Оплата есть в системе</t>
  </si>
  <si>
    <t>Не запускать закупку без подтверждения оплаты</t>
  </si>
  <si>
    <t>Все данные клиента в система и начат процесс поставки</t>
  </si>
  <si>
    <t>После получения входящего платежа</t>
  </si>
  <si>
    <t>Передача ассистенту</t>
  </si>
  <si>
    <t>Передать модель, клиента, контакты, способ получения, адрес/ПВЗ, договор и оплату</t>
  </si>
  <si>
    <t>amoCRM + рабочая группа</t>
  </si>
  <si>
    <t>Ассистент подтвердил получение данных</t>
  </si>
  <si>
    <t>Сразу после оплаты</t>
  </si>
  <si>
    <t>Данных хватает для закупки</t>
  </si>
  <si>
    <t>Не передавать устно или только в личке</t>
  </si>
  <si>
    <t>Трек-номер</t>
  </si>
  <si>
    <t>Ассистент → менеджер</t>
  </si>
  <si>
    <t>Получить трек от Ассистента, чтобы передать Клиенту</t>
  </si>
  <si>
    <t>Рабочая группа / amoCRM</t>
  </si>
  <si>
    <t>Менеджер получил трек</t>
  </si>
  <si>
    <t>Сразу после оформления ТК</t>
  </si>
  <si>
    <t>Трек передан менеджеру</t>
  </si>
  <si>
    <t>Клиенту трек передает менеджер</t>
  </si>
  <si>
    <t>Информирование клиента</t>
  </si>
  <si>
    <t>Сообщать актуальные статусы: заказ оформлен, в пути, прибыл, передан в ТК/готов к выдаче</t>
  </si>
  <si>
    <t>Чат клиента / amoCRM</t>
  </si>
  <si>
    <t>Клиент получает обновления</t>
  </si>
  <si>
    <t>По этапам процесса</t>
  </si>
  <si>
    <t>Клиент понимает статус</t>
  </si>
  <si>
    <t>Не придумывать статусы без подтверждения</t>
  </si>
  <si>
    <t>Проверить статус ТК/СДЭК и сообщение клиента о получении</t>
  </si>
  <si>
    <t>Сделка закрыта</t>
  </si>
  <si>
    <t>После получения товара клиентом</t>
  </si>
  <si>
    <t>Есть статус ТК и сообщение клиента</t>
  </si>
  <si>
    <t>Не закрывать только по факту отправки</t>
  </si>
  <si>
    <t>Правила согласования визита клиента, подготовки товара и выдачи</t>
  </si>
  <si>
    <t>Правила самовывоза</t>
  </si>
  <si>
    <t>Правило</t>
  </si>
  <si>
    <t>Где фиксируется</t>
  </si>
  <si>
    <t>Контроль</t>
  </si>
  <si>
    <t>Плановый самовывоз</t>
  </si>
  <si>
    <t>Менеджер предупреждает администратора накануне или минимум за 4 рабочих часа</t>
  </si>
  <si>
    <t>Рабочая группа</t>
  </si>
  <si>
    <t>Администратор подтвердил точный слот</t>
  </si>
  <si>
    <t>Срочный самовывоз день в день</t>
  </si>
  <si>
    <t>Разрешен только после явного подтверждения администратора</t>
  </si>
  <si>
    <t>Клиенту не обещали время без подтверждения</t>
  </si>
  <si>
    <t>Предзаказ с самовывозом</t>
  </si>
  <si>
    <t>Логист сначала отправляет товар в шоурум, затем администратор подтверждает готовность</t>
  </si>
  <si>
    <t>Клиента зовут только после приемки</t>
  </si>
  <si>
    <t>Договор на месте</t>
  </si>
  <si>
    <t>Менеджер готовит договор без подписи / комплект для подписания в шоуруме</t>
  </si>
  <si>
    <t>Генератор договоров / рабочая группа</t>
  </si>
  <si>
    <t>Администратор получил документы</t>
  </si>
  <si>
    <t>Передача товара</t>
  </si>
  <si>
    <t>Товар выдается только после оплаты, документов и фиксации серийного номера</t>
  </si>
  <si>
    <t>МойСклад / рабочая группа</t>
  </si>
  <si>
    <t>SN сфотографирован и отправлен в группу</t>
  </si>
  <si>
    <t>Кто оформляет доставку, какие данные нужны и кто передает трек клиенту</t>
  </si>
  <si>
    <t>Разделение ответственности</t>
  </si>
  <si>
    <t>Сценарий</t>
  </si>
  <si>
    <t>Кто оформляет</t>
  </si>
  <si>
    <t>Источник данных</t>
  </si>
  <si>
    <t>Что делает</t>
  </si>
  <si>
    <t>Кто отправляет трек клиенту</t>
  </si>
  <si>
    <t>Финальное подтверждение</t>
  </si>
  <si>
    <t>Товар из наличия</t>
  </si>
  <si>
    <t>Данные клиента, адрес/ПВЗ, модель, габариты/вес</t>
  </si>
  <si>
    <t>Передает данные Ассистенту для формирования заказа СДЭК/ТК и информирует Администратора</t>
  </si>
  <si>
    <t>Ассистент / Администратор шоурума</t>
  </si>
  <si>
    <t>Статус СДЭК + сообщение клиента</t>
  </si>
  <si>
    <t>Ассистент через логиста</t>
  </si>
  <si>
    <t>Данные от менеджера или из договора</t>
  </si>
  <si>
    <t>Связывается с логистом, передает данные доставки</t>
  </si>
  <si>
    <t>Логист / менеджер</t>
  </si>
  <si>
    <t>Статус ТК/СДЭК + сообщение клиента</t>
  </si>
  <si>
    <t>Альтернативная ТК</t>
  </si>
  <si>
    <t>Ассистент + логист</t>
  </si>
  <si>
    <t>Запрос клиента или лучший вариант от логиста</t>
  </si>
  <si>
    <t>Согласовать вариант ТК и условия</t>
  </si>
  <si>
    <t>Подтверждение клиента</t>
  </si>
  <si>
    <t xml:space="preserve">Обязательные данные для доставки                                            </t>
  </si>
  <si>
    <t>Шаблон в рабочую группу по отправке из наличия</t>
  </si>
  <si>
    <t>Данные</t>
  </si>
  <si>
    <t>Обязательно</t>
  </si>
  <si>
    <t>Комментарий</t>
  </si>
  <si>
    <t xml:space="preserve">Отправка СДЭК / ТК из наличия
 Клиент: [ФИО]
 Телефон: [номер]
 Модель: [полное название]
 ТК: СДЭК / [другая ТК]
 Адрес / ПВЗ: [данные]
 Трек-номер: [если уже оформлен]
 Дата передачи в ТК: [дата]
 Что нужно от шоурума: подготовить коробку и передать курьеру / отвезти в ПВЗ
</t>
  </si>
  <si>
    <t>ФИО получателя</t>
  </si>
  <si>
    <t>Да</t>
  </si>
  <si>
    <t>Как в договоре/заказе</t>
  </si>
  <si>
    <t>Телефон</t>
  </si>
  <si>
    <t>Для ТК и связи</t>
  </si>
  <si>
    <t>Город</t>
  </si>
  <si>
    <t>Город получения</t>
  </si>
  <si>
    <t>Адрес или ПВЗ СДЭК</t>
  </si>
  <si>
    <t>Если ПВЗ — указать точный пункт</t>
  </si>
  <si>
    <t>Модель товара</t>
  </si>
  <si>
    <t>Полное название, версия, комплектация</t>
  </si>
  <si>
    <t>Комментарий для администратора/логиста</t>
  </si>
  <si>
    <t>Если нужно</t>
  </si>
  <si>
    <t>Срочность, особенности передачи</t>
  </si>
  <si>
    <t>Договоры, счета и оплата</t>
  </si>
  <si>
    <t>Порядок формирования документов менеджером через генератор договоров</t>
  </si>
  <si>
    <t>Сценарии работы с договором</t>
  </si>
  <si>
    <t>Данные для договора/счета</t>
  </si>
  <si>
    <t>Что формируется</t>
  </si>
  <si>
    <t>Запрет/риск</t>
  </si>
  <si>
    <t>Товар из наличия + самовывоз</t>
  </si>
  <si>
    <t>Для администратора готовится договор без подписи / комплект на подпись в шоуруме</t>
  </si>
  <si>
    <t>Администратор получает документы до визита клиента</t>
  </si>
  <si>
    <t>Нельзя выдавать без оплаты и документов</t>
  </si>
  <si>
    <t>ФИО/наименование клиента</t>
  </si>
  <si>
    <t>Для физлица или юрлица</t>
  </si>
  <si>
    <t>Товар из наличия + доставка</t>
  </si>
  <si>
    <t>Договор с подписью направляется клиенту на подписание</t>
  </si>
  <si>
    <t>Клиент получил документы до оплаты/доставки</t>
  </si>
  <si>
    <t>Не оформлять доставку без полных данных</t>
  </si>
  <si>
    <t>Контакты клиента</t>
  </si>
  <si>
    <t>Телефон, при необходимости email</t>
  </si>
  <si>
    <t>Договор с подписью направляется клиенту</t>
  </si>
  <si>
    <t>После оплаты данные передаются ассистенту</t>
  </si>
  <si>
    <t>Не запускать закупку без оплаты</t>
  </si>
  <si>
    <t>Полная модель товара</t>
  </si>
  <si>
    <t>Бренд, модель, версия EU/CN/Global, комплектация</t>
  </si>
  <si>
    <t>Цена и условия оплаты</t>
  </si>
  <si>
    <t>Без ручного изменения условий без согласования</t>
  </si>
  <si>
    <t>Способ получения</t>
  </si>
  <si>
    <t>Самовывоз / СДЭК / другая ТК</t>
  </si>
  <si>
    <t>Адрес/ПВЗ доставки</t>
  </si>
  <si>
    <t>Данные должны совпадать с оформлением ТК</t>
  </si>
  <si>
    <t>Срок/условия поставки</t>
  </si>
  <si>
    <t>Только подтвержденные формулировки</t>
  </si>
  <si>
    <t>Готовые тексты для клиента, рабочей группы, администратора, ассистента и логиста</t>
  </si>
  <si>
    <t>Шаблоны</t>
  </si>
  <si>
    <t>Куда отправлять</t>
  </si>
  <si>
    <t>Текст шаблона</t>
  </si>
  <si>
    <t>Обязательные данные</t>
  </si>
  <si>
    <t>Когда использовать</t>
  </si>
  <si>
    <t>Самовывоз: передача администратору</t>
  </si>
  <si>
    <t>Самовывоз / выдача из шоурума
Клиент: [ФИО]
Телефон: [номер]
Дата и время визита: [дата, точный временной слот]
Модель: [полное название модели]
Комплектация: [комплектация]
Способ оплаты: [наличные / безнал / другое]
Статус оплаты: [ожидается / оплачено / оплата на месте]
Договор: [подготовлен / требуется подпись на месте]
Комментарий: [если есть]</t>
  </si>
  <si>
    <t>ФИО, телефон, время, модель, оплата, договор</t>
  </si>
  <si>
    <t>После согласования с клиентом</t>
  </si>
  <si>
    <t>Ждать подтверждения администратора</t>
  </si>
  <si>
    <t>Доставка из наличия: передача в шоурум</t>
  </si>
  <si>
    <t>Отправка СДЭК / ТК из наличия
Клиент: [ФИО]
Телефон: [номер]
Модель: [полное название]
Комплектация: [комплектация]
ТК: СДЭК / [другая ТК]
Адрес / ПВЗ: [данные]
Трек-номер: [если уже оформлен]
Дата передачи в ТК: [дата]
Что нужно от шоурума: подготовить коробку и передать курьеру / отвезти в ПВЗ</t>
  </si>
  <si>
    <t>ФИО, телефон, адрес/ПВЗ, модель, трек</t>
  </si>
  <si>
    <t>После оформления ТК</t>
  </si>
  <si>
    <t>Трек клиенту отправляет менеджер</t>
  </si>
  <si>
    <t>Предзаказ: передача ассистенту</t>
  </si>
  <si>
    <t>Предзаказ после оплаты
Клиент: [ФИО]
Телефон: [номер]
Модель: [полное название]
Комплектация: [комплектация]
Способ получения: [доставка / самовывоз]
Адрес/ПВЗ: [если доставка]
Договор: [ссылка/номер]
Оплата: [подтверждена]
Комментарий: [если есть]</t>
  </si>
  <si>
    <t>Модель, клиент, договор, оплата, способ получения</t>
  </si>
  <si>
    <t>Ассистент должен подтвердить получение</t>
  </si>
  <si>
    <t>Статус клиенту: товар в пути</t>
  </si>
  <si>
    <t>Чат клиента</t>
  </si>
  <si>
    <t>Ваш заказ оформлен и передан в логистику. Сейчас груз находится в транзите. По мере обновления статуса я сообщу следующую информацию: прибытие в Москву, передача в ТК и трек-номер.</t>
  </si>
  <si>
    <t>Актуальный статус от ассистента/логиста</t>
  </si>
  <si>
    <t>После подтверждения статуса</t>
  </si>
  <si>
    <t>Не указывать неподтвержденные точные даты</t>
  </si>
  <si>
    <t>Статус клиенту: трек</t>
  </si>
  <si>
    <t>Ваш заказ передан в доставку. ТК: [СДЭК/другая ТК]. Трек-номер: [номер]. Отслеживать можно по сайту/приложению ТК. Я также проконтролирую статус доставки.</t>
  </si>
  <si>
    <t>ТК, трек</t>
  </si>
  <si>
    <t>После получения трека</t>
  </si>
  <si>
    <t>Данные должны совпадать с ТК</t>
  </si>
  <si>
    <t>FAQ / ошибки и исключения</t>
  </si>
  <si>
    <t>Что делать в нестандартных ситуациях</t>
  </si>
  <si>
    <t>Исключения и действия</t>
  </si>
  <si>
    <t>Причина риска</t>
  </si>
  <si>
    <t>Кому эскалировать</t>
  </si>
  <si>
    <t>Контроль/запрет</t>
  </si>
  <si>
    <t>Клиент хочет приехать сегодня без записи</t>
  </si>
  <si>
    <t>Нет подтвержденного слота</t>
  </si>
  <si>
    <t>Согласовать с администратором в рабочей группе</t>
  </si>
  <si>
    <t>Администратор / Александр</t>
  </si>
  <si>
    <t>Товар не выдавать</t>
  </si>
  <si>
    <t>Клиент оплатил, но платеж не виден</t>
  </si>
  <si>
    <t>Платеж не подтвержден в системе</t>
  </si>
  <si>
    <t>Попросить подтверждение, проверить МойСклад/банк/ответственного</t>
  </si>
  <si>
    <t>Александр/финансы</t>
  </si>
  <si>
    <t>Не закрывать отгрузку</t>
  </si>
  <si>
    <t>Нет фото серийного номера</t>
  </si>
  <si>
    <t>Администратор не отправил SN</t>
  </si>
  <si>
    <t>Запросить фото SN в рабочую группу до выдачи/отправки</t>
  </si>
  <si>
    <t>Менеджер / ассистент</t>
  </si>
  <si>
    <t>Администратор</t>
  </si>
  <si>
    <t>Проверять до передачи</t>
  </si>
  <si>
    <t>СДЭК оформлен с ошибкой</t>
  </si>
  <si>
    <t>Неверный адрес/ПВЗ/телефон</t>
  </si>
  <si>
    <t>Не передавать груз до исправления, уточнить данные у клиента</t>
  </si>
  <si>
    <t>Администратор / СДЭК</t>
  </si>
  <si>
    <t>В шоурум отправлять только для самовывоза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</si>
</sst>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[$ ₽]"/>
    <numFmt numFmtId="165" formatCode="&quot;$&quot;#,##0.00"/>
    <numFmt numFmtId="166" formatCode="#,##0[$ ₽]"/>
    <numFmt numFmtId="167" formatCode="dd.mm.yyyy"/>
    <numFmt numFmtId="168" formatCode="dd.mm"/>
    <numFmt numFmtId="169" formatCode="dd/mm/yyyy"/>
    <numFmt numFmtId="170" formatCode="#,##0 &quot;₽&quot;"/>
  </numFmts>
  <fonts count="83">
    <font>
      <sz val="10.0"/>
      <color rgb="FF000000"/>
      <name val="Arial"/>
      <scheme val="minor"/>
    </font>
    <font>
      <b/>
      <sz val="22.0"/>
      <color rgb="FFFFFFFF"/>
      <name val="Google Sans Text"/>
    </font>
    <font>
      <color theme="1"/>
      <name val="Arial"/>
      <scheme val="minor"/>
    </font>
    <font>
      <sz val="13.0"/>
      <color rgb="FFFFFFFF"/>
      <name val="Carlito"/>
    </font>
    <font>
      <sz val="9.0"/>
      <color rgb="FF1F2933"/>
      <name val="Carlito"/>
    </font>
    <font>
      <sz val="11.0"/>
      <color theme="1"/>
      <name val="Carlito"/>
    </font>
    <font>
      <b/>
      <sz val="12.0"/>
      <color rgb="FFFFFFFF"/>
      <name val="Carlito"/>
    </font>
    <font>
      <sz val="15.0"/>
      <color theme="1"/>
      <name val="Carlito"/>
    </font>
    <font/>
    <font>
      <sz val="13.0"/>
      <color theme="1"/>
      <name val="Carlito"/>
    </font>
    <font>
      <sz val="19.0"/>
      <color theme="1"/>
      <name val="Carlito"/>
    </font>
    <font>
      <u/>
      <sz val="15.0"/>
      <color rgb="FF274E13"/>
      <name val="Carlito"/>
    </font>
    <font>
      <b/>
      <sz val="12.0"/>
      <color rgb="FF000000"/>
      <name val="Carlito"/>
    </font>
    <font>
      <b/>
      <sz val="11.0"/>
      <color rgb="FFFFFFFF"/>
      <name val="Carlito"/>
    </font>
    <font>
      <sz val="11.0"/>
      <color rgb="FF1F2933"/>
      <name val="Carlito"/>
    </font>
    <font>
      <sz val="13.0"/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</font>
    <font>
      <sz val="11.0"/>
      <color theme="1"/>
      <name val="Arial"/>
      <scheme val="minor"/>
    </font>
    <font>
      <sz val="11.0"/>
      <color theme="1"/>
      <name val="Arial"/>
    </font>
    <font>
      <b/>
      <sz val="13.0"/>
      <color theme="1"/>
      <name val="Arial"/>
      <scheme val="minor"/>
    </font>
    <font>
      <sz val="12.0"/>
      <color theme="1"/>
      <name val="Arial"/>
    </font>
    <font>
      <b/>
      <sz val="18.0"/>
      <color theme="1"/>
      <name val="Arial"/>
    </font>
    <font>
      <b/>
      <sz val="14.0"/>
      <color theme="1"/>
      <name val="Arial"/>
    </font>
    <font>
      <color theme="1"/>
      <name val="Roboto"/>
    </font>
    <font>
      <b/>
      <sz val="13.0"/>
      <color theme="1"/>
      <name val="Arial"/>
    </font>
    <font>
      <color rgb="FF434343"/>
      <name val="Roboto"/>
    </font>
    <font>
      <color rgb="FF434343"/>
      <name val="Arial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b/>
      <sz val="12.0"/>
      <color theme="1"/>
      <name val="Arial"/>
    </font>
    <font>
      <u/>
      <color rgb="FF434343"/>
      <name val="Roboto"/>
    </font>
    <font>
      <sz val="13.0"/>
      <color theme="1"/>
      <name val="Arial"/>
    </font>
    <font>
      <sz val="11.0"/>
      <color rgb="FF222222"/>
      <name val="Arial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b/>
      <sz val="15.0"/>
      <color theme="1"/>
      <name val="Arial"/>
      <scheme val="minor"/>
    </font>
    <font>
      <sz val="12.0"/>
      <color theme="1"/>
      <name val="Arial"/>
      <scheme val="minor"/>
    </font>
    <font>
      <b/>
      <sz val="13.0"/>
      <color rgb="FFFFFFFF"/>
      <name val="Arial"/>
    </font>
    <font>
      <b/>
      <sz val="10.0"/>
      <color rgb="FFFFFFFF"/>
      <name val="Arial"/>
    </font>
    <font>
      <u/>
      <sz val="10.0"/>
      <color rgb="FF0000FF"/>
      <name val="Arial"/>
    </font>
    <font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1.0"/>
      <color rgb="FF000000"/>
      <name val="&quot;PT Sans&quot;"/>
    </font>
    <font>
      <u/>
      <sz val="11.0"/>
      <color rgb="FF535FC1"/>
      <name val="&quot;PT Sans&quot;"/>
    </font>
    <font>
      <b/>
      <sz val="9.0"/>
      <color rgb="FF1E3A5F"/>
      <name val="Arial"/>
    </font>
    <font>
      <b/>
      <sz val="14.0"/>
      <color rgb="FF1E3A5F"/>
      <name val="Arial"/>
    </font>
    <font>
      <i/>
      <sz val="9.0"/>
      <color rgb="FF888888"/>
      <name val="Arial"/>
    </font>
    <font>
      <b/>
      <sz val="11.0"/>
      <color rgb="FF1F2933"/>
      <name val="Carlito"/>
    </font>
    <font>
      <u/>
      <sz val="15.0"/>
      <color rgb="FF274E13"/>
      <name val="Carlito"/>
    </font>
    <font>
      <sz val="12.0"/>
      <color rgb="FFFFFFFF"/>
      <name val="Arial"/>
      <scheme val="minor"/>
    </font>
    <font>
      <sz val="12.0"/>
      <color theme="1"/>
      <name val="Google Sans Text"/>
    </font>
    <font>
      <u/>
      <sz val="15.0"/>
      <color rgb="FF274E13"/>
      <name val="Carlito"/>
    </font>
    <font>
      <u/>
      <sz val="15.0"/>
      <color rgb="FF274E13"/>
      <name val="Carlito"/>
    </font>
    <font>
      <sz val="16.0"/>
      <color theme="1"/>
      <name val="Arial"/>
      <scheme val="minor"/>
    </font>
    <font>
      <b/>
      <color rgb="FFFFFFFF"/>
      <name val="Carlito"/>
    </font>
    <font>
      <color rgb="FF1F2933"/>
      <name val="Carlito"/>
    </font>
    <font>
      <sz val="15.0"/>
      <color theme="1"/>
      <name val="Arial"/>
      <scheme val="minor"/>
    </font>
    <font>
      <sz val="15.0"/>
      <color rgb="FFFFFFFF"/>
      <name val="Arial"/>
      <scheme val="minor"/>
    </font>
    <font>
      <sz val="15.0"/>
      <color theme="1"/>
      <name val="Google Sans Text"/>
    </font>
    <font>
      <sz val="14.0"/>
      <color theme="1"/>
      <name val="Arial"/>
      <scheme val="minor"/>
    </font>
    <font>
      <b/>
      <sz val="15.0"/>
      <color rgb="FFFFFFFF"/>
      <name val="Carlito"/>
    </font>
    <font>
      <sz val="12.0"/>
      <color rgb="FF1F2933"/>
      <name val="Consolas"/>
    </font>
    <font>
      <sz val="15.0"/>
      <color rgb="FF1F2933"/>
      <name val="Carlito"/>
    </font>
    <font>
      <sz val="18.0"/>
      <color rgb="FFFFFFFF"/>
      <name val="Carlito"/>
    </font>
    <font>
      <sz val="17.0"/>
      <color theme="1"/>
      <name val="Carlito"/>
    </font>
    <font>
      <sz val="15.0"/>
      <color rgb="FFFFFFFF"/>
      <name val="Carlito"/>
    </font>
    <font>
      <sz val="12.0"/>
      <color rgb="FF1F2933"/>
      <name val="Carlito"/>
    </font>
    <font>
      <sz val="14.0"/>
      <color rgb="FF1F2933"/>
      <name val="Carlito"/>
    </font>
    <font>
      <color theme="1"/>
      <name val="Carlito"/>
    </font>
    <font>
      <sz val="12.0"/>
      <color rgb="FFFFFFFF"/>
      <name val="Carlito"/>
    </font>
    <font>
      <sz val="14.0"/>
      <color theme="1"/>
      <name val="Carlito"/>
    </font>
    <font>
      <color rgb="FFFFFFFF"/>
      <name val="Carlito"/>
    </font>
  </fonts>
  <fills count="31">
    <fill>
      <patternFill patternType="none"/>
    </fill>
    <fill>
      <patternFill patternType="lightGray"/>
    </fill>
    <fill>
      <patternFill patternType="solid">
        <fgColor rgb="FF0B4F33"/>
        <bgColor rgb="FF0B4F33"/>
      </patternFill>
    </fill>
    <fill>
      <patternFill patternType="solid">
        <fgColor rgb="FFF7FBF4"/>
        <bgColor rgb="FFF7FBF4"/>
      </patternFill>
    </fill>
    <fill>
      <patternFill patternType="solid">
        <fgColor rgb="FFFFFFFF"/>
        <bgColor rgb="FFFFFFFF"/>
      </patternFill>
    </fill>
    <fill>
      <patternFill patternType="solid">
        <fgColor rgb="FFEDFFE6"/>
        <bgColor rgb="FFEDFFE6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F6F8F9"/>
        <bgColor rgb="FFF6F8F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1A7A4A"/>
        <bgColor rgb="FF1A7A4A"/>
      </patternFill>
    </fill>
    <fill>
      <patternFill patternType="solid">
        <fgColor rgb="FFEAF7EF"/>
        <bgColor rgb="FFEAF7EF"/>
      </patternFill>
    </fill>
    <fill>
      <patternFill patternType="solid">
        <fgColor rgb="FFA93226"/>
        <bgColor rgb="FFA93226"/>
      </patternFill>
    </fill>
    <fill>
      <patternFill patternType="solid">
        <fgColor rgb="FFFDECEA"/>
        <bgColor rgb="FFFDECEA"/>
      </patternFill>
    </fill>
    <fill>
      <patternFill patternType="solid">
        <fgColor rgb="FF1E3A5F"/>
        <bgColor rgb="FF1E3A5F"/>
      </patternFill>
    </fill>
    <fill>
      <patternFill patternType="solid">
        <fgColor rgb="FFD5F5E3"/>
        <bgColor rgb="FFD5F5E3"/>
      </patternFill>
    </fill>
    <fill>
      <patternFill patternType="solid">
        <fgColor rgb="FFD6E4F0"/>
        <bgColor rgb="FFD6E4F0"/>
      </patternFill>
    </fill>
    <fill>
      <patternFill patternType="solid">
        <fgColor rgb="FFFAD7A0"/>
        <bgColor rgb="FFFAD7A0"/>
      </patternFill>
    </fill>
    <fill>
      <patternFill patternType="solid">
        <fgColor rgb="FFE8DAEF"/>
        <bgColor rgb="FFE8DAEF"/>
      </patternFill>
    </fill>
    <fill>
      <patternFill patternType="solid">
        <fgColor rgb="FFFDE8E8"/>
        <bgColor rgb="FFFDE8E8"/>
      </patternFill>
    </fill>
    <fill>
      <patternFill patternType="solid">
        <fgColor rgb="FFEBF5FB"/>
        <bgColor rgb="FFEBF5FB"/>
      </patternFill>
    </fill>
    <fill>
      <patternFill patternType="solid">
        <fgColor rgb="FFFEF9E7"/>
        <bgColor rgb="FFFEF9E7"/>
      </patternFill>
    </fill>
    <fill>
      <patternFill patternType="solid">
        <fgColor rgb="FFF5EEF8"/>
        <bgColor rgb="FFF5EEF8"/>
      </patternFill>
    </fill>
  </fills>
  <borders count="188">
    <border/>
    <border>
      <left style="double">
        <color rgb="FF93C47D"/>
      </left>
      <top style="double">
        <color rgb="FF93C47D"/>
      </top>
    </border>
    <border>
      <top style="double">
        <color rgb="FF93C47D"/>
      </top>
    </border>
    <border>
      <right style="double">
        <color rgb="FF93C47D"/>
      </right>
      <top style="double">
        <color rgb="FF93C47D"/>
      </top>
    </border>
    <border>
      <left style="double">
        <color rgb="FF93C47D"/>
      </left>
    </border>
    <border>
      <right style="double">
        <color rgb="FF93C47D"/>
      </right>
    </border>
    <border>
      <left style="double">
        <color rgb="FF93C47D"/>
      </left>
      <bottom style="double">
        <color rgb="FF93C47D"/>
      </bottom>
    </border>
    <border>
      <bottom style="double">
        <color rgb="FF93C47D"/>
      </bottom>
    </border>
    <border>
      <right style="double">
        <color rgb="FF93C47D"/>
      </right>
      <bottom style="double">
        <color rgb="FF93C47D"/>
      </bottom>
    </border>
    <border>
      <left style="hair">
        <color rgb="FF93C47D"/>
      </left>
      <top style="hair">
        <color rgb="FF93C47D"/>
      </top>
      <bottom style="hair">
        <color rgb="FF93C47D"/>
      </bottom>
    </border>
    <border>
      <right style="hair">
        <color rgb="FF93C47D"/>
      </right>
      <top style="hair">
        <color rgb="FF93C47D"/>
      </top>
      <bottom style="hair">
        <color rgb="FF93C47D"/>
      </bottom>
    </border>
    <border>
      <left style="double">
        <color rgb="FF93C47D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double">
        <color rgb="FF93C47D"/>
      </right>
      <top style="thin">
        <color rgb="FF44B3E1"/>
      </top>
      <bottom style="thin">
        <color rgb="FF44B3E1"/>
      </bottom>
    </border>
    <border>
      <right style="hair">
        <color rgb="FF93C47D"/>
      </right>
      <top style="thin">
        <color rgb="FF44B3E1"/>
      </top>
      <bottom style="thin">
        <color rgb="FF44B3E1"/>
      </bottom>
    </border>
    <border>
      <left style="hair">
        <color rgb="FF93C47D"/>
      </left>
      <top style="thin">
        <color rgb="FF44B3E1"/>
      </top>
      <bottom style="thin">
        <color rgb="FF44B3E1"/>
      </bottom>
    </border>
    <border>
      <left style="double">
        <color rgb="FF93C47D"/>
      </left>
      <top style="double">
        <color rgb="FF93C47D"/>
      </top>
      <bottom style="dotted">
        <color rgb="FF93C47D"/>
      </bottom>
    </border>
    <border>
      <top style="double">
        <color rgb="FF93C47D"/>
      </top>
      <bottom style="dotted">
        <color rgb="FF93C47D"/>
      </bottom>
    </border>
    <border>
      <right style="double">
        <color rgb="FF93C47D"/>
      </right>
      <top style="double">
        <color rgb="FF93C47D"/>
      </top>
      <bottom style="dotted">
        <color rgb="FF93C47D"/>
      </bottom>
    </border>
    <border>
      <left style="double">
        <color rgb="FF93C47D"/>
      </left>
      <top style="dotted">
        <color rgb="FF93C47D"/>
      </top>
      <bottom style="dotted">
        <color rgb="FF93C47D"/>
      </bottom>
    </border>
    <border>
      <top style="dotted">
        <color rgb="FF93C47D"/>
      </top>
      <bottom style="dotted">
        <color rgb="FF93C47D"/>
      </bottom>
    </border>
    <border>
      <right style="double">
        <color rgb="FF93C47D"/>
      </right>
      <top style="dotted">
        <color rgb="FF93C47D"/>
      </top>
      <bottom style="dotted">
        <color rgb="FF93C47D"/>
      </bottom>
    </border>
    <border>
      <left style="double">
        <color rgb="FF93C47D"/>
      </left>
      <top style="thin">
        <color rgb="FF44B3E1"/>
      </top>
      <bottom style="double">
        <color rgb="FF93C47D"/>
      </bottom>
    </border>
    <border>
      <top style="thin">
        <color rgb="FF44B3E1"/>
      </top>
      <bottom style="double">
        <color rgb="FF93C47D"/>
      </bottom>
    </border>
    <border>
      <right style="hair">
        <color rgb="FF93C47D"/>
      </right>
      <top style="thin">
        <color rgb="FF44B3E1"/>
      </top>
      <bottom style="double">
        <color rgb="FF93C47D"/>
      </bottom>
    </border>
    <border>
      <left style="hair">
        <color rgb="FF93C47D"/>
      </left>
      <top style="thin">
        <color rgb="FF44B3E1"/>
      </top>
      <bottom style="double">
        <color rgb="FF93C47D"/>
      </bottom>
    </border>
    <border>
      <right style="double">
        <color rgb="FF93C47D"/>
      </right>
      <top style="thin">
        <color rgb="FF44B3E1"/>
      </top>
      <bottom style="double">
        <color rgb="FF93C47D"/>
      </bottom>
    </border>
    <border>
      <left style="double">
        <color rgb="FF93C47D"/>
      </left>
      <top style="dotted">
        <color rgb="FF93C47D"/>
      </top>
      <bottom style="double">
        <color rgb="FF93C47D"/>
      </bottom>
    </border>
    <border>
      <top style="dotted">
        <color rgb="FF93C47D"/>
      </top>
      <bottom style="double">
        <color rgb="FF93C47D"/>
      </bottom>
    </border>
    <border>
      <right style="double">
        <color rgb="FF93C47D"/>
      </right>
      <top style="dotted">
        <color rgb="FF93C47D"/>
      </top>
      <bottom style="double">
        <color rgb="FF93C47D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right style="medium">
        <color rgb="FF000000"/>
      </right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right style="medium">
        <color rgb="FF000000"/>
      </right>
      <bottom style="medium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8C352D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8C352D"/>
      </right>
      <top style="thin">
        <color rgb="FFFFFFFF"/>
      </top>
      <bottom style="thin">
        <color rgb="FFFFFFFF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8C352D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8C352D"/>
      </right>
      <top style="thin">
        <color rgb="FFF6F8F9"/>
      </top>
      <bottom style="thin">
        <color rgb="FFF6F8F9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284E3F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284E3F"/>
      </right>
      <top style="thin">
        <color rgb="FFD9EAD3"/>
      </top>
      <bottom style="thin">
        <color rgb="FFD9EAD3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284E3F"/>
      </left>
      <right style="thin">
        <color rgb="FFD9EAD3"/>
      </right>
      <top style="thin">
        <color rgb="FFD9EAD3"/>
      </top>
      <bottom style="thin">
        <color rgb="FF284E3F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284E3F"/>
      </bottom>
    </border>
    <border>
      <left style="thin">
        <color rgb="FFD9EAD3"/>
      </left>
      <right style="thin">
        <color rgb="FF284E3F"/>
      </right>
      <top style="thin">
        <color rgb="FFD9EAD3"/>
      </top>
      <bottom style="thin">
        <color rgb="FF284E3F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442F65"/>
      </right>
      <top style="thin">
        <color rgb="FFF6F8F9"/>
      </top>
      <bottom style="thin">
        <color rgb="FFF6F8F9"/>
      </bottom>
    </border>
    <border>
      <left style="thin">
        <color rgb="FF442F65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442F65"/>
      </right>
      <top style="thin">
        <color rgb="FFD9EAD3"/>
      </top>
      <bottom style="thin">
        <color rgb="FFD9EAD3"/>
      </bottom>
    </border>
    <border>
      <left style="thin">
        <color rgb="FF442F65"/>
      </left>
      <right style="thin">
        <color rgb="FFD9EAD3"/>
      </right>
      <top style="thin">
        <color rgb="FFD9EAD3"/>
      </top>
      <bottom style="thin">
        <color rgb="FF000000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000000"/>
      </bottom>
    </border>
    <border>
      <left style="thin">
        <color rgb="FFD9EAD3"/>
      </left>
      <right style="thin">
        <color rgb="FF442F65"/>
      </right>
      <top style="thin">
        <color rgb="FFD9EAD3"/>
      </top>
      <bottom style="thin">
        <color rgb="FF000000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FFFFFF"/>
      </bottom>
    </border>
    <border>
      <left style="thin">
        <color rgb="FF442F65"/>
      </left>
      <right style="thin">
        <color rgb="FFD9EAD3"/>
      </right>
      <top style="thin">
        <color rgb="FFD9EAD3"/>
      </top>
      <bottom style="thin">
        <color rgb="FFF6F8F9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F6F8F9"/>
      </bottom>
    </border>
    <border>
      <left style="thin">
        <color rgb="FFD9EAD3"/>
      </left>
      <right style="thin">
        <color rgb="FFF6F8F9"/>
      </right>
      <top style="thin">
        <color rgb="FFD9EAD3"/>
      </top>
      <bottom style="thin">
        <color rgb="FFF6F8F9"/>
      </bottom>
    </border>
    <border>
      <left style="thin">
        <color rgb="FFF6F8F9"/>
      </left>
      <right style="thin">
        <color rgb="FFD9EAD3"/>
      </right>
      <top style="thin">
        <color rgb="FFD9EAD3"/>
      </top>
      <bottom style="thin">
        <color rgb="FFF6F8F9"/>
      </bottom>
    </border>
    <border>
      <left style="thin">
        <color rgb="FFD9EAD3"/>
      </left>
      <right style="thin">
        <color rgb="FF442F65"/>
      </right>
      <top style="thin">
        <color rgb="FFD9EAD3"/>
      </top>
      <bottom style="thin">
        <color rgb="FFF6F8F9"/>
      </bottom>
    </border>
    <border>
      <left style="thin">
        <color rgb="FF442F65"/>
      </left>
      <right style="thin">
        <color rgb="FFD9EAD3"/>
      </right>
      <top style="thin">
        <color rgb="FFD9EAD3"/>
      </top>
      <bottom style="thin">
        <color rgb="FF442F65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442F65"/>
      </bottom>
    </border>
    <border>
      <left style="thin">
        <color rgb="FFD9EAD3"/>
      </left>
      <right style="thin">
        <color rgb="FFD9EAD3"/>
      </right>
      <top style="thin">
        <color rgb="FFFFFFFF"/>
      </top>
      <bottom style="thin">
        <color rgb="FF442F65"/>
      </bottom>
    </border>
    <border>
      <left style="thin">
        <color rgb="FFD9EAD3"/>
      </left>
      <right style="thin">
        <color rgb="FF442F65"/>
      </right>
      <top style="thin">
        <color rgb="FFD9EAD3"/>
      </top>
      <bottom style="thin">
        <color rgb="FF442F65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top/>
      <bottom/>
    </border>
    <border>
      <top/>
      <bottom/>
    </border>
    <border>
      <right/>
      <top/>
      <bottom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  <border>
      <left style="double">
        <color rgb="FF93C47D"/>
      </left>
      <bottom style="dotted">
        <color rgb="FF93C47D"/>
      </bottom>
    </border>
    <border>
      <bottom style="dotted">
        <color rgb="FF93C47D"/>
      </bottom>
    </border>
    <border>
      <right style="double">
        <color rgb="FF93C47D"/>
      </right>
      <bottom style="dotted">
        <color rgb="FF93C47D"/>
      </bottom>
    </border>
    <border>
      <left style="double">
        <color rgb="FF93C47D"/>
      </left>
      <right style="hair">
        <color rgb="FF93C47D"/>
      </right>
      <top style="dotted">
        <color rgb="FF93C47D"/>
      </top>
      <bottom style="dotted">
        <color rgb="FF93C47D"/>
      </bottom>
    </border>
    <border>
      <left style="hair">
        <color rgb="FF93C47D"/>
      </left>
      <top style="dotted">
        <color rgb="FF93C47D"/>
      </top>
      <bottom style="dotted">
        <color rgb="FF93C47D"/>
      </bottom>
    </border>
    <border>
      <right style="hair">
        <color rgb="FF93C47D"/>
      </right>
      <top style="dotted">
        <color rgb="FF93C47D"/>
      </top>
      <bottom style="dotted">
        <color rgb="FF93C47D"/>
      </bottom>
    </border>
    <border>
      <left style="hair">
        <color rgb="FF93C47D"/>
      </left>
      <right style="hair">
        <color rgb="FF93C47D"/>
      </right>
      <top style="dotted">
        <color rgb="FF93C47D"/>
      </top>
      <bottom style="dotted">
        <color rgb="FF93C47D"/>
      </bottom>
    </border>
    <border>
      <left style="double">
        <color rgb="FF93C47D"/>
      </left>
      <right style="hair">
        <color rgb="FF93C47D"/>
      </right>
      <top style="dotted">
        <color rgb="FF93C47D"/>
      </top>
      <bottom style="double">
        <color rgb="FF93C47D"/>
      </bottom>
    </border>
    <border>
      <left style="hair">
        <color rgb="FF93C47D"/>
      </left>
      <top style="dotted">
        <color rgb="FF93C47D"/>
      </top>
      <bottom style="double">
        <color rgb="FF93C47D"/>
      </bottom>
    </border>
    <border>
      <right style="hair">
        <color rgb="FF93C47D"/>
      </right>
      <top style="dotted">
        <color rgb="FF93C47D"/>
      </top>
      <bottom style="double">
        <color rgb="FF93C47D"/>
      </bottom>
    </border>
    <border>
      <left style="hair">
        <color rgb="FF93C47D"/>
      </left>
      <right style="hair">
        <color rgb="FF93C47D"/>
      </right>
      <top style="dotted">
        <color rgb="FF93C47D"/>
      </top>
      <bottom style="double">
        <color rgb="FF93C47D"/>
      </bottom>
    </border>
    <border>
      <left style="double">
        <color rgb="FF356854"/>
      </left>
      <top style="double">
        <color rgb="FF356854"/>
      </top>
      <bottom style="double">
        <color rgb="FF356854"/>
      </bottom>
    </border>
    <border>
      <top style="double">
        <color rgb="FF356854"/>
      </top>
      <bottom style="double">
        <color rgb="FF356854"/>
      </bottom>
    </border>
    <border>
      <right style="double">
        <color rgb="FF356854"/>
      </right>
      <top style="double">
        <color rgb="FF356854"/>
      </top>
      <bottom style="double">
        <color rgb="FF356854"/>
      </bottom>
    </border>
    <border>
      <left style="double">
        <color rgb="FF34A853"/>
      </left>
      <right style="dotted">
        <color rgb="FF34A853"/>
      </right>
      <top style="double">
        <color rgb="FF34A853"/>
      </top>
      <bottom style="dotted">
        <color rgb="FF34A853"/>
      </bottom>
    </border>
    <border>
      <left style="dotted">
        <color rgb="FF34A853"/>
      </left>
      <top style="double">
        <color rgb="FF34A853"/>
      </top>
      <bottom style="dotted">
        <color rgb="FF34A853"/>
      </bottom>
    </border>
    <border>
      <right style="dotted">
        <color rgb="FF34A853"/>
      </right>
      <top style="double">
        <color rgb="FF34A853"/>
      </top>
      <bottom style="dotted">
        <color rgb="FF34A853"/>
      </bottom>
    </border>
    <border>
      <top style="double">
        <color rgb="FF34A853"/>
      </top>
      <bottom style="dotted">
        <color rgb="FF34A853"/>
      </bottom>
    </border>
    <border>
      <right style="double">
        <color rgb="FF34A853"/>
      </right>
      <top style="double">
        <color rgb="FF34A853"/>
      </top>
      <bottom style="dotted">
        <color rgb="FF34A853"/>
      </bottom>
    </border>
    <border>
      <left style="double">
        <color rgb="FF34A853"/>
      </left>
      <right style="dotted">
        <color rgb="FF34A853"/>
      </right>
      <top style="dotted">
        <color rgb="FF34A853"/>
      </top>
      <bottom style="dotted">
        <color rgb="FF34A853"/>
      </bottom>
    </border>
    <border>
      <left style="dotted">
        <color rgb="FF34A853"/>
      </left>
      <top style="dotted">
        <color rgb="FF34A853"/>
      </top>
      <bottom style="dotted">
        <color rgb="FF34A853"/>
      </bottom>
    </border>
    <border>
      <right style="dotted">
        <color rgb="FF34A853"/>
      </right>
      <top style="dotted">
        <color rgb="FF34A853"/>
      </top>
      <bottom style="dotted">
        <color rgb="FF34A853"/>
      </bottom>
    </border>
    <border>
      <top style="dotted">
        <color rgb="FF34A853"/>
      </top>
      <bottom style="dotted">
        <color rgb="FF34A853"/>
      </bottom>
    </border>
    <border>
      <right style="double">
        <color rgb="FF34A853"/>
      </right>
      <top style="dotted">
        <color rgb="FF34A853"/>
      </top>
      <bottom style="dotted">
        <color rgb="FF34A853"/>
      </bottom>
    </border>
    <border>
      <left style="double">
        <color rgb="FF34A853"/>
      </left>
      <right style="dotted">
        <color rgb="FF34A853"/>
      </right>
      <top style="dotted">
        <color rgb="FF34A853"/>
      </top>
      <bottom style="double">
        <color rgb="FF34A853"/>
      </bottom>
    </border>
    <border>
      <left style="dotted">
        <color rgb="FF34A853"/>
      </left>
      <top style="dotted">
        <color rgb="FF34A853"/>
      </top>
      <bottom style="double">
        <color rgb="FF34A853"/>
      </bottom>
    </border>
    <border>
      <right style="dotted">
        <color rgb="FF34A853"/>
      </right>
      <top style="dotted">
        <color rgb="FF34A853"/>
      </top>
      <bottom style="double">
        <color rgb="FF34A853"/>
      </bottom>
    </border>
    <border>
      <top style="dotted">
        <color rgb="FF34A853"/>
      </top>
      <bottom style="double">
        <color rgb="FF34A853"/>
      </bottom>
    </border>
    <border>
      <right style="double">
        <color rgb="FF34A853"/>
      </right>
      <top style="dotted">
        <color rgb="FF34A853"/>
      </top>
      <bottom style="double">
        <color rgb="FF34A853"/>
      </bottom>
    </border>
    <border>
      <left style="double">
        <color rgb="FF34A853"/>
      </left>
      <top style="double">
        <color rgb="FF34A853"/>
      </top>
    </border>
    <border>
      <top style="double">
        <color rgb="FF34A853"/>
      </top>
    </border>
    <border>
      <right style="double">
        <color rgb="FF34A853"/>
      </right>
      <top style="double">
        <color rgb="FF34A853"/>
      </top>
    </border>
    <border>
      <left style="double">
        <color rgb="FF34A853"/>
      </left>
      <bottom style="dotted">
        <color rgb="FF34A853"/>
      </bottom>
    </border>
    <border>
      <bottom style="dotted">
        <color rgb="FF34A853"/>
      </bottom>
    </border>
    <border>
      <right style="double">
        <color rgb="FF34A853"/>
      </right>
      <bottom style="dotted">
        <color rgb="FF34A853"/>
      </bottom>
    </border>
    <border>
      <bottom style="double">
        <color rgb="FF34A853"/>
      </bottom>
    </border>
    <border>
      <right style="double">
        <color rgb="FF34A853"/>
      </right>
      <bottom style="double">
        <color rgb="FF34A853"/>
      </bottom>
    </border>
    <border>
      <left style="double">
        <color rgb="FF34A853"/>
      </left>
      <top style="dotted">
        <color rgb="FF34A853"/>
      </top>
      <bottom style="dotted">
        <color rgb="FF34A853"/>
      </bottom>
    </border>
    <border>
      <left style="double">
        <color rgb="FF34A853"/>
      </left>
    </border>
    <border>
      <right style="double">
        <color rgb="FF34A853"/>
      </right>
    </border>
    <border>
      <left style="double">
        <color rgb="FF34A853"/>
      </left>
      <top style="dotted">
        <color rgb="FF34A853"/>
      </top>
      <bottom style="double">
        <color rgb="FF34A853"/>
      </bottom>
    </border>
    <border>
      <left style="double">
        <color rgb="FF34A853"/>
      </left>
      <bottom style="double">
        <color rgb="FF34A853"/>
      </bottom>
    </border>
    <border>
      <left style="double">
        <color rgb="FF34A853"/>
      </left>
      <top style="double">
        <color rgb="FF34A853"/>
      </top>
      <bottom style="double">
        <color rgb="FF34A853"/>
      </bottom>
    </border>
    <border>
      <top style="double">
        <color rgb="FF34A853"/>
      </top>
      <bottom style="double">
        <color rgb="FF34A853"/>
      </bottom>
    </border>
    <border>
      <right style="double">
        <color rgb="FF34A853"/>
      </right>
      <top style="double">
        <color rgb="FF34A853"/>
      </top>
      <bottom style="double">
        <color rgb="FF34A853"/>
      </bottom>
    </border>
    <border>
      <left style="double">
        <color rgb="FF34A853"/>
      </left>
      <top style="double">
        <color rgb="FF34A853"/>
      </top>
      <bottom style="thin">
        <color rgb="FF34A853"/>
      </bottom>
    </border>
    <border>
      <top style="double">
        <color rgb="FF34A853"/>
      </top>
      <bottom style="thin">
        <color rgb="FF34A853"/>
      </bottom>
    </border>
    <border>
      <right style="thin">
        <color rgb="FF34A853"/>
      </right>
      <top style="double">
        <color rgb="FF34A853"/>
      </top>
      <bottom style="thin">
        <color rgb="FF34A853"/>
      </bottom>
    </border>
    <border>
      <left style="thin">
        <color rgb="FF34A853"/>
      </left>
      <top style="double">
        <color rgb="FF34A853"/>
      </top>
      <bottom style="thin">
        <color rgb="FF34A853"/>
      </bottom>
    </border>
    <border>
      <right style="double">
        <color rgb="FF34A853"/>
      </right>
      <top style="double">
        <color rgb="FF34A853"/>
      </top>
      <bottom style="thin">
        <color rgb="FF34A853"/>
      </bottom>
    </border>
    <border>
      <left style="double">
        <color rgb="FF34A853"/>
      </left>
      <top style="thin">
        <color rgb="FF34A853"/>
      </top>
      <bottom style="thin">
        <color rgb="FF34A853"/>
      </bottom>
    </border>
    <border>
      <top style="thin">
        <color rgb="FF34A853"/>
      </top>
      <bottom style="thin">
        <color rgb="FF34A853"/>
      </bottom>
    </border>
    <border>
      <right style="thin">
        <color rgb="FF34A853"/>
      </right>
      <top style="thin">
        <color rgb="FF34A853"/>
      </top>
      <bottom style="thin">
        <color rgb="FF34A853"/>
      </bottom>
    </border>
    <border>
      <left style="thin">
        <color rgb="FF34A853"/>
      </left>
      <top style="thin">
        <color rgb="FF34A853"/>
      </top>
      <bottom style="thin">
        <color rgb="FF34A853"/>
      </bottom>
    </border>
    <border>
      <right style="double">
        <color rgb="FF34A853"/>
      </right>
      <top style="thin">
        <color rgb="FF34A853"/>
      </top>
      <bottom style="thin">
        <color rgb="FF34A853"/>
      </bottom>
    </border>
    <border>
      <left style="double">
        <color rgb="FF34A853"/>
      </left>
      <top style="thin">
        <color rgb="FF34A853"/>
      </top>
      <bottom style="double">
        <color rgb="FF34A853"/>
      </bottom>
    </border>
    <border>
      <top style="thin">
        <color rgb="FF34A853"/>
      </top>
      <bottom style="double">
        <color rgb="FF34A853"/>
      </bottom>
    </border>
    <border>
      <right style="thin">
        <color rgb="FF34A853"/>
      </right>
      <top style="thin">
        <color rgb="FF34A853"/>
      </top>
      <bottom style="double">
        <color rgb="FF34A853"/>
      </bottom>
    </border>
    <border>
      <left style="thin">
        <color rgb="FF34A853"/>
      </left>
      <top style="thin">
        <color rgb="FF34A853"/>
      </top>
      <bottom style="double">
        <color rgb="FF34A853"/>
      </bottom>
    </border>
    <border>
      <right style="double">
        <color rgb="FF34A853"/>
      </right>
      <top style="thin">
        <color rgb="FF34A853"/>
      </top>
      <bottom style="double">
        <color rgb="FF34A853"/>
      </bottom>
    </border>
    <border>
      <left style="double">
        <color rgb="FF34A853"/>
      </left>
      <bottom style="double">
        <color rgb="FF93C47D"/>
      </bottom>
    </border>
    <border>
      <right style="double">
        <color rgb="FF34A853"/>
      </right>
      <bottom style="double">
        <color rgb="FF93C47D"/>
      </bottom>
    </border>
    <border>
      <left style="double">
        <color rgb="FF34A853"/>
      </left>
      <top style="double">
        <color rgb="FF93C47D"/>
      </top>
    </border>
    <border>
      <right style="double">
        <color rgb="FF34A853"/>
      </right>
      <top style="double">
        <color rgb="FF93C47D"/>
      </top>
    </border>
    <border>
      <left style="double">
        <color rgb="FF34A853"/>
      </left>
      <bottom style="dotted">
        <color rgb="FF93C47D"/>
      </bottom>
    </border>
    <border>
      <right style="double">
        <color rgb="FF34A853"/>
      </right>
      <bottom style="dotted">
        <color rgb="FF93C47D"/>
      </bottom>
    </border>
    <border>
      <left style="double">
        <color rgb="FF34A853"/>
      </left>
      <top style="dotted">
        <color rgb="FF93C47D"/>
      </top>
      <bottom style="dotted">
        <color rgb="FF93C47D"/>
      </bottom>
    </border>
    <border>
      <right style="double">
        <color rgb="FF34A853"/>
      </right>
      <top style="dotted">
        <color rgb="FF93C47D"/>
      </top>
      <bottom style="dotted">
        <color rgb="FF93C47D"/>
      </bottom>
    </border>
    <border>
      <left style="double">
        <color rgb="FF34A853"/>
      </left>
      <top style="dotted">
        <color rgb="FF93C47D"/>
      </top>
      <bottom style="double">
        <color rgb="FF34A853"/>
      </bottom>
    </border>
    <border>
      <top style="dotted">
        <color rgb="FF93C47D"/>
      </top>
      <bottom style="double">
        <color rgb="FF34A853"/>
      </bottom>
    </border>
    <border>
      <right style="hair">
        <color rgb="FF93C47D"/>
      </right>
      <top style="dotted">
        <color rgb="FF93C47D"/>
      </top>
      <bottom style="double">
        <color rgb="FF34A853"/>
      </bottom>
    </border>
    <border>
      <left style="hair">
        <color rgb="FF93C47D"/>
      </left>
      <top style="dotted">
        <color rgb="FF93C47D"/>
      </top>
      <bottom style="double">
        <color rgb="FF34A853"/>
      </bottom>
    </border>
    <border>
      <right style="double">
        <color rgb="FF34A853"/>
      </right>
      <top style="dotted">
        <color rgb="FF93C47D"/>
      </top>
      <bottom style="double">
        <color rgb="FF34A853"/>
      </bottom>
    </border>
    <border>
      <left style="double">
        <color rgb="FF34A853"/>
      </left>
      <top style="double">
        <color rgb="FF34A853"/>
      </top>
      <bottom style="dotted">
        <color rgb="FF93C47D"/>
      </bottom>
    </border>
    <border>
      <top style="double">
        <color rgb="FF34A853"/>
      </top>
      <bottom style="dotted">
        <color rgb="FF93C47D"/>
      </bottom>
    </border>
    <border>
      <right style="hair">
        <color rgb="FF93C47D"/>
      </right>
      <top style="double">
        <color rgb="FF34A853"/>
      </top>
      <bottom style="dotted">
        <color rgb="FF93C47D"/>
      </bottom>
    </border>
    <border>
      <left style="hair">
        <color rgb="FF93C47D"/>
      </left>
      <top style="double">
        <color rgb="FF34A853"/>
      </top>
      <bottom style="dotted">
        <color rgb="FF93C47D"/>
      </bottom>
    </border>
    <border>
      <right style="double">
        <color rgb="FF34A853"/>
      </right>
      <top style="double">
        <color rgb="FF34A853"/>
      </top>
      <bottom style="dotted">
        <color rgb="FF93C47D"/>
      </bottom>
    </border>
  </borders>
  <cellStyleXfs count="1">
    <xf borderId="0" fillId="0" fontId="0" numFmtId="0" applyAlignment="1" applyFont="1"/>
  </cellStyleXfs>
  <cellXfs count="49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2" fontId="3" numFmtId="0" xfId="0" applyAlignment="1" applyFont="1">
      <alignment horizontal="center" readingOrder="0" shrinkToFit="0" wrapText="1"/>
    </xf>
    <xf borderId="0" fillId="3" fontId="4" numFmtId="0" xfId="0" applyAlignment="1" applyFill="1" applyFont="1">
      <alignment horizontal="center" readingOrder="0" shrinkToFit="0" wrapText="1"/>
    </xf>
    <xf borderId="0" fillId="0" fontId="5" numFmtId="0" xfId="0" applyAlignment="1" applyFont="1">
      <alignment shrinkToFit="0" vertical="bottom" wrapText="1"/>
    </xf>
    <xf borderId="0" fillId="2" fontId="6" numFmtId="0" xfId="0" applyAlignment="1" applyFont="1">
      <alignment horizontal="center" readingOrder="0" shrinkToFit="0" wrapText="1"/>
    </xf>
    <xf borderId="1" fillId="3" fontId="7" numFmtId="0" xfId="0" applyAlignment="1" applyBorder="1" applyFont="1">
      <alignment horizontal="center" readingOrder="0" shrinkToFit="0" vertical="top" wrapText="1"/>
    </xf>
    <xf borderId="2" fillId="0" fontId="8" numFmtId="0" xfId="0" applyBorder="1" applyFont="1"/>
    <xf borderId="3" fillId="0" fontId="8" numFmtId="0" xfId="0" applyBorder="1" applyFont="1"/>
    <xf borderId="4" fillId="3" fontId="9" numFmtId="0" xfId="0" applyAlignment="1" applyBorder="1" applyFont="1">
      <alignment horizontal="center" readingOrder="0" shrinkToFit="0" vertical="top" wrapText="1"/>
    </xf>
    <xf borderId="5" fillId="0" fontId="8" numFmtId="0" xfId="0" applyBorder="1" applyFont="1"/>
    <xf borderId="4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8" fillId="0" fontId="8" numFmtId="0" xfId="0" applyBorder="1" applyFont="1"/>
    <xf borderId="0" fillId="4" fontId="10" numFmtId="0" xfId="0" applyAlignment="1" applyFill="1" applyFont="1">
      <alignment readingOrder="0" shrinkToFit="0" vertical="top" wrapText="1"/>
    </xf>
    <xf borderId="9" fillId="3" fontId="11" numFmtId="0" xfId="0" applyAlignment="1" applyBorder="1" applyFont="1">
      <alignment horizontal="center" readingOrder="0" shrinkToFit="0" vertical="top" wrapText="1"/>
    </xf>
    <xf borderId="10" fillId="0" fontId="8" numFmtId="0" xfId="0" applyBorder="1" applyFont="1"/>
    <xf borderId="1" fillId="4" fontId="12" numFmtId="0" xfId="0" applyAlignment="1" applyBorder="1" applyFont="1">
      <alignment horizontal="center" readingOrder="0" shrinkToFit="0" wrapText="1"/>
    </xf>
    <xf borderId="0" fillId="4" fontId="6" numFmtId="0" xfId="0" applyAlignment="1" applyFont="1">
      <alignment horizontal="left" readingOrder="0" shrinkToFit="0" wrapText="1"/>
    </xf>
    <xf borderId="1" fillId="4" fontId="12" numFmtId="0" xfId="0" applyAlignment="1" applyBorder="1" applyFont="1">
      <alignment horizontal="left" readingOrder="0" shrinkToFit="0" wrapText="1"/>
    </xf>
    <xf borderId="11" fillId="2" fontId="13" numFmtId="0" xfId="0" applyAlignment="1" applyBorder="1" applyFont="1">
      <alignment horizontal="center" readingOrder="0" shrinkToFit="0" wrapText="1"/>
    </xf>
    <xf borderId="12" fillId="0" fontId="8" numFmtId="0" xfId="0" applyBorder="1" applyFont="1"/>
    <xf borderId="12" fillId="2" fontId="13" numFmtId="0" xfId="0" applyAlignment="1" applyBorder="1" applyFont="1">
      <alignment horizontal="center" readingOrder="0" shrinkToFit="0" wrapText="1"/>
    </xf>
    <xf borderId="13" fillId="0" fontId="8" numFmtId="0" xfId="0" applyBorder="1" applyFont="1"/>
    <xf borderId="11" fillId="5" fontId="14" numFmtId="0" xfId="0" applyAlignment="1" applyBorder="1" applyFill="1" applyFont="1">
      <alignment readingOrder="0" shrinkToFit="0" vertical="top" wrapText="1"/>
    </xf>
    <xf borderId="14" fillId="0" fontId="8" numFmtId="0" xfId="0" applyBorder="1" applyFont="1"/>
    <xf borderId="15" fillId="5" fontId="14" numFmtId="0" xfId="0" applyAlignment="1" applyBorder="1" applyFont="1">
      <alignment readingOrder="0" shrinkToFit="0" vertical="top" wrapText="1"/>
    </xf>
    <xf borderId="16" fillId="6" fontId="15" numFmtId="0" xfId="0" applyAlignment="1" applyBorder="1" applyFill="1" applyFont="1">
      <alignment readingOrder="0" shrinkToFit="0" wrapText="1"/>
    </xf>
    <xf borderId="17" fillId="0" fontId="8" numFmtId="0" xfId="0" applyBorder="1" applyFont="1"/>
    <xf borderId="18" fillId="0" fontId="8" numFmtId="0" xfId="0" applyBorder="1" applyFont="1"/>
    <xf borderId="11" fillId="4" fontId="14" numFmtId="0" xfId="0" applyAlignment="1" applyBorder="1" applyFont="1">
      <alignment readingOrder="0" shrinkToFit="0" vertical="top" wrapText="1"/>
    </xf>
    <xf borderId="15" fillId="4" fontId="14" numFmtId="0" xfId="0" applyAlignment="1" applyBorder="1" applyFont="1">
      <alignment readingOrder="0" shrinkToFit="0" vertical="top" wrapText="1"/>
    </xf>
    <xf borderId="19" fillId="6" fontId="15" numFmtId="0" xfId="0" applyAlignment="1" applyBorder="1" applyFont="1">
      <alignment readingOrder="0"/>
    </xf>
    <xf borderId="20" fillId="0" fontId="8" numFmtId="0" xfId="0" applyBorder="1" applyFont="1"/>
    <xf borderId="21" fillId="0" fontId="8" numFmtId="0" xfId="0" applyBorder="1" applyFont="1"/>
    <xf borderId="19" fillId="7" fontId="15" numFmtId="0" xfId="0" applyAlignment="1" applyBorder="1" applyFill="1" applyFont="1">
      <alignment readingOrder="0"/>
    </xf>
    <xf borderId="22" fillId="4" fontId="14" numFmtId="0" xfId="0" applyAlignment="1" applyBorder="1" applyFont="1">
      <alignment readingOrder="0" shrinkToFit="0" vertical="top" wrapText="1"/>
    </xf>
    <xf borderId="23" fillId="0" fontId="8" numFmtId="0" xfId="0" applyBorder="1" applyFont="1"/>
    <xf borderId="24" fillId="0" fontId="8" numFmtId="0" xfId="0" applyBorder="1" applyFont="1"/>
    <xf borderId="25" fillId="4" fontId="14" numFmtId="0" xfId="0" applyAlignment="1" applyBorder="1" applyFont="1">
      <alignment readingOrder="0" shrinkToFit="0" vertical="top" wrapText="1"/>
    </xf>
    <xf borderId="26" fillId="0" fontId="8" numFmtId="0" xfId="0" applyBorder="1" applyFont="1"/>
    <xf borderId="27" fillId="7" fontId="15" numFmtId="0" xfId="0" applyAlignment="1" applyBorder="1" applyFont="1">
      <alignment readingOrder="0"/>
    </xf>
    <xf borderId="28" fillId="0" fontId="8" numFmtId="0" xfId="0" applyBorder="1" applyFont="1"/>
    <xf borderId="29" fillId="0" fontId="8" numFmtId="0" xfId="0" applyBorder="1" applyFont="1"/>
    <xf borderId="0" fillId="0" fontId="16" numFmtId="0" xfId="0" applyAlignment="1" applyFont="1">
      <alignment shrinkToFit="0" wrapText="1"/>
    </xf>
    <xf borderId="0" fillId="0" fontId="17" numFmtId="0" xfId="0" applyAlignment="1" applyFont="1">
      <alignment readingOrder="0" shrinkToFit="0" wrapText="1"/>
    </xf>
    <xf borderId="30" fillId="0" fontId="17" numFmtId="0" xfId="0" applyAlignment="1" applyBorder="1" applyFont="1">
      <alignment readingOrder="0" shrinkToFit="0" wrapText="1"/>
    </xf>
    <xf borderId="31" fillId="0" fontId="8" numFmtId="0" xfId="0" applyBorder="1" applyFont="1"/>
    <xf borderId="0" fillId="0" fontId="2" numFmtId="0" xfId="0" applyAlignment="1" applyFont="1">
      <alignment readingOrder="0" shrinkToFit="0" wrapText="1"/>
    </xf>
    <xf borderId="0" fillId="0" fontId="18" numFmtId="0" xfId="0" applyAlignment="1" applyFont="1">
      <alignment shrinkToFit="0" vertical="bottom" wrapText="1"/>
    </xf>
    <xf borderId="30" fillId="8" fontId="19" numFmtId="0" xfId="0" applyAlignment="1" applyBorder="1" applyFill="1" applyFont="1">
      <alignment readingOrder="0" shrinkToFit="0" wrapText="0"/>
    </xf>
    <xf borderId="32" fillId="0" fontId="8" numFmtId="0" xfId="0" applyBorder="1" applyFont="1"/>
    <xf borderId="33" fillId="8" fontId="19" numFmtId="0" xfId="0" applyAlignment="1" applyBorder="1" applyFont="1">
      <alignment readingOrder="0" shrinkToFit="0" wrapText="1"/>
    </xf>
    <xf borderId="34" fillId="8" fontId="20" numFmtId="0" xfId="0" applyAlignment="1" applyBorder="1" applyFont="1">
      <alignment shrinkToFit="0" vertical="bottom" wrapText="1"/>
    </xf>
    <xf borderId="35" fillId="8" fontId="20" numFmtId="0" xfId="0" applyAlignment="1" applyBorder="1" applyFont="1">
      <alignment readingOrder="0" shrinkToFit="0" vertical="bottom" wrapText="1"/>
    </xf>
    <xf borderId="36" fillId="9" fontId="20" numFmtId="0" xfId="0" applyAlignment="1" applyBorder="1" applyFill="1" applyFont="1">
      <alignment shrinkToFit="0" vertical="bottom" wrapText="0"/>
    </xf>
    <xf borderId="37" fillId="0" fontId="8" numFmtId="0" xfId="0" applyBorder="1" applyFont="1"/>
    <xf borderId="36" fillId="9" fontId="20" numFmtId="0" xfId="0" applyAlignment="1" applyBorder="1" applyFont="1">
      <alignment shrinkToFit="0" vertical="bottom" wrapText="1"/>
    </xf>
    <xf borderId="38" fillId="9" fontId="20" numFmtId="0" xfId="0" applyAlignment="1" applyBorder="1" applyFont="1">
      <alignment shrinkToFit="0" vertical="bottom" wrapText="1"/>
    </xf>
    <xf borderId="38" fillId="9" fontId="20" numFmtId="0" xfId="0" applyAlignment="1" applyBorder="1" applyFont="1">
      <alignment horizontal="center" readingOrder="0" shrinkToFit="0" vertical="bottom" wrapText="1"/>
    </xf>
    <xf borderId="38" fillId="9" fontId="20" numFmtId="0" xfId="0" applyAlignment="1" applyBorder="1" applyFont="1">
      <alignment readingOrder="0" shrinkToFit="0" vertical="bottom" wrapText="1"/>
    </xf>
    <xf borderId="38" fillId="10" fontId="20" numFmtId="164" xfId="0" applyAlignment="1" applyBorder="1" applyFill="1" applyFont="1" applyNumberFormat="1">
      <alignment shrinkToFit="0" vertical="bottom" wrapText="1"/>
    </xf>
    <xf borderId="39" fillId="10" fontId="20" numFmtId="164" xfId="0" applyAlignment="1" applyBorder="1" applyFont="1" applyNumberFormat="1">
      <alignment shrinkToFit="0" vertical="bottom" wrapText="1"/>
    </xf>
    <xf borderId="40" fillId="9" fontId="20" numFmtId="0" xfId="0" applyAlignment="1" applyBorder="1" applyFont="1">
      <alignment shrinkToFit="0" vertical="bottom" wrapText="0"/>
    </xf>
    <xf borderId="40" fillId="9" fontId="20" numFmtId="0" xfId="0" applyAlignment="1" applyBorder="1" applyFont="1">
      <alignment shrinkToFit="0" vertical="bottom" wrapText="1"/>
    </xf>
    <xf borderId="40" fillId="11" fontId="20" numFmtId="0" xfId="0" applyAlignment="1" applyBorder="1" applyFill="1" applyFont="1">
      <alignment shrinkToFit="0" vertical="bottom" wrapText="0"/>
    </xf>
    <xf borderId="40" fillId="11" fontId="20" numFmtId="0" xfId="0" applyAlignment="1" applyBorder="1" applyFont="1">
      <alignment shrinkToFit="0" vertical="bottom" wrapText="1"/>
    </xf>
    <xf borderId="38" fillId="11" fontId="20" numFmtId="0" xfId="0" applyAlignment="1" applyBorder="1" applyFont="1">
      <alignment shrinkToFit="0" vertical="bottom" wrapText="1"/>
    </xf>
    <xf borderId="38" fillId="11" fontId="20" numFmtId="0" xfId="0" applyAlignment="1" applyBorder="1" applyFont="1">
      <alignment horizontal="center" readingOrder="0" shrinkToFit="0" vertical="bottom" wrapText="1"/>
    </xf>
    <xf borderId="38" fillId="11" fontId="20" numFmtId="0" xfId="0" applyAlignment="1" applyBorder="1" applyFont="1">
      <alignment readingOrder="0" shrinkToFit="0" vertical="bottom" wrapText="1"/>
    </xf>
    <xf borderId="0" fillId="0" fontId="18" numFmtId="0" xfId="0" applyAlignment="1" applyFont="1">
      <alignment horizontal="right" shrinkToFit="0" vertical="bottom" wrapText="1"/>
    </xf>
    <xf borderId="40" fillId="11" fontId="20" numFmtId="0" xfId="0" applyAlignment="1" applyBorder="1" applyFont="1">
      <alignment vertical="bottom"/>
    </xf>
    <xf borderId="41" fillId="11" fontId="20" numFmtId="0" xfId="0" applyAlignment="1" applyBorder="1" applyFont="1">
      <alignment shrinkToFit="0" vertical="bottom" wrapText="0"/>
    </xf>
    <xf borderId="42" fillId="0" fontId="8" numFmtId="0" xfId="0" applyBorder="1" applyFont="1"/>
    <xf borderId="41" fillId="11" fontId="20" numFmtId="0" xfId="0" applyAlignment="1" applyBorder="1" applyFont="1">
      <alignment vertical="bottom"/>
    </xf>
    <xf borderId="43" fillId="11" fontId="20" numFmtId="0" xfId="0" applyAlignment="1" applyBorder="1" applyFont="1">
      <alignment shrinkToFit="0" vertical="bottom" wrapText="1"/>
    </xf>
    <xf borderId="43" fillId="11" fontId="20" numFmtId="0" xfId="0" applyAlignment="1" applyBorder="1" applyFont="1">
      <alignment readingOrder="0" shrinkToFit="0" vertical="bottom" wrapText="1"/>
    </xf>
    <xf borderId="43" fillId="11" fontId="20" numFmtId="0" xfId="0" applyAlignment="1" applyBorder="1" applyFont="1">
      <alignment horizontal="center" readingOrder="0" shrinkToFit="0" vertical="bottom" wrapText="1"/>
    </xf>
    <xf borderId="43" fillId="10" fontId="20" numFmtId="164" xfId="0" applyAlignment="1" applyBorder="1" applyFont="1" applyNumberFormat="1">
      <alignment shrinkToFit="0" vertical="bottom" wrapText="1"/>
    </xf>
    <xf borderId="30" fillId="0" fontId="21" numFmtId="0" xfId="0" applyAlignment="1" applyBorder="1" applyFont="1">
      <alignment readingOrder="0" shrinkToFit="0" wrapText="1"/>
    </xf>
    <xf borderId="0" fillId="0" fontId="21" numFmtId="0" xfId="0" applyAlignment="1" applyFont="1">
      <alignment readingOrder="0" shrinkToFit="0" wrapText="1"/>
    </xf>
    <xf borderId="44" fillId="6" fontId="22" numFmtId="0" xfId="0" applyAlignment="1" applyBorder="1" applyFont="1">
      <alignment shrinkToFit="0" vertical="bottom" wrapText="1"/>
    </xf>
    <xf borderId="45" fillId="0" fontId="8" numFmtId="0" xfId="0" applyBorder="1" applyFont="1"/>
    <xf borderId="44" fillId="6" fontId="22" numFmtId="0" xfId="0" applyAlignment="1" applyBorder="1" applyFont="1">
      <alignment readingOrder="0" shrinkToFit="0" vertical="bottom" wrapText="1"/>
    </xf>
    <xf borderId="44" fillId="9" fontId="22" numFmtId="0" xfId="0" applyAlignment="1" applyBorder="1" applyFont="1">
      <alignment shrinkToFit="0" vertical="bottom" wrapText="1"/>
    </xf>
    <xf borderId="44" fillId="7" fontId="22" numFmtId="0" xfId="0" applyAlignment="1" applyBorder="1" applyFont="1">
      <alignment shrinkToFit="0" vertical="bottom" wrapText="1"/>
    </xf>
    <xf borderId="44" fillId="12" fontId="22" numFmtId="0" xfId="0" applyAlignment="1" applyBorder="1" applyFill="1" applyFont="1">
      <alignment shrinkToFit="0" vertical="bottom" wrapText="1"/>
    </xf>
    <xf borderId="44" fillId="9" fontId="22" numFmtId="0" xfId="0" applyAlignment="1" applyBorder="1" applyFont="1">
      <alignment readingOrder="0" shrinkToFit="0" vertical="bottom" wrapText="1"/>
    </xf>
    <xf borderId="44" fillId="7" fontId="22" numFmtId="0" xfId="0" applyAlignment="1" applyBorder="1" applyFont="1">
      <alignment readingOrder="0" shrinkToFit="0" vertical="bottom" wrapText="1"/>
    </xf>
    <xf borderId="44" fillId="12" fontId="22" numFmtId="0" xfId="0" applyAlignment="1" applyBorder="1" applyFont="1">
      <alignment readingOrder="0" shrinkToFit="0" vertical="bottom" wrapText="1"/>
    </xf>
    <xf borderId="44" fillId="11" fontId="22" numFmtId="0" xfId="0" applyAlignment="1" applyBorder="1" applyFont="1">
      <alignment shrinkToFit="0" vertical="bottom" wrapText="1"/>
    </xf>
    <xf borderId="46" fillId="0" fontId="8" numFmtId="0" xfId="0" applyBorder="1" applyFont="1"/>
    <xf borderId="44" fillId="13" fontId="23" numFmtId="0" xfId="0" applyAlignment="1" applyBorder="1" applyFill="1" applyFont="1">
      <alignment shrinkToFit="0" vertical="bottom" wrapText="1"/>
    </xf>
    <xf borderId="44" fillId="14" fontId="24" numFmtId="0" xfId="0" applyAlignment="1" applyBorder="1" applyFill="1" applyFont="1">
      <alignment horizontal="center" shrinkToFit="0" vertical="center" wrapText="1"/>
    </xf>
    <xf borderId="44" fillId="0" fontId="18" numFmtId="0" xfId="0" applyAlignment="1" applyBorder="1" applyFont="1">
      <alignment shrinkToFit="0" vertical="top" wrapText="1"/>
    </xf>
    <xf borderId="44" fillId="14" fontId="24" numFmtId="0" xfId="0" applyAlignment="1" applyBorder="1" applyFont="1">
      <alignment horizontal="center" readingOrder="0" shrinkToFit="0" vertical="center" wrapText="1"/>
    </xf>
    <xf borderId="0" fillId="0" fontId="25" numFmtId="0" xfId="0" applyAlignment="1" applyFont="1">
      <alignment readingOrder="0" shrinkToFit="0" wrapText="0"/>
    </xf>
    <xf borderId="30" fillId="6" fontId="26" numFmtId="0" xfId="0" applyAlignment="1" applyBorder="1" applyFont="1">
      <alignment vertical="bottom"/>
    </xf>
    <xf borderId="0" fillId="0" fontId="18" numFmtId="0" xfId="0" applyAlignment="1" applyFont="1">
      <alignment vertical="bottom"/>
    </xf>
    <xf borderId="0" fillId="0" fontId="25" numFmtId="0" xfId="0" applyAlignment="1" applyFont="1">
      <alignment horizontal="left" readingOrder="0" shrinkToFit="0" vertical="center" wrapText="0"/>
    </xf>
    <xf borderId="36" fillId="6" fontId="22" numFmtId="0" xfId="0" applyAlignment="1" applyBorder="1" applyFont="1">
      <alignment readingOrder="0" shrinkToFit="0" vertical="top" wrapText="1"/>
    </xf>
    <xf borderId="47" fillId="0" fontId="8" numFmtId="0" xfId="0" applyBorder="1" applyFont="1"/>
    <xf borderId="48" fillId="4" fontId="27" numFmtId="0" xfId="0" applyAlignment="1" applyBorder="1" applyFont="1">
      <alignment horizontal="right" shrinkToFit="0" vertical="center" wrapText="0"/>
    </xf>
    <xf borderId="49" fillId="4" fontId="27" numFmtId="0" xfId="0" applyAlignment="1" applyBorder="1" applyFont="1">
      <alignment shrinkToFit="0" vertical="center" wrapText="0"/>
    </xf>
    <xf borderId="49" fillId="4" fontId="18" numFmtId="0" xfId="0" applyAlignment="1" applyBorder="1" applyFont="1">
      <alignment shrinkToFit="0" vertical="center" wrapText="0"/>
    </xf>
    <xf borderId="49" fillId="4" fontId="28" numFmtId="0" xfId="0" applyAlignment="1" applyBorder="1" applyFont="1">
      <alignment shrinkToFit="0" vertical="center" wrapText="0"/>
    </xf>
    <xf borderId="49" fillId="4" fontId="27" numFmtId="49" xfId="0" applyAlignment="1" applyBorder="1" applyFont="1" applyNumberFormat="1">
      <alignment shrinkToFit="0" vertical="center" wrapText="0"/>
    </xf>
    <xf borderId="50" fillId="4" fontId="18" numFmtId="0" xfId="0" applyAlignment="1" applyBorder="1" applyFont="1">
      <alignment shrinkToFit="0" vertical="center" wrapText="0"/>
    </xf>
    <xf borderId="40" fillId="0" fontId="8" numFmtId="0" xfId="0" applyBorder="1" applyFont="1"/>
    <xf borderId="51" fillId="0" fontId="8" numFmtId="0" xfId="0" applyBorder="1" applyFont="1"/>
    <xf borderId="52" fillId="15" fontId="27" numFmtId="0" xfId="0" applyAlignment="1" applyBorder="1" applyFill="1" applyFont="1">
      <alignment horizontal="right" shrinkToFit="0" vertical="center" wrapText="0"/>
    </xf>
    <xf borderId="53" fillId="15" fontId="27" numFmtId="0" xfId="0" applyAlignment="1" applyBorder="1" applyFont="1">
      <alignment shrinkToFit="0" vertical="center" wrapText="0"/>
    </xf>
    <xf borderId="53" fillId="15" fontId="18" numFmtId="0" xfId="0" applyAlignment="1" applyBorder="1" applyFont="1">
      <alignment shrinkToFit="0" vertical="center" wrapText="0"/>
    </xf>
    <xf borderId="53" fillId="15" fontId="28" numFmtId="0" xfId="0" applyAlignment="1" applyBorder="1" applyFont="1">
      <alignment shrinkToFit="0" vertical="center" wrapText="0"/>
    </xf>
    <xf borderId="53" fillId="15" fontId="27" numFmtId="49" xfId="0" applyAlignment="1" applyBorder="1" applyFont="1" applyNumberFormat="1">
      <alignment shrinkToFit="0" vertical="center" wrapText="0"/>
    </xf>
    <xf borderId="53" fillId="15" fontId="18" numFmtId="49" xfId="0" applyAlignment="1" applyBorder="1" applyFont="1" applyNumberFormat="1">
      <alignment shrinkToFit="0" vertical="center" wrapText="0"/>
    </xf>
    <xf borderId="54" fillId="15" fontId="18" numFmtId="0" xfId="0" applyAlignment="1" applyBorder="1" applyFont="1">
      <alignment shrinkToFit="0" vertical="center" wrapText="0"/>
    </xf>
    <xf borderId="49" fillId="4" fontId="29" numFmtId="0" xfId="0" applyAlignment="1" applyBorder="1" applyFont="1">
      <alignment shrinkToFit="0" vertical="center" wrapText="0"/>
    </xf>
    <xf borderId="53" fillId="15" fontId="30" numFmtId="0" xfId="0" applyAlignment="1" applyBorder="1" applyFont="1">
      <alignment shrinkToFit="0" vertical="center" wrapText="0"/>
    </xf>
    <xf borderId="53" fillId="15" fontId="27" numFmtId="0" xfId="0" applyAlignment="1" applyBorder="1" applyFont="1">
      <alignment shrinkToFit="0" vertical="center" wrapText="0"/>
    </xf>
    <xf borderId="49" fillId="4" fontId="27" numFmtId="0" xfId="0" applyAlignment="1" applyBorder="1" applyFont="1">
      <alignment shrinkToFit="0" vertical="center" wrapText="0"/>
    </xf>
    <xf borderId="53" fillId="4" fontId="27" numFmtId="0" xfId="0" applyAlignment="1" applyBorder="1" applyFont="1">
      <alignment shrinkToFit="0" vertical="center" wrapText="0"/>
    </xf>
    <xf borderId="53" fillId="4" fontId="31" numFmtId="0" xfId="0" applyAlignment="1" applyBorder="1" applyFont="1">
      <alignment shrinkToFit="0" vertical="center" wrapText="0"/>
    </xf>
    <xf borderId="53" fillId="4" fontId="28" numFmtId="0" xfId="0" applyAlignment="1" applyBorder="1" applyFont="1">
      <alignment shrinkToFit="0" vertical="center" wrapText="0"/>
    </xf>
    <xf borderId="53" fillId="4" fontId="27" numFmtId="49" xfId="0" applyAlignment="1" applyBorder="1" applyFont="1" applyNumberFormat="1">
      <alignment shrinkToFit="0" vertical="center" wrapText="0"/>
    </xf>
    <xf borderId="54" fillId="4" fontId="18" numFmtId="0" xfId="0" applyAlignment="1" applyBorder="1" applyFont="1">
      <alignment shrinkToFit="0" vertical="center" wrapText="0"/>
    </xf>
    <xf borderId="49" fillId="15" fontId="27" numFmtId="0" xfId="0" applyAlignment="1" applyBorder="1" applyFont="1">
      <alignment shrinkToFit="0" vertical="center" wrapText="0"/>
    </xf>
    <xf borderId="49" fillId="15" fontId="32" numFmtId="0" xfId="0" applyAlignment="1" applyBorder="1" applyFont="1">
      <alignment shrinkToFit="0" vertical="center" wrapText="0"/>
    </xf>
    <xf borderId="49" fillId="15" fontId="28" numFmtId="0" xfId="0" applyAlignment="1" applyBorder="1" applyFont="1">
      <alignment shrinkToFit="0" vertical="center" wrapText="0"/>
    </xf>
    <xf borderId="49" fillId="15" fontId="27" numFmtId="49" xfId="0" applyAlignment="1" applyBorder="1" applyFont="1" applyNumberFormat="1">
      <alignment shrinkToFit="0" vertical="center" wrapText="0"/>
    </xf>
    <xf borderId="50" fillId="15" fontId="18" numFmtId="0" xfId="0" applyAlignment="1" applyBorder="1" applyFont="1">
      <alignment shrinkToFit="0" vertical="center" wrapText="0"/>
    </xf>
    <xf borderId="49" fillId="4" fontId="18" numFmtId="49" xfId="0" applyAlignment="1" applyBorder="1" applyFont="1" applyNumberFormat="1">
      <alignment shrinkToFit="0" vertical="center" wrapText="0"/>
    </xf>
    <xf borderId="41" fillId="0" fontId="8" numFmtId="0" xfId="0" applyBorder="1" applyFont="1"/>
    <xf borderId="55" fillId="0" fontId="8" numFmtId="0" xfId="0" applyBorder="1" applyFont="1"/>
    <xf borderId="30" fillId="6" fontId="33" numFmtId="0" xfId="0" applyAlignment="1" applyBorder="1" applyFont="1">
      <alignment horizontal="center" vertical="bottom"/>
    </xf>
    <xf borderId="56" fillId="4" fontId="27" numFmtId="0" xfId="0" applyAlignment="1" applyBorder="1" applyFont="1">
      <alignment shrinkToFit="0" vertical="center" wrapText="0"/>
    </xf>
    <xf borderId="56" fillId="4" fontId="34" numFmtId="0" xfId="0" applyAlignment="1" applyBorder="1" applyFont="1">
      <alignment shrinkToFit="0" vertical="center" wrapText="0"/>
    </xf>
    <xf borderId="56" fillId="4" fontId="28" numFmtId="0" xfId="0" applyAlignment="1" applyBorder="1" applyFont="1">
      <alignment shrinkToFit="0" vertical="center" wrapText="0"/>
    </xf>
    <xf borderId="56" fillId="4" fontId="27" numFmtId="49" xfId="0" applyAlignment="1" applyBorder="1" applyFont="1" applyNumberFormat="1">
      <alignment shrinkToFit="0" vertical="center" wrapText="0"/>
    </xf>
    <xf borderId="57" fillId="4" fontId="18" numFmtId="0" xfId="0" applyAlignment="1" applyBorder="1" applyFont="1">
      <alignment shrinkToFit="0" vertical="center" wrapText="0"/>
    </xf>
    <xf borderId="36" fillId="6" fontId="35" numFmtId="0" xfId="0" applyAlignment="1" applyBorder="1" applyFont="1">
      <alignment shrinkToFit="0" vertical="top" wrapText="1"/>
    </xf>
    <xf borderId="53" fillId="15" fontId="27" numFmtId="0" xfId="0" applyAlignment="1" applyBorder="1" applyFont="1">
      <alignment shrinkToFit="0" vertical="bottom" wrapText="0"/>
    </xf>
    <xf borderId="53" fillId="15" fontId="18" numFmtId="0" xfId="0" applyAlignment="1" applyBorder="1" applyFont="1">
      <alignment shrinkToFit="0" vertical="bottom" wrapText="0"/>
    </xf>
    <xf borderId="53" fillId="15" fontId="28" numFmtId="0" xfId="0" applyAlignment="1" applyBorder="1" applyFont="1">
      <alignment shrinkToFit="0" vertical="bottom" wrapText="0"/>
    </xf>
    <xf borderId="53" fillId="15" fontId="18" numFmtId="49" xfId="0" applyAlignment="1" applyBorder="1" applyFont="1" applyNumberFormat="1">
      <alignment shrinkToFit="0" vertical="bottom" wrapText="0"/>
    </xf>
    <xf borderId="54" fillId="15" fontId="18" numFmtId="0" xfId="0" applyAlignment="1" applyBorder="1" applyFont="1">
      <alignment shrinkToFit="0" vertical="bottom" wrapText="0"/>
    </xf>
    <xf borderId="58" fillId="4" fontId="27" numFmtId="0" xfId="0" applyAlignment="1" applyBorder="1" applyFont="1">
      <alignment horizontal="right" shrinkToFit="0" vertical="center" wrapText="0"/>
    </xf>
    <xf borderId="59" fillId="4" fontId="27" numFmtId="0" xfId="0" applyAlignment="1" applyBorder="1" applyFont="1">
      <alignment shrinkToFit="0" vertical="bottom" wrapText="0"/>
    </xf>
    <xf borderId="59" fillId="4" fontId="18" numFmtId="0" xfId="0" applyAlignment="1" applyBorder="1" applyFont="1">
      <alignment shrinkToFit="0" vertical="bottom" wrapText="0"/>
    </xf>
    <xf borderId="59" fillId="4" fontId="28" numFmtId="0" xfId="0" applyAlignment="1" applyBorder="1" applyFont="1">
      <alignment shrinkToFit="0" vertical="bottom" wrapText="0"/>
    </xf>
    <xf borderId="59" fillId="4" fontId="18" numFmtId="49" xfId="0" applyAlignment="1" applyBorder="1" applyFont="1" applyNumberFormat="1">
      <alignment shrinkToFit="0" vertical="bottom" wrapText="0"/>
    </xf>
    <xf borderId="60" fillId="4" fontId="18" numFmtId="0" xfId="0" applyAlignment="1" applyBorder="1" applyFont="1">
      <alignment shrinkToFit="0" vertical="bottom" wrapText="0"/>
    </xf>
    <xf borderId="0" fillId="4" fontId="18" numFmtId="0" xfId="0" applyAlignment="1" applyFont="1">
      <alignment shrinkToFit="0" vertical="top" wrapText="1"/>
    </xf>
    <xf borderId="0" fillId="4" fontId="2" numFmtId="0" xfId="0" applyFont="1"/>
    <xf borderId="44" fillId="9" fontId="33" numFmtId="0" xfId="0" applyAlignment="1" applyBorder="1" applyFont="1">
      <alignment vertical="bottom"/>
    </xf>
    <xf borderId="0" fillId="0" fontId="25" numFmtId="0" xfId="0" applyAlignment="1" applyFont="1">
      <alignment horizontal="left" readingOrder="0" shrinkToFit="0" vertical="center" wrapText="0"/>
    </xf>
    <xf borderId="61" fillId="9" fontId="22" numFmtId="0" xfId="0" applyAlignment="1" applyBorder="1" applyFont="1">
      <alignment shrinkToFit="0" vertical="top" wrapText="1"/>
    </xf>
    <xf borderId="62" fillId="0" fontId="8" numFmtId="0" xfId="0" applyBorder="1" applyFont="1"/>
    <xf borderId="63" fillId="0" fontId="8" numFmtId="0" xfId="0" applyBorder="1" applyFont="1"/>
    <xf borderId="64" fillId="4" fontId="18" numFmtId="0" xfId="0" applyAlignment="1" applyBorder="1" applyFont="1">
      <alignment shrinkToFit="0" vertical="center" wrapText="0"/>
    </xf>
    <xf borderId="65" fillId="4" fontId="18" numFmtId="0" xfId="0" applyAlignment="1" applyBorder="1" applyFont="1">
      <alignment shrinkToFit="0" vertical="center" wrapText="0"/>
    </xf>
    <xf borderId="0" fillId="4" fontId="18" numFmtId="0" xfId="0" applyAlignment="1" applyFont="1">
      <alignment shrinkToFit="0" vertical="center" wrapText="0"/>
    </xf>
    <xf borderId="66" fillId="0" fontId="8" numFmtId="0" xfId="0" applyBorder="1" applyFont="1"/>
    <xf borderId="67" fillId="0" fontId="8" numFmtId="0" xfId="0" applyBorder="1" applyFont="1"/>
    <xf borderId="68" fillId="15" fontId="18" numFmtId="0" xfId="0" applyAlignment="1" applyBorder="1" applyFont="1">
      <alignment shrinkToFit="0" vertical="center" wrapText="0"/>
    </xf>
    <xf borderId="69" fillId="15" fontId="18" numFmtId="0" xfId="0" applyAlignment="1" applyBorder="1" applyFont="1">
      <alignment shrinkToFit="0" vertical="center" wrapText="0"/>
    </xf>
    <xf borderId="0" fillId="15" fontId="18" numFmtId="0" xfId="0" applyAlignment="1" applyFont="1">
      <alignment shrinkToFit="0" vertical="center" wrapText="0"/>
    </xf>
    <xf borderId="48" fillId="15" fontId="27" numFmtId="0" xfId="0" applyAlignment="1" applyBorder="1" applyFont="1">
      <alignment horizontal="right" shrinkToFit="0" vertical="center" wrapText="0"/>
    </xf>
    <xf borderId="48" fillId="4" fontId="18" numFmtId="0" xfId="0" applyAlignment="1" applyBorder="1" applyFont="1">
      <alignment shrinkToFit="0" vertical="center" wrapText="0"/>
    </xf>
    <xf borderId="49" fillId="4" fontId="18" numFmtId="0" xfId="0" applyAlignment="1" applyBorder="1" applyFont="1">
      <alignment shrinkToFit="0" vertical="center" wrapText="0"/>
    </xf>
    <xf borderId="52" fillId="15" fontId="18" numFmtId="0" xfId="0" applyAlignment="1" applyBorder="1" applyFont="1">
      <alignment shrinkToFit="0" vertical="center" wrapText="0"/>
    </xf>
    <xf borderId="49" fillId="15" fontId="18" numFmtId="0" xfId="0" applyAlignment="1" applyBorder="1" applyFont="1">
      <alignment shrinkToFit="0" vertical="center" wrapText="0"/>
    </xf>
    <xf borderId="52" fillId="4" fontId="27" numFmtId="0" xfId="0" applyAlignment="1" applyBorder="1" applyFont="1">
      <alignment horizontal="right" shrinkToFit="0" vertical="center" wrapText="0"/>
    </xf>
    <xf borderId="49" fillId="4" fontId="36" numFmtId="0" xfId="0" applyAlignment="1" applyBorder="1" applyFont="1">
      <alignment shrinkToFit="0" vertical="center" wrapText="0"/>
    </xf>
    <xf borderId="49" fillId="15" fontId="36" numFmtId="49" xfId="0" applyAlignment="1" applyBorder="1" applyFont="1" applyNumberFormat="1">
      <alignment shrinkToFit="0" vertical="center" wrapText="0"/>
    </xf>
    <xf borderId="49" fillId="15" fontId="18" numFmtId="49" xfId="0" applyAlignment="1" applyBorder="1" applyFont="1" applyNumberFormat="1">
      <alignment shrinkToFit="0" vertical="center" wrapText="0"/>
    </xf>
    <xf borderId="0" fillId="4" fontId="18" numFmtId="0" xfId="0" applyAlignment="1" applyFont="1">
      <alignment readingOrder="0" shrinkToFit="0" vertical="center" wrapText="0"/>
    </xf>
    <xf borderId="53" fillId="4" fontId="18" numFmtId="0" xfId="0" applyAlignment="1" applyBorder="1" applyFont="1">
      <alignment shrinkToFit="0" vertical="center" wrapText="0"/>
    </xf>
    <xf borderId="49" fillId="15" fontId="18" numFmtId="0" xfId="0" applyAlignment="1" applyBorder="1" applyFont="1">
      <alignment shrinkToFit="0" vertical="center" wrapText="0"/>
    </xf>
    <xf borderId="0" fillId="15" fontId="18" numFmtId="0" xfId="0" applyAlignment="1" applyFont="1">
      <alignment readingOrder="0" shrinkToFit="0" vertical="center" wrapText="0"/>
    </xf>
    <xf borderId="70" fillId="0" fontId="8" numFmtId="0" xfId="0" applyBorder="1" applyFont="1"/>
    <xf borderId="71" fillId="0" fontId="8" numFmtId="0" xfId="0" applyBorder="1" applyFont="1"/>
    <xf borderId="72" fillId="0" fontId="8" numFmtId="0" xfId="0" applyBorder="1" applyFont="1"/>
    <xf borderId="73" fillId="4" fontId="27" numFmtId="0" xfId="0" applyAlignment="1" applyBorder="1" applyFont="1">
      <alignment horizontal="right" shrinkToFit="0" vertical="center" wrapText="0"/>
    </xf>
    <xf borderId="74" fillId="4" fontId="27" numFmtId="0" xfId="0" applyAlignment="1" applyBorder="1" applyFont="1">
      <alignment shrinkToFit="0" vertical="center" wrapText="0"/>
    </xf>
    <xf borderId="74" fillId="4" fontId="37" numFmtId="0" xfId="0" applyAlignment="1" applyBorder="1" applyFont="1">
      <alignment shrinkToFit="0" vertical="center" wrapText="0"/>
    </xf>
    <xf borderId="74" fillId="4" fontId="18" numFmtId="0" xfId="0" applyAlignment="1" applyBorder="1" applyFont="1">
      <alignment shrinkToFit="0" vertical="center" wrapText="0"/>
    </xf>
    <xf borderId="74" fillId="4" fontId="27" numFmtId="49" xfId="0" applyAlignment="1" applyBorder="1" applyFont="1" applyNumberFormat="1">
      <alignment shrinkToFit="0" vertical="center" wrapText="0"/>
    </xf>
    <xf borderId="75" fillId="4" fontId="18" numFmtId="0" xfId="0" applyAlignment="1" applyBorder="1" applyFont="1">
      <alignment shrinkToFit="0" vertical="center" wrapText="0"/>
    </xf>
    <xf borderId="73" fillId="15" fontId="27" numFmtId="0" xfId="0" applyAlignment="1" applyBorder="1" applyFont="1">
      <alignment horizontal="right" shrinkToFit="0" vertical="center" wrapText="0"/>
    </xf>
    <xf borderId="74" fillId="15" fontId="27" numFmtId="0" xfId="0" applyAlignment="1" applyBorder="1" applyFont="1">
      <alignment shrinkToFit="0" vertical="center" wrapText="0"/>
    </xf>
    <xf borderId="74" fillId="15" fontId="38" numFmtId="0" xfId="0" applyAlignment="1" applyBorder="1" applyFont="1">
      <alignment shrinkToFit="0" vertical="center" wrapText="0"/>
    </xf>
    <xf borderId="74" fillId="15" fontId="18" numFmtId="0" xfId="0" applyAlignment="1" applyBorder="1" applyFont="1">
      <alignment shrinkToFit="0" vertical="center" wrapText="0"/>
    </xf>
    <xf borderId="74" fillId="15" fontId="27" numFmtId="49" xfId="0" applyAlignment="1" applyBorder="1" applyFont="1" applyNumberFormat="1">
      <alignment shrinkToFit="0" vertical="center" wrapText="0"/>
    </xf>
    <xf borderId="75" fillId="15" fontId="18" numFmtId="0" xfId="0" applyAlignment="1" applyBorder="1" applyFont="1">
      <alignment shrinkToFit="0" vertical="center" wrapText="0"/>
    </xf>
    <xf borderId="76" fillId="9" fontId="18" numFmtId="0" xfId="0" applyAlignment="1" applyBorder="1" applyFont="1">
      <alignment shrinkToFit="0" vertical="bottom" wrapText="1"/>
    </xf>
    <xf borderId="30" fillId="9" fontId="33" numFmtId="0" xfId="0" applyAlignment="1" applyBorder="1" applyFont="1">
      <alignment horizontal="center" shrinkToFit="0" vertical="bottom" wrapText="1"/>
    </xf>
    <xf borderId="77" fillId="15" fontId="27" numFmtId="0" xfId="0" applyAlignment="1" applyBorder="1" applyFont="1">
      <alignment horizontal="right" shrinkToFit="0" vertical="center" wrapText="0"/>
    </xf>
    <xf borderId="78" fillId="15" fontId="27" numFmtId="0" xfId="0" applyAlignment="1" applyBorder="1" applyFont="1">
      <alignment shrinkToFit="0" vertical="center" wrapText="0"/>
    </xf>
    <xf borderId="78" fillId="15" fontId="39" numFmtId="0" xfId="0" applyAlignment="1" applyBorder="1" applyFont="1">
      <alignment shrinkToFit="0" vertical="center" wrapText="0"/>
    </xf>
    <xf borderId="78" fillId="15" fontId="18" numFmtId="0" xfId="0" applyAlignment="1" applyBorder="1" applyFont="1">
      <alignment shrinkToFit="0" vertical="center" wrapText="0"/>
    </xf>
    <xf borderId="78" fillId="15" fontId="27" numFmtId="49" xfId="0" applyAlignment="1" applyBorder="1" applyFont="1" applyNumberFormat="1">
      <alignment shrinkToFit="0" vertical="center" wrapText="0"/>
    </xf>
    <xf borderId="79" fillId="15" fontId="18" numFmtId="0" xfId="0" applyAlignment="1" applyBorder="1" applyFont="1">
      <alignment shrinkToFit="0" vertical="center" wrapText="0"/>
    </xf>
    <xf borderId="36" fillId="9" fontId="18" numFmtId="0" xfId="0" applyAlignment="1" applyBorder="1" applyFont="1">
      <alignment shrinkToFit="0" vertical="top" wrapText="1"/>
    </xf>
    <xf borderId="30" fillId="12" fontId="18" numFmtId="0" xfId="0" applyAlignment="1" applyBorder="1" applyFont="1">
      <alignment vertical="bottom"/>
    </xf>
    <xf borderId="36" fillId="12" fontId="18" numFmtId="0" xfId="0" applyAlignment="1" applyBorder="1" applyFont="1">
      <alignment shrinkToFit="0" vertical="top" wrapText="1"/>
    </xf>
    <xf borderId="80" fillId="4" fontId="27" numFmtId="0" xfId="0" applyAlignment="1" applyBorder="1" applyFont="1">
      <alignment horizontal="right" shrinkToFit="0" vertical="center" wrapText="0"/>
    </xf>
    <xf borderId="81" fillId="4" fontId="18" numFmtId="0" xfId="0" applyAlignment="1" applyBorder="1" applyFont="1">
      <alignment shrinkToFit="0" vertical="center" wrapText="0"/>
    </xf>
    <xf borderId="82" fillId="15" fontId="27" numFmtId="0" xfId="0" applyAlignment="1" applyBorder="1" applyFont="1">
      <alignment horizontal="right" shrinkToFit="0" vertical="center" wrapText="0"/>
    </xf>
    <xf borderId="83" fillId="15" fontId="18" numFmtId="0" xfId="0" applyAlignment="1" applyBorder="1" applyFont="1">
      <alignment shrinkToFit="0" vertical="center" wrapText="0"/>
    </xf>
    <xf borderId="82" fillId="15" fontId="18" numFmtId="0" xfId="0" applyAlignment="1" applyBorder="1" applyFont="1">
      <alignment shrinkToFit="0" vertical="center" wrapText="0"/>
    </xf>
    <xf borderId="82" fillId="4" fontId="27" numFmtId="0" xfId="0" applyAlignment="1" applyBorder="1" applyFont="1">
      <alignment horizontal="right" shrinkToFit="0" vertical="center" wrapText="0"/>
    </xf>
    <xf borderId="83" fillId="4" fontId="18" numFmtId="0" xfId="0" applyAlignment="1" applyBorder="1" applyFont="1">
      <alignment shrinkToFit="0" vertical="center" wrapText="0"/>
    </xf>
    <xf borderId="80" fillId="15" fontId="27" numFmtId="0" xfId="0" applyAlignment="1" applyBorder="1" applyFont="1">
      <alignment horizontal="right" shrinkToFit="0" vertical="center" wrapText="0"/>
    </xf>
    <xf borderId="81" fillId="15" fontId="18" numFmtId="0" xfId="0" applyAlignment="1" applyBorder="1" applyFont="1">
      <alignment shrinkToFit="0" vertical="center" wrapText="0"/>
    </xf>
    <xf borderId="84" fillId="15" fontId="27" numFmtId="0" xfId="0" applyAlignment="1" applyBorder="1" applyFont="1">
      <alignment horizontal="right" shrinkToFit="0" vertical="center" wrapText="0"/>
    </xf>
    <xf borderId="74" fillId="15" fontId="28" numFmtId="0" xfId="0" applyAlignment="1" applyBorder="1" applyFont="1">
      <alignment shrinkToFit="0" vertical="center" wrapText="0"/>
    </xf>
    <xf borderId="85" fillId="15" fontId="18" numFmtId="0" xfId="0" applyAlignment="1" applyBorder="1" applyFont="1">
      <alignment shrinkToFit="0" vertical="center" wrapText="0"/>
    </xf>
    <xf borderId="84" fillId="4" fontId="27" numFmtId="0" xfId="0" applyAlignment="1" applyBorder="1" applyFont="1">
      <alignment horizontal="right" shrinkToFit="0" vertical="center" wrapText="0"/>
    </xf>
    <xf borderId="74" fillId="4" fontId="28" numFmtId="0" xfId="0" applyAlignment="1" applyBorder="1" applyFont="1">
      <alignment shrinkToFit="0" vertical="center" wrapText="0"/>
    </xf>
    <xf borderId="85" fillId="4" fontId="18" numFmtId="0" xfId="0" applyAlignment="1" applyBorder="1" applyFont="1">
      <alignment shrinkToFit="0" vertical="center" wrapText="0"/>
    </xf>
    <xf borderId="86" fillId="15" fontId="27" numFmtId="0" xfId="0" applyAlignment="1" applyBorder="1" applyFont="1">
      <alignment horizontal="right" shrinkToFit="0" vertical="center" wrapText="0"/>
    </xf>
    <xf borderId="87" fillId="15" fontId="27" numFmtId="0" xfId="0" applyAlignment="1" applyBorder="1" applyFont="1">
      <alignment shrinkToFit="0" vertical="center" wrapText="0"/>
    </xf>
    <xf borderId="87" fillId="15" fontId="40" numFmtId="0" xfId="0" applyAlignment="1" applyBorder="1" applyFont="1">
      <alignment shrinkToFit="0" vertical="center" wrapText="0"/>
    </xf>
    <xf borderId="87" fillId="15" fontId="28" numFmtId="0" xfId="0" applyAlignment="1" applyBorder="1" applyFont="1">
      <alignment shrinkToFit="0" vertical="center" wrapText="0"/>
    </xf>
    <xf borderId="87" fillId="15" fontId="27" numFmtId="49" xfId="0" applyAlignment="1" applyBorder="1" applyFont="1" applyNumberFormat="1">
      <alignment shrinkToFit="0" vertical="center" wrapText="0"/>
    </xf>
    <xf borderId="88" fillId="15" fontId="18" numFmtId="0" xfId="0" applyAlignment="1" applyBorder="1" applyFont="1">
      <alignment shrinkToFit="0" vertical="center" wrapText="0"/>
    </xf>
    <xf borderId="76" fillId="7" fontId="18" numFmtId="0" xfId="0" applyAlignment="1" applyBorder="1" applyFont="1">
      <alignment vertical="bottom"/>
    </xf>
    <xf borderId="30" fillId="7" fontId="33" numFmtId="0" xfId="0" applyAlignment="1" applyBorder="1" applyFont="1">
      <alignment horizontal="center" vertical="bottom"/>
    </xf>
    <xf borderId="36" fillId="7" fontId="18" numFmtId="0" xfId="0" applyAlignment="1" applyBorder="1" applyFont="1">
      <alignment shrinkToFit="0" vertical="top" wrapText="1"/>
    </xf>
    <xf borderId="44" fillId="16" fontId="18" numFmtId="0" xfId="0" applyAlignment="1" applyBorder="1" applyFill="1" applyFont="1">
      <alignment vertical="bottom"/>
    </xf>
    <xf borderId="61" fillId="16" fontId="18" numFmtId="0" xfId="0" applyAlignment="1" applyBorder="1" applyFont="1">
      <alignment shrinkToFit="0" vertical="top" wrapText="1"/>
    </xf>
    <xf borderId="53" fillId="15" fontId="18" numFmtId="0" xfId="0" applyAlignment="1" applyBorder="1" applyFont="1">
      <alignment shrinkToFit="0" vertical="center" wrapText="0"/>
    </xf>
    <xf borderId="53" fillId="4" fontId="27" numFmtId="0" xfId="0" applyAlignment="1" applyBorder="1" applyFont="1">
      <alignment shrinkToFit="0" vertical="center" wrapText="0"/>
    </xf>
    <xf borderId="84" fillId="4" fontId="18" numFmtId="0" xfId="0" applyAlignment="1" applyBorder="1" applyFont="1">
      <alignment shrinkToFit="0" vertical="center" wrapText="0"/>
    </xf>
    <xf borderId="74" fillId="4" fontId="18" numFmtId="49" xfId="0" applyAlignment="1" applyBorder="1" applyFont="1" applyNumberFormat="1">
      <alignment shrinkToFit="0" vertical="center" wrapText="0"/>
    </xf>
    <xf borderId="89" fillId="4" fontId="28" numFmtId="0" xfId="0" applyAlignment="1" applyBorder="1" applyFont="1">
      <alignment shrinkToFit="0" vertical="center" wrapText="0"/>
    </xf>
    <xf borderId="90" fillId="15" fontId="18" numFmtId="0" xfId="0" applyAlignment="1" applyBorder="1" applyFont="1">
      <alignment shrinkToFit="0" vertical="center" wrapText="0"/>
    </xf>
    <xf borderId="91" fillId="15" fontId="27" numFmtId="0" xfId="0" applyAlignment="1" applyBorder="1" applyFont="1">
      <alignment shrinkToFit="0" vertical="center" wrapText="0"/>
    </xf>
    <xf borderId="92" fillId="15" fontId="18" numFmtId="0" xfId="0" applyAlignment="1" applyBorder="1" applyFont="1">
      <alignment shrinkToFit="0" vertical="center" wrapText="0"/>
    </xf>
    <xf borderId="93" fillId="15" fontId="18" numFmtId="49" xfId="0" applyAlignment="1" applyBorder="1" applyFont="1" applyNumberFormat="1">
      <alignment shrinkToFit="0" vertical="center" wrapText="0"/>
    </xf>
    <xf borderId="91" fillId="15" fontId="18" numFmtId="0" xfId="0" applyAlignment="1" applyBorder="1" applyFont="1">
      <alignment shrinkToFit="0" vertical="center" wrapText="0"/>
    </xf>
    <xf borderId="94" fillId="15" fontId="18" numFmtId="0" xfId="0" applyAlignment="1" applyBorder="1" applyFont="1">
      <alignment shrinkToFit="0" vertical="center" wrapText="0"/>
    </xf>
    <xf borderId="95" fillId="4" fontId="27" numFmtId="0" xfId="0" applyAlignment="1" applyBorder="1" applyFont="1">
      <alignment horizontal="right" shrinkToFit="0" vertical="center" wrapText="0"/>
    </xf>
    <xf borderId="96" fillId="4" fontId="27" numFmtId="0" xfId="0" applyAlignment="1" applyBorder="1" applyFont="1">
      <alignment shrinkToFit="0" vertical="center" wrapText="0"/>
    </xf>
    <xf borderId="96" fillId="4" fontId="41" numFmtId="0" xfId="0" applyAlignment="1" applyBorder="1" applyFont="1">
      <alignment shrinkToFit="0" vertical="center" wrapText="0"/>
    </xf>
    <xf borderId="97" fillId="4" fontId="28" numFmtId="0" xfId="0" applyAlignment="1" applyBorder="1" applyFont="1">
      <alignment shrinkToFit="0" vertical="center" wrapText="0"/>
    </xf>
    <xf borderId="96" fillId="4" fontId="27" numFmtId="49" xfId="0" applyAlignment="1" applyBorder="1" applyFont="1" applyNumberFormat="1">
      <alignment shrinkToFit="0" vertical="center" wrapText="0"/>
    </xf>
    <xf borderId="98" fillId="4" fontId="18" numFmtId="0" xfId="0" applyAlignment="1" applyBorder="1" applyFont="1">
      <alignment shrinkToFit="0" vertical="center" wrapText="0"/>
    </xf>
    <xf borderId="76" fillId="16" fontId="18" numFmtId="0" xfId="0" applyAlignment="1" applyBorder="1" applyFont="1">
      <alignment vertical="bottom"/>
    </xf>
    <xf borderId="30" fillId="16" fontId="33" numFmtId="0" xfId="0" applyAlignment="1" applyBorder="1" applyFont="1">
      <alignment horizontal="center" vertical="bottom"/>
    </xf>
    <xf borderId="36" fillId="16" fontId="18" numFmtId="0" xfId="0" applyAlignment="1" applyBorder="1" applyFont="1">
      <alignment shrinkToFit="0" vertical="top" wrapText="1"/>
    </xf>
    <xf borderId="76" fillId="0" fontId="42" numFmtId="0" xfId="0" applyAlignment="1" applyBorder="1" applyFont="1">
      <alignment shrinkToFit="0" wrapText="1"/>
    </xf>
    <xf borderId="0" fillId="0" fontId="43" numFmtId="0" xfId="0" applyAlignment="1" applyFont="1">
      <alignment shrinkToFit="0" wrapText="1"/>
    </xf>
    <xf borderId="99" fillId="8" fontId="43" numFmtId="0" xfId="0" applyAlignment="1" applyBorder="1" applyFont="1">
      <alignment shrinkToFit="0" wrapText="1"/>
    </xf>
    <xf borderId="100" fillId="8" fontId="43" numFmtId="165" xfId="0" applyAlignment="1" applyBorder="1" applyFont="1" applyNumberFormat="1">
      <alignment shrinkToFit="0" wrapText="1"/>
    </xf>
    <xf borderId="100" fillId="8" fontId="43" numFmtId="164" xfId="0" applyAlignment="1" applyBorder="1" applyFont="1" applyNumberFormat="1">
      <alignment shrinkToFit="0" wrapText="1"/>
    </xf>
    <xf borderId="100" fillId="8" fontId="43" numFmtId="166" xfId="0" applyAlignment="1" applyBorder="1" applyFont="1" applyNumberFormat="1">
      <alignment shrinkToFit="0" wrapText="1"/>
    </xf>
    <xf borderId="100" fillId="8" fontId="43" numFmtId="0" xfId="0" applyAlignment="1" applyBorder="1" applyFont="1">
      <alignment shrinkToFit="0" wrapText="1"/>
    </xf>
    <xf borderId="101" fillId="8" fontId="43" numFmtId="10" xfId="0" applyAlignment="1" applyBorder="1" applyFont="1" applyNumberFormat="1">
      <alignment shrinkToFit="0" wrapText="1"/>
    </xf>
    <xf borderId="102" fillId="9" fontId="43" numFmtId="0" xfId="0" applyAlignment="1" applyBorder="1" applyFont="1">
      <alignment shrinkToFit="0" wrapText="1"/>
    </xf>
    <xf borderId="38" fillId="9" fontId="43" numFmtId="165" xfId="0" applyAlignment="1" applyBorder="1" applyFont="1" applyNumberFormat="1">
      <alignment shrinkToFit="0" wrapText="1"/>
    </xf>
    <xf borderId="38" fillId="9" fontId="43" numFmtId="164" xfId="0" applyAlignment="1" applyBorder="1" applyFont="1" applyNumberFormat="1">
      <alignment shrinkToFit="0" wrapText="1"/>
    </xf>
    <xf borderId="38" fillId="9" fontId="43" numFmtId="166" xfId="0" applyAlignment="1" applyBorder="1" applyFont="1" applyNumberFormat="1">
      <alignment shrinkToFit="0" wrapText="1"/>
    </xf>
    <xf borderId="39" fillId="9" fontId="43" numFmtId="10" xfId="0" applyAlignment="1" applyBorder="1" applyFont="1" applyNumberFormat="1">
      <alignment shrinkToFit="0" wrapText="1"/>
    </xf>
    <xf borderId="102" fillId="7" fontId="43" numFmtId="0" xfId="0" applyAlignment="1" applyBorder="1" applyFont="1">
      <alignment shrinkToFit="0" wrapText="1"/>
    </xf>
    <xf borderId="38" fillId="7" fontId="43" numFmtId="165" xfId="0" applyAlignment="1" applyBorder="1" applyFont="1" applyNumberFormat="1">
      <alignment shrinkToFit="0" wrapText="1"/>
    </xf>
    <xf borderId="38" fillId="7" fontId="43" numFmtId="164" xfId="0" applyAlignment="1" applyBorder="1" applyFont="1" applyNumberFormat="1">
      <alignment shrinkToFit="0" wrapText="1"/>
    </xf>
    <xf borderId="38" fillId="7" fontId="43" numFmtId="166" xfId="0" applyAlignment="1" applyBorder="1" applyFont="1" applyNumberFormat="1">
      <alignment shrinkToFit="0" wrapText="1"/>
    </xf>
    <xf borderId="39" fillId="7" fontId="43" numFmtId="10" xfId="0" applyAlignment="1" applyBorder="1" applyFont="1" applyNumberFormat="1">
      <alignment shrinkToFit="0" wrapText="1"/>
    </xf>
    <xf borderId="102" fillId="17" fontId="43" numFmtId="0" xfId="0" applyAlignment="1" applyBorder="1" applyFill="1" applyFont="1">
      <alignment shrinkToFit="0" wrapText="1"/>
    </xf>
    <xf borderId="38" fillId="17" fontId="43" numFmtId="165" xfId="0" applyAlignment="1" applyBorder="1" applyFont="1" applyNumberFormat="1">
      <alignment shrinkToFit="0" wrapText="1"/>
    </xf>
    <xf borderId="38" fillId="17" fontId="43" numFmtId="164" xfId="0" applyAlignment="1" applyBorder="1" applyFont="1" applyNumberFormat="1">
      <alignment shrinkToFit="0" wrapText="1"/>
    </xf>
    <xf borderId="38" fillId="17" fontId="43" numFmtId="166" xfId="0" applyAlignment="1" applyBorder="1" applyFont="1" applyNumberFormat="1">
      <alignment shrinkToFit="0" wrapText="1"/>
    </xf>
    <xf borderId="39" fillId="17" fontId="43" numFmtId="10" xfId="0" applyAlignment="1" applyBorder="1" applyFont="1" applyNumberFormat="1">
      <alignment shrinkToFit="0" wrapText="1"/>
    </xf>
    <xf borderId="103" fillId="7" fontId="43" numFmtId="0" xfId="0" applyAlignment="1" applyBorder="1" applyFont="1">
      <alignment shrinkToFit="0" wrapText="1"/>
    </xf>
    <xf borderId="43" fillId="7" fontId="43" numFmtId="165" xfId="0" applyAlignment="1" applyBorder="1" applyFont="1" applyNumberFormat="1">
      <alignment shrinkToFit="0" wrapText="1"/>
    </xf>
    <xf borderId="43" fillId="7" fontId="43" numFmtId="164" xfId="0" applyAlignment="1" applyBorder="1" applyFont="1" applyNumberFormat="1">
      <alignment shrinkToFit="0" wrapText="1"/>
    </xf>
    <xf borderId="43" fillId="7" fontId="43" numFmtId="166" xfId="0" applyAlignment="1" applyBorder="1" applyFont="1" applyNumberFormat="1">
      <alignment shrinkToFit="0" wrapText="1"/>
    </xf>
    <xf borderId="104" fillId="7" fontId="43" numFmtId="10" xfId="0" applyAlignment="1" applyBorder="1" applyFont="1" applyNumberFormat="1">
      <alignment shrinkToFit="0" wrapText="1"/>
    </xf>
    <xf borderId="105" fillId="0" fontId="15" numFmtId="0" xfId="0" applyAlignment="1" applyBorder="1" applyFont="1">
      <alignment readingOrder="0"/>
    </xf>
    <xf borderId="0" fillId="0" fontId="15" numFmtId="0" xfId="0" applyFont="1"/>
    <xf borderId="76" fillId="0" fontId="15" numFmtId="0" xfId="0" applyAlignment="1" applyBorder="1" applyFont="1">
      <alignment readingOrder="0"/>
    </xf>
    <xf borderId="76" fillId="0" fontId="15" numFmtId="0" xfId="0" applyBorder="1" applyFont="1"/>
    <xf borderId="76" fillId="0" fontId="15" numFmtId="164" xfId="0" applyAlignment="1" applyBorder="1" applyFont="1" applyNumberFormat="1">
      <alignment readingOrder="0"/>
    </xf>
    <xf borderId="106" fillId="18" fontId="44" numFmtId="0" xfId="0" applyAlignment="1" applyBorder="1" applyFill="1" applyFont="1">
      <alignment horizontal="center" vertical="center"/>
    </xf>
    <xf borderId="107" fillId="0" fontId="8" numFmtId="0" xfId="0" applyBorder="1" applyFont="1"/>
    <xf borderId="108" fillId="0" fontId="8" numFmtId="0" xfId="0" applyBorder="1" applyFont="1"/>
    <xf borderId="109" fillId="18" fontId="45" numFmtId="0" xfId="0" applyAlignment="1" applyBorder="1" applyFont="1">
      <alignment horizontal="center" shrinkToFit="0" vertical="center" wrapText="1"/>
    </xf>
    <xf borderId="109" fillId="19" fontId="46" numFmtId="0" xfId="0" applyAlignment="1" applyBorder="1" applyFill="1" applyFont="1">
      <alignment readingOrder="0" shrinkToFit="0" vertical="center" wrapText="1"/>
    </xf>
    <xf borderId="109" fillId="19" fontId="47" numFmtId="167" xfId="0" applyAlignment="1" applyBorder="1" applyFont="1" applyNumberFormat="1">
      <alignment readingOrder="0" shrinkToFit="0" vertical="center" wrapText="1"/>
    </xf>
    <xf borderId="109" fillId="19" fontId="47" numFmtId="0" xfId="0" applyAlignment="1" applyBorder="1" applyFont="1">
      <alignment horizontal="center" readingOrder="0" shrinkToFit="0" vertical="center" wrapText="1"/>
    </xf>
    <xf borderId="109" fillId="19" fontId="47" numFmtId="0" xfId="0" applyAlignment="1" applyBorder="1" applyFont="1">
      <alignment shrinkToFit="0" vertical="center" wrapText="1"/>
    </xf>
    <xf borderId="109" fillId="4" fontId="48" numFmtId="0" xfId="0" applyAlignment="1" applyBorder="1" applyFont="1">
      <alignment readingOrder="0" shrinkToFit="0" vertical="center" wrapText="1"/>
    </xf>
    <xf borderId="109" fillId="4" fontId="47" numFmtId="167" xfId="0" applyAlignment="1" applyBorder="1" applyFont="1" applyNumberFormat="1">
      <alignment readingOrder="0" shrinkToFit="0" vertical="center" wrapText="1"/>
    </xf>
    <xf borderId="38" fillId="4" fontId="20" numFmtId="0" xfId="0" applyAlignment="1" applyBorder="1" applyFont="1">
      <alignment horizontal="center" shrinkToFit="0" vertical="center" wrapText="1"/>
    </xf>
    <xf borderId="109" fillId="4" fontId="47" numFmtId="0" xfId="0" applyAlignment="1" applyBorder="1" applyFont="1">
      <alignment horizontal="center" readingOrder="0" shrinkToFit="0" vertical="center" wrapText="1"/>
    </xf>
    <xf borderId="109" fillId="19" fontId="49" numFmtId="0" xfId="0" applyAlignment="1" applyBorder="1" applyFont="1">
      <alignment readingOrder="0" shrinkToFit="0" vertical="center" wrapText="1"/>
    </xf>
    <xf borderId="109" fillId="19" fontId="47" numFmtId="168" xfId="0" applyAlignment="1" applyBorder="1" applyFont="1" applyNumberFormat="1">
      <alignment horizontal="center" readingOrder="0" shrinkToFit="0" vertical="center" wrapText="1"/>
    </xf>
    <xf borderId="109" fillId="4" fontId="47" numFmtId="0" xfId="0" applyAlignment="1" applyBorder="1" applyFont="1">
      <alignment shrinkToFit="0" vertical="center" wrapText="1"/>
    </xf>
    <xf borderId="109" fillId="4" fontId="47" numFmtId="0" xfId="0" applyAlignment="1" applyBorder="1" applyFont="1">
      <alignment readingOrder="0" shrinkToFit="0" vertical="center" wrapText="1"/>
    </xf>
    <xf borderId="109" fillId="19" fontId="47" numFmtId="169" xfId="0" applyAlignment="1" applyBorder="1" applyFont="1" applyNumberFormat="1">
      <alignment readingOrder="0" shrinkToFit="0" vertical="center" wrapText="1"/>
    </xf>
    <xf borderId="109" fillId="19" fontId="47" numFmtId="0" xfId="0" applyAlignment="1" applyBorder="1" applyFont="1">
      <alignment readingOrder="0" shrinkToFit="0" vertical="center" wrapText="1"/>
    </xf>
    <xf borderId="109" fillId="4" fontId="50" numFmtId="0" xfId="0" applyAlignment="1" applyBorder="1" applyFont="1">
      <alignment readingOrder="0" shrinkToFit="0" vertical="center" wrapText="1"/>
    </xf>
    <xf borderId="106" fillId="20" fontId="44" numFmtId="0" xfId="0" applyAlignment="1" applyBorder="1" applyFill="1" applyFont="1">
      <alignment horizontal="center" vertical="center"/>
    </xf>
    <xf borderId="109" fillId="20" fontId="45" numFmtId="0" xfId="0" applyAlignment="1" applyBorder="1" applyFont="1">
      <alignment horizontal="center" shrinkToFit="0" vertical="center" wrapText="1"/>
    </xf>
    <xf borderId="109" fillId="21" fontId="51" numFmtId="0" xfId="0" applyAlignment="1" applyBorder="1" applyFill="1" applyFont="1">
      <alignment readingOrder="0" shrinkToFit="0" vertical="center" wrapText="1"/>
    </xf>
    <xf borderId="109" fillId="21" fontId="47" numFmtId="167" xfId="0" applyAlignment="1" applyBorder="1" applyFont="1" applyNumberFormat="1">
      <alignment readingOrder="0" shrinkToFit="0" vertical="center" wrapText="1"/>
    </xf>
    <xf borderId="109" fillId="21" fontId="47" numFmtId="0" xfId="0" applyAlignment="1" applyBorder="1" applyFont="1">
      <alignment readingOrder="0" shrinkToFit="0" vertical="center" wrapText="1"/>
    </xf>
    <xf borderId="109" fillId="21" fontId="47" numFmtId="0" xfId="0" applyAlignment="1" applyBorder="1" applyFont="1">
      <alignment shrinkToFit="0" vertical="center" wrapText="1"/>
    </xf>
    <xf borderId="109" fillId="21" fontId="52" numFmtId="0" xfId="0" applyAlignment="1" applyBorder="1" applyFont="1">
      <alignment readingOrder="0" shrinkToFit="0" vertical="center" wrapText="1"/>
    </xf>
    <xf borderId="0" fillId="21" fontId="53" numFmtId="0" xfId="0" applyAlignment="1" applyFont="1">
      <alignment readingOrder="0"/>
    </xf>
    <xf borderId="0" fillId="15" fontId="53" numFmtId="0" xfId="0" applyAlignment="1" applyFont="1">
      <alignment readingOrder="0"/>
    </xf>
    <xf borderId="0" fillId="21" fontId="54" numFmtId="0" xfId="0" applyAlignment="1" applyFont="1">
      <alignment readingOrder="0"/>
    </xf>
    <xf borderId="106" fillId="22" fontId="44" numFmtId="0" xfId="0" applyAlignment="1" applyBorder="1" applyFill="1" applyFont="1">
      <alignment horizontal="center" vertical="center"/>
    </xf>
    <xf borderId="109" fillId="23" fontId="55" numFmtId="0" xfId="0" applyAlignment="1" applyBorder="1" applyFill="1" applyFont="1">
      <alignment horizontal="center" shrinkToFit="0" vertical="center" wrapText="1"/>
    </xf>
    <xf borderId="109" fillId="21" fontId="55" numFmtId="0" xfId="0" applyAlignment="1" applyBorder="1" applyFont="1">
      <alignment horizontal="center" shrinkToFit="0" vertical="center" wrapText="1"/>
    </xf>
    <xf borderId="109" fillId="24" fontId="55" numFmtId="0" xfId="0" applyAlignment="1" applyBorder="1" applyFill="1" applyFont="1">
      <alignment horizontal="center" shrinkToFit="0" vertical="center" wrapText="1"/>
    </xf>
    <xf borderId="109" fillId="25" fontId="55" numFmtId="0" xfId="0" applyAlignment="1" applyBorder="1" applyFill="1" applyFont="1">
      <alignment horizontal="center" shrinkToFit="0" vertical="center" wrapText="1"/>
    </xf>
    <xf borderId="109" fillId="26" fontId="55" numFmtId="0" xfId="0" applyAlignment="1" applyBorder="1" applyFill="1" applyFont="1">
      <alignment horizontal="center" shrinkToFit="0" vertical="center" wrapText="1"/>
    </xf>
    <xf borderId="109" fillId="27" fontId="55" numFmtId="0" xfId="0" applyAlignment="1" applyBorder="1" applyFill="1" applyFont="1">
      <alignment horizontal="center" shrinkToFit="0" vertical="center" wrapText="1"/>
    </xf>
    <xf borderId="109" fillId="19" fontId="56" numFmtId="0" xfId="0" applyAlignment="1" applyBorder="1" applyFont="1">
      <alignment horizontal="center" vertical="center"/>
    </xf>
    <xf borderId="109" fillId="21" fontId="56" numFmtId="0" xfId="0" applyAlignment="1" applyBorder="1" applyFont="1">
      <alignment horizontal="center" vertical="center"/>
    </xf>
    <xf borderId="109" fillId="28" fontId="56" numFmtId="9" xfId="0" applyAlignment="1" applyBorder="1" applyFill="1" applyFont="1" applyNumberFormat="1">
      <alignment horizontal="center" vertical="center"/>
    </xf>
    <xf borderId="109" fillId="29" fontId="56" numFmtId="170" xfId="0" applyAlignment="1" applyBorder="1" applyFill="1" applyFont="1" applyNumberFormat="1">
      <alignment horizontal="center" vertical="center"/>
    </xf>
    <xf borderId="109" fillId="30" fontId="56" numFmtId="170" xfId="0" applyAlignment="1" applyBorder="1" applyFill="1" applyFont="1" applyNumberFormat="1">
      <alignment horizontal="center" vertical="center"/>
    </xf>
    <xf borderId="109" fillId="21" fontId="56" numFmtId="170" xfId="0" applyAlignment="1" applyBorder="1" applyFont="1" applyNumberFormat="1">
      <alignment horizontal="center" vertical="center"/>
    </xf>
    <xf borderId="106" fillId="20" fontId="45" numFmtId="0" xfId="0" applyAlignment="1" applyBorder="1" applyFont="1">
      <alignment horizontal="center" vertical="center"/>
    </xf>
    <xf borderId="106" fillId="18" fontId="45" numFmtId="0" xfId="0" applyAlignment="1" applyBorder="1" applyFont="1">
      <alignment horizontal="center" vertical="center"/>
    </xf>
    <xf borderId="0" fillId="0" fontId="57" numFmtId="0" xfId="0" applyFont="1"/>
    <xf borderId="0" fillId="3" fontId="58" numFmtId="0" xfId="0" applyAlignment="1" applyFont="1">
      <alignment horizontal="center" readingOrder="0" shrinkToFit="0" wrapText="1"/>
    </xf>
    <xf borderId="9" fillId="3" fontId="59" numFmtId="0" xfId="0" applyAlignment="1" applyBorder="1" applyFont="1">
      <alignment horizontal="center" shrinkToFit="0" vertical="top" wrapText="1"/>
    </xf>
    <xf borderId="0" fillId="2" fontId="1" numFmtId="0" xfId="0" applyAlignment="1" applyFont="1">
      <alignment horizontal="left" readingOrder="0" shrinkToFit="0" wrapText="1"/>
    </xf>
    <xf borderId="6" fillId="3" fontId="9" numFmtId="0" xfId="0" applyAlignment="1" applyBorder="1" applyFont="1">
      <alignment horizontal="left" readingOrder="0" shrinkToFit="0" vertical="top" wrapText="1"/>
    </xf>
    <xf borderId="1" fillId="2" fontId="60" numFmtId="0" xfId="0" applyAlignment="1" applyBorder="1" applyFont="1">
      <alignment readingOrder="0" shrinkToFit="0" wrapText="1"/>
    </xf>
    <xf borderId="2" fillId="2" fontId="60" numFmtId="0" xfId="0" applyAlignment="1" applyBorder="1" applyFont="1">
      <alignment readingOrder="0" shrinkToFit="0" wrapText="1"/>
    </xf>
    <xf borderId="110" fillId="0" fontId="8" numFmtId="0" xfId="0" applyBorder="1" applyFont="1"/>
    <xf borderId="111" fillId="0" fontId="8" numFmtId="0" xfId="0" applyBorder="1" applyFont="1"/>
    <xf borderId="112" fillId="0" fontId="8" numFmtId="0" xfId="0" applyBorder="1" applyFont="1"/>
    <xf borderId="113" fillId="6" fontId="61" numFmtId="0" xfId="0" applyAlignment="1" applyBorder="1" applyFont="1">
      <alignment horizontal="left" readingOrder="0" shrinkToFit="0" vertical="center" wrapText="1"/>
    </xf>
    <xf borderId="114" fillId="6" fontId="61" numFmtId="0" xfId="0" applyAlignment="1" applyBorder="1" applyFont="1">
      <alignment horizontal="left" readingOrder="0" shrinkToFit="0" vertical="center" wrapText="1"/>
    </xf>
    <xf borderId="115" fillId="0" fontId="8" numFmtId="0" xfId="0" applyBorder="1" applyFont="1"/>
    <xf borderId="116" fillId="6" fontId="61" numFmtId="0" xfId="0" applyAlignment="1" applyBorder="1" applyFont="1">
      <alignment horizontal="left" readingOrder="0" shrinkToFit="0" vertical="center" wrapText="1"/>
    </xf>
    <xf borderId="113" fillId="4" fontId="61" numFmtId="0" xfId="0" applyAlignment="1" applyBorder="1" applyFont="1">
      <alignment horizontal="left" readingOrder="0" shrinkToFit="0" vertical="center" wrapText="1"/>
    </xf>
    <xf borderId="114" fillId="4" fontId="61" numFmtId="0" xfId="0" applyAlignment="1" applyBorder="1" applyFont="1">
      <alignment horizontal="left" readingOrder="0" shrinkToFit="0" vertical="center" wrapText="1"/>
    </xf>
    <xf borderId="116" fillId="4" fontId="61" numFmtId="0" xfId="0" applyAlignment="1" applyBorder="1" applyFont="1">
      <alignment horizontal="left" readingOrder="0" shrinkToFit="0" vertical="center" wrapText="1"/>
    </xf>
    <xf borderId="116" fillId="6" fontId="61" numFmtId="0" xfId="0" applyAlignment="1" applyBorder="1" applyFont="1">
      <alignment horizontal="left" shrinkToFit="0" vertical="center" wrapText="1"/>
    </xf>
    <xf borderId="113" fillId="0" fontId="61" numFmtId="0" xfId="0" applyAlignment="1" applyBorder="1" applyFont="1">
      <alignment horizontal="left" readingOrder="0" shrinkToFit="0" vertical="center" wrapText="1"/>
    </xf>
    <xf borderId="114" fillId="0" fontId="61" numFmtId="0" xfId="0" applyAlignment="1" applyBorder="1" applyFont="1">
      <alignment horizontal="left" readingOrder="0" shrinkToFit="0" vertical="center" wrapText="1"/>
    </xf>
    <xf borderId="116" fillId="0" fontId="61" numFmtId="0" xfId="0" applyAlignment="1" applyBorder="1" applyFont="1">
      <alignment horizontal="left" readingOrder="0" shrinkToFit="0" vertical="center" wrapText="1"/>
    </xf>
    <xf borderId="117" fillId="0" fontId="61" numFmtId="0" xfId="0" applyAlignment="1" applyBorder="1" applyFont="1">
      <alignment horizontal="left" readingOrder="0" shrinkToFit="0" vertical="center" wrapText="1"/>
    </xf>
    <xf borderId="118" fillId="0" fontId="61" numFmtId="0" xfId="0" applyAlignment="1" applyBorder="1" applyFont="1">
      <alignment horizontal="left" readingOrder="0" shrinkToFit="0" vertical="center" wrapText="1"/>
    </xf>
    <xf borderId="119" fillId="0" fontId="8" numFmtId="0" xfId="0" applyBorder="1" applyFont="1"/>
    <xf borderId="120" fillId="0" fontId="61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readingOrder="0"/>
    </xf>
    <xf borderId="121" fillId="3" fontId="62" numFmtId="0" xfId="0" applyAlignment="1" applyBorder="1" applyFont="1">
      <alignment horizontal="center" shrinkToFit="0" vertical="top" wrapText="1"/>
    </xf>
    <xf borderId="122" fillId="0" fontId="8" numFmtId="0" xfId="0" applyBorder="1" applyFont="1"/>
    <xf borderId="123" fillId="0" fontId="8" numFmtId="0" xfId="0" applyBorder="1" applyFont="1"/>
    <xf borderId="0" fillId="4" fontId="63" numFmtId="0" xfId="0" applyAlignment="1" applyFont="1">
      <alignment horizontal="center" shrinkToFit="0" vertical="top" wrapText="1"/>
    </xf>
    <xf borderId="0" fillId="4" fontId="2" numFmtId="0" xfId="0" applyAlignment="1" applyFont="1">
      <alignment shrinkToFit="0" wrapText="1"/>
    </xf>
    <xf borderId="1" fillId="0" fontId="64" numFmtId="0" xfId="0" applyAlignment="1" applyBorder="1" applyFont="1">
      <alignment horizontal="center" readingOrder="0" shrinkToFit="0" vertical="center" wrapText="1"/>
    </xf>
    <xf borderId="20" fillId="6" fontId="61" numFmtId="0" xfId="0" applyAlignment="1" applyBorder="1" applyFont="1">
      <alignment horizontal="left" readingOrder="0" shrinkToFit="0" vertical="center" wrapText="1"/>
    </xf>
    <xf borderId="20" fillId="0" fontId="61" numFmtId="0" xfId="0" applyAlignment="1" applyBorder="1" applyFont="1">
      <alignment horizontal="left" readingOrder="0" shrinkToFit="0" vertical="center" wrapText="1"/>
    </xf>
    <xf borderId="20" fillId="4" fontId="61" numFmtId="0" xfId="0" applyAlignment="1" applyBorder="1" applyFont="1">
      <alignment horizontal="left" readingOrder="0" shrinkToFit="0" vertical="center" wrapText="1"/>
    </xf>
    <xf borderId="118" fillId="4" fontId="61" numFmtId="0" xfId="0" applyAlignment="1" applyBorder="1" applyFont="1">
      <alignment horizontal="left" readingOrder="0" shrinkToFit="0" vertical="center" wrapText="1"/>
    </xf>
    <xf borderId="28" fillId="4" fontId="61" numFmtId="0" xfId="0" applyAlignment="1" applyBorder="1" applyFont="1">
      <alignment horizontal="left" readingOrder="0" shrinkToFit="0" vertical="center" wrapText="1"/>
    </xf>
    <xf borderId="0" fillId="4" fontId="60" numFmtId="0" xfId="0" applyAlignment="1" applyFont="1">
      <alignment readingOrder="0" shrinkToFit="0" wrapText="1"/>
    </xf>
    <xf borderId="0" fillId="4" fontId="61" numFmtId="0" xfId="0" applyAlignment="1" applyFont="1">
      <alignment horizontal="left" readingOrder="0" shrinkToFit="0" vertical="center" wrapText="1"/>
    </xf>
    <xf borderId="0" fillId="4" fontId="6" numFmtId="0" xfId="0" applyAlignment="1" applyFont="1">
      <alignment horizontal="left" readingOrder="0"/>
    </xf>
    <xf borderId="0" fillId="4" fontId="65" numFmtId="0" xfId="0" applyAlignment="1" applyFont="1">
      <alignment horizontal="center" readingOrder="0"/>
    </xf>
    <xf borderId="0" fillId="4" fontId="66" numFmtId="0" xfId="0" applyAlignment="1" applyFont="1">
      <alignment horizontal="right" readingOrder="0" vertical="top"/>
    </xf>
    <xf borderId="0" fillId="4" fontId="66" numFmtId="0" xfId="0" applyAlignment="1" applyFont="1">
      <alignment readingOrder="0" vertical="top"/>
    </xf>
    <xf borderId="1" fillId="0" fontId="67" numFmtId="0" xfId="0" applyAlignment="1" applyBorder="1" applyFont="1">
      <alignment readingOrder="0" shrinkToFit="0" vertical="center" wrapText="1"/>
    </xf>
    <xf borderId="1" fillId="2" fontId="68" numFmtId="0" xfId="0" applyAlignment="1" applyBorder="1" applyFont="1">
      <alignment readingOrder="0" shrinkToFit="0" wrapText="1"/>
    </xf>
    <xf borderId="2" fillId="2" fontId="68" numFmtId="0" xfId="0" applyAlignment="1" applyBorder="1" applyFont="1">
      <alignment readingOrder="0" shrinkToFit="0" wrapText="1"/>
    </xf>
    <xf borderId="113" fillId="6" fontId="69" numFmtId="0" xfId="0" applyAlignment="1" applyBorder="1" applyFont="1">
      <alignment horizontal="left" readingOrder="0" shrinkToFit="0" vertical="center" wrapText="1"/>
    </xf>
    <xf borderId="114" fillId="6" fontId="69" numFmtId="0" xfId="0" applyAlignment="1" applyBorder="1" applyFont="1">
      <alignment horizontal="left" readingOrder="0" shrinkToFit="0" vertical="center" wrapText="1"/>
    </xf>
    <xf borderId="20" fillId="6" fontId="69" numFmtId="0" xfId="0" applyAlignment="1" applyBorder="1" applyFont="1">
      <alignment horizontal="left" readingOrder="0" shrinkToFit="0" vertical="center" wrapText="1"/>
    </xf>
    <xf borderId="113" fillId="0" fontId="69" numFmtId="0" xfId="0" applyAlignment="1" applyBorder="1" applyFont="1">
      <alignment horizontal="left" readingOrder="0" shrinkToFit="0" vertical="center" wrapText="1"/>
    </xf>
    <xf borderId="114" fillId="0" fontId="69" numFmtId="0" xfId="0" applyAlignment="1" applyBorder="1" applyFont="1">
      <alignment horizontal="left" readingOrder="0" shrinkToFit="0" vertical="center" wrapText="1"/>
    </xf>
    <xf borderId="20" fillId="0" fontId="69" numFmtId="0" xfId="0" applyAlignment="1" applyBorder="1" applyFont="1">
      <alignment horizontal="left" readingOrder="0" shrinkToFit="0" vertical="center" wrapText="1"/>
    </xf>
    <xf borderId="117" fillId="6" fontId="69" numFmtId="0" xfId="0" applyAlignment="1" applyBorder="1" applyFont="1">
      <alignment horizontal="left" readingOrder="0" shrinkToFit="0" vertical="center" wrapText="1"/>
    </xf>
    <xf borderId="118" fillId="6" fontId="69" numFmtId="0" xfId="0" applyAlignment="1" applyBorder="1" applyFont="1">
      <alignment horizontal="left" readingOrder="0" shrinkToFit="0" vertical="center" wrapText="1"/>
    </xf>
    <xf borderId="28" fillId="6" fontId="69" numFmtId="0" xfId="0" applyAlignment="1" applyBorder="1" applyFont="1">
      <alignment horizontal="left" readingOrder="0" shrinkToFit="0" vertical="center" wrapText="1"/>
    </xf>
    <xf borderId="0" fillId="4" fontId="5" numFmtId="0" xfId="0" applyAlignment="1" applyFont="1">
      <alignment shrinkToFit="0" vertical="bottom" wrapText="0"/>
    </xf>
    <xf borderId="0" fillId="4" fontId="5" numFmtId="0" xfId="0" applyAlignment="1" applyFont="1">
      <alignment shrinkToFit="0" vertical="bottom" wrapText="0"/>
    </xf>
    <xf borderId="1" fillId="0" fontId="64" numFmtId="0" xfId="0" applyAlignment="1" applyBorder="1" applyFont="1">
      <alignment readingOrder="0" shrinkToFit="0" vertical="center" wrapText="1"/>
    </xf>
    <xf borderId="124" fillId="6" fontId="61" numFmtId="0" xfId="0" applyAlignment="1" applyBorder="1" applyFont="1">
      <alignment horizontal="left" readingOrder="0" shrinkToFit="0" vertical="center" wrapText="1"/>
    </xf>
    <xf borderId="125" fillId="6" fontId="61" numFmtId="0" xfId="0" applyAlignment="1" applyBorder="1" applyFont="1">
      <alignment horizontal="left" readingOrder="0" shrinkToFit="0" vertical="center" wrapText="1"/>
    </xf>
    <xf borderId="126" fillId="0" fontId="8" numFmtId="0" xfId="0" applyBorder="1" applyFont="1"/>
    <xf borderId="127" fillId="0" fontId="8" numFmtId="0" xfId="0" applyBorder="1" applyFont="1"/>
    <xf borderId="128" fillId="0" fontId="8" numFmtId="0" xfId="0" applyBorder="1" applyFont="1"/>
    <xf borderId="129" fillId="6" fontId="61" numFmtId="0" xfId="0" applyAlignment="1" applyBorder="1" applyFont="1">
      <alignment horizontal="left" readingOrder="0" shrinkToFit="0" vertical="center" wrapText="1"/>
    </xf>
    <xf borderId="130" fillId="6" fontId="61" numFmtId="0" xfId="0" applyAlignment="1" applyBorder="1" applyFont="1">
      <alignment horizontal="left" readingOrder="0" shrinkToFit="0" vertical="center" wrapText="1"/>
    </xf>
    <xf borderId="131" fillId="0" fontId="8" numFmtId="0" xfId="0" applyBorder="1" applyFont="1"/>
    <xf borderId="132" fillId="0" fontId="8" numFmtId="0" xfId="0" applyBorder="1" applyFont="1"/>
    <xf borderId="133" fillId="0" fontId="8" numFmtId="0" xfId="0" applyBorder="1" applyFont="1"/>
    <xf borderId="134" fillId="6" fontId="61" numFmtId="0" xfId="0" applyAlignment="1" applyBorder="1" applyFont="1">
      <alignment horizontal="left" readingOrder="0" shrinkToFit="0" vertical="center" wrapText="1"/>
    </xf>
    <xf borderId="135" fillId="6" fontId="61" numFmtId="0" xfId="0" applyAlignment="1" applyBorder="1" applyFont="1">
      <alignment horizontal="left" readingOrder="0" shrinkToFit="0" vertical="center" wrapText="1"/>
    </xf>
    <xf borderId="136" fillId="0" fontId="8" numFmtId="0" xfId="0" applyBorder="1" applyFont="1"/>
    <xf borderId="137" fillId="0" fontId="8" numFmtId="0" xfId="0" applyBorder="1" applyFont="1"/>
    <xf borderId="138" fillId="0" fontId="8" numFmtId="0" xfId="0" applyBorder="1" applyFont="1"/>
    <xf borderId="139" fillId="2" fontId="68" numFmtId="0" xfId="0" applyAlignment="1" applyBorder="1" applyFont="1">
      <alignment readingOrder="0" shrinkToFit="0" vertical="center" wrapText="1"/>
    </xf>
    <xf borderId="140" fillId="0" fontId="8" numFmtId="0" xfId="0" applyBorder="1" applyFont="1"/>
    <xf borderId="141" fillId="0" fontId="8" numFmtId="0" xfId="0" applyBorder="1" applyFont="1"/>
    <xf borderId="140" fillId="0" fontId="70" numFmtId="0" xfId="0" applyAlignment="1" applyBorder="1" applyFont="1">
      <alignment readingOrder="0" shrinkToFit="0" vertical="center" wrapText="1"/>
    </xf>
    <xf borderId="142" fillId="0" fontId="8" numFmtId="0" xfId="0" applyBorder="1" applyFont="1"/>
    <xf borderId="143" fillId="0" fontId="8" numFmtId="0" xfId="0" applyBorder="1" applyFont="1"/>
    <xf borderId="144" fillId="0" fontId="8" numFmtId="0" xfId="0" applyBorder="1" applyFont="1"/>
    <xf borderId="145" fillId="0" fontId="8" numFmtId="0" xfId="0" applyBorder="1" applyFont="1"/>
    <xf borderId="146" fillId="0" fontId="8" numFmtId="0" xfId="0" applyBorder="1" applyFont="1"/>
    <xf borderId="147" fillId="2" fontId="71" numFmtId="0" xfId="0" applyAlignment="1" applyBorder="1" applyFont="1">
      <alignment horizontal="center" readingOrder="0" shrinkToFit="0" wrapText="1"/>
    </xf>
    <xf borderId="130" fillId="2" fontId="71" numFmtId="0" xfId="0" applyAlignment="1" applyBorder="1" applyFont="1">
      <alignment horizontal="center" readingOrder="0" shrinkToFit="0" wrapText="1"/>
    </xf>
    <xf borderId="139" fillId="3" fontId="72" numFmtId="0" xfId="0" applyAlignment="1" applyBorder="1" applyFont="1">
      <alignment readingOrder="0" vertical="top"/>
    </xf>
    <xf borderId="147" fillId="6" fontId="67" numFmtId="0" xfId="0" applyAlignment="1" applyBorder="1" applyFont="1">
      <alignment readingOrder="0" shrinkToFit="0" wrapText="1"/>
    </xf>
    <xf borderId="130" fillId="6" fontId="73" numFmtId="0" xfId="0" applyAlignment="1" applyBorder="1" applyFont="1">
      <alignment readingOrder="0" shrinkToFit="0" vertical="top" wrapText="1"/>
    </xf>
    <xf borderId="148" fillId="0" fontId="8" numFmtId="0" xfId="0" applyBorder="1" applyFont="1"/>
    <xf borderId="149" fillId="0" fontId="8" numFmtId="0" xfId="0" applyBorder="1" applyFont="1"/>
    <xf borderId="147" fillId="4" fontId="67" numFmtId="0" xfId="0" applyAlignment="1" applyBorder="1" applyFont="1">
      <alignment readingOrder="0" shrinkToFit="0" wrapText="1"/>
    </xf>
    <xf borderId="130" fillId="4" fontId="73" numFmtId="0" xfId="0" applyAlignment="1" applyBorder="1" applyFont="1">
      <alignment readingOrder="0" shrinkToFit="0" vertical="top" wrapText="1"/>
    </xf>
    <xf borderId="130" fillId="6" fontId="67" numFmtId="0" xfId="0" applyAlignment="1" applyBorder="1" applyFont="1">
      <alignment readingOrder="0" shrinkToFit="0" wrapText="1"/>
    </xf>
    <xf borderId="150" fillId="4" fontId="67" numFmtId="0" xfId="0" applyAlignment="1" applyBorder="1" applyFont="1">
      <alignment readingOrder="0" shrinkToFit="0" wrapText="1"/>
    </xf>
    <xf borderId="135" fillId="4" fontId="73" numFmtId="0" xfId="0" applyAlignment="1" applyBorder="1" applyFont="1">
      <alignment readingOrder="0" shrinkToFit="0" vertical="top" wrapText="1"/>
    </xf>
    <xf borderId="151" fillId="0" fontId="8" numFmtId="0" xfId="0" applyBorder="1" applyFont="1"/>
    <xf borderId="0" fillId="4" fontId="5" numFmtId="0" xfId="0" applyAlignment="1" applyFont="1">
      <alignment shrinkToFit="0" vertical="bottom" wrapText="1"/>
    </xf>
    <xf borderId="0" fillId="4" fontId="65" numFmtId="0" xfId="0" applyAlignment="1" applyFont="1">
      <alignment horizontal="center" readingOrder="0" shrinkToFit="0" wrapText="1"/>
    </xf>
    <xf borderId="0" fillId="4" fontId="66" numFmtId="0" xfId="0" applyAlignment="1" applyFont="1">
      <alignment readingOrder="0" shrinkToFit="0" vertical="top" wrapText="1"/>
    </xf>
    <xf borderId="139" fillId="2" fontId="74" numFmtId="0" xfId="0" applyAlignment="1" applyBorder="1" applyFont="1">
      <alignment horizontal="center" readingOrder="0" shrinkToFit="0" vertical="center" wrapText="1"/>
    </xf>
    <xf borderId="140" fillId="0" fontId="75" numFmtId="0" xfId="0" applyAlignment="1" applyBorder="1" applyFont="1">
      <alignment horizontal="center" readingOrder="0" shrinkToFit="0" vertical="center" wrapText="1"/>
    </xf>
    <xf borderId="147" fillId="2" fontId="76" numFmtId="0" xfId="0" applyAlignment="1" applyBorder="1" applyFont="1">
      <alignment horizontal="center" readingOrder="0" shrinkToFit="0" wrapText="1"/>
    </xf>
    <xf borderId="130" fillId="2" fontId="76" numFmtId="0" xfId="0" applyAlignment="1" applyBorder="1" applyFont="1">
      <alignment horizontal="center" readingOrder="0" shrinkToFit="0" wrapText="1"/>
    </xf>
    <xf borderId="132" fillId="2" fontId="76" numFmtId="0" xfId="0" applyAlignment="1" applyBorder="1" applyFont="1">
      <alignment horizontal="center" readingOrder="0" shrinkToFit="0" wrapText="1"/>
    </xf>
    <xf borderId="152" fillId="3" fontId="77" numFmtId="0" xfId="0" applyAlignment="1" applyBorder="1" applyFont="1">
      <alignment readingOrder="0" vertical="top"/>
    </xf>
    <xf borderId="153" fillId="0" fontId="8" numFmtId="0" xfId="0" applyBorder="1" applyFont="1"/>
    <xf borderId="154" fillId="0" fontId="8" numFmtId="0" xfId="0" applyBorder="1" applyFont="1"/>
    <xf borderId="147" fillId="6" fontId="7" numFmtId="0" xfId="0" applyAlignment="1" applyBorder="1" applyFont="1">
      <alignment readingOrder="0" shrinkToFit="0" wrapText="1"/>
    </xf>
    <xf borderId="132" fillId="6" fontId="73" numFmtId="0" xfId="0" applyAlignment="1" applyBorder="1" applyFont="1">
      <alignment readingOrder="0" shrinkToFit="0" vertical="top" wrapText="1"/>
    </xf>
    <xf borderId="155" fillId="3" fontId="78" numFmtId="0" xfId="0" applyAlignment="1" applyBorder="1" applyFont="1">
      <alignment readingOrder="0" vertical="top"/>
    </xf>
    <xf borderId="156" fillId="0" fontId="8" numFmtId="0" xfId="0" applyBorder="1" applyFont="1"/>
    <xf borderId="157" fillId="0" fontId="8" numFmtId="0" xfId="0" applyBorder="1" applyFont="1"/>
    <xf borderId="158" fillId="3" fontId="78" numFmtId="0" xfId="0" applyAlignment="1" applyBorder="1" applyFont="1">
      <alignment readingOrder="0" vertical="top"/>
    </xf>
    <xf borderId="159" fillId="0" fontId="8" numFmtId="0" xfId="0" applyBorder="1" applyFont="1"/>
    <xf borderId="147" fillId="4" fontId="7" numFmtId="0" xfId="0" applyAlignment="1" applyBorder="1" applyFont="1">
      <alignment readingOrder="0" shrinkToFit="0" wrapText="1"/>
    </xf>
    <xf borderId="132" fillId="4" fontId="73" numFmtId="0" xfId="0" applyAlignment="1" applyBorder="1" applyFont="1">
      <alignment readingOrder="0" shrinkToFit="0" vertical="top" wrapText="1"/>
    </xf>
    <xf borderId="160" fillId="3" fontId="78" numFmtId="0" xfId="0" applyAlignment="1" applyBorder="1" applyFont="1">
      <alignment readingOrder="0" vertical="top"/>
    </xf>
    <xf borderId="161" fillId="0" fontId="8" numFmtId="0" xfId="0" applyBorder="1" applyFont="1"/>
    <xf borderId="162" fillId="0" fontId="8" numFmtId="0" xfId="0" applyBorder="1" applyFont="1"/>
    <xf borderId="163" fillId="3" fontId="78" numFmtId="0" xfId="0" applyAlignment="1" applyBorder="1" applyFont="1">
      <alignment readingOrder="0" vertical="top"/>
    </xf>
    <xf borderId="164" fillId="0" fontId="8" numFmtId="0" xfId="0" applyBorder="1" applyFont="1"/>
    <xf borderId="130" fillId="6" fontId="7" numFmtId="0" xfId="0" applyAlignment="1" applyBorder="1" applyFont="1">
      <alignment readingOrder="0" shrinkToFit="0" wrapText="1"/>
    </xf>
    <xf borderId="132" fillId="6" fontId="7" numFmtId="0" xfId="0" applyAlignment="1" applyBorder="1" applyFont="1">
      <alignment readingOrder="0" shrinkToFit="0" wrapText="1"/>
    </xf>
    <xf borderId="0" fillId="4" fontId="79" numFmtId="0" xfId="0" applyAlignment="1" applyFont="1">
      <alignment shrinkToFit="0" wrapText="1"/>
    </xf>
    <xf borderId="0" fillId="4" fontId="80" numFmtId="0" xfId="0" applyAlignment="1" applyFont="1">
      <alignment horizontal="left" readingOrder="0" shrinkToFit="0" wrapText="1"/>
    </xf>
    <xf borderId="160" fillId="3" fontId="81" numFmtId="0" xfId="0" applyAlignment="1" applyBorder="1" applyFont="1">
      <alignment readingOrder="0" shrinkToFit="0" vertical="bottom" wrapText="1"/>
    </xf>
    <xf borderId="163" fillId="3" fontId="81" numFmtId="0" xfId="0" applyAlignment="1" applyBorder="1" applyFont="1">
      <alignment readingOrder="0" shrinkToFit="0" wrapText="1"/>
    </xf>
    <xf borderId="0" fillId="0" fontId="79" numFmtId="0" xfId="0" applyAlignment="1" applyFont="1">
      <alignment shrinkToFit="0" wrapText="1"/>
    </xf>
    <xf borderId="160" fillId="3" fontId="81" numFmtId="0" xfId="0" applyAlignment="1" applyBorder="1" applyFont="1">
      <alignment readingOrder="0" shrinkToFit="0" wrapText="1"/>
    </xf>
    <xf borderId="0" fillId="4" fontId="82" numFmtId="0" xfId="0" applyAlignment="1" applyFont="1">
      <alignment horizontal="center" readingOrder="0" shrinkToFit="0" wrapText="1"/>
    </xf>
    <xf borderId="165" fillId="3" fontId="81" numFmtId="0" xfId="0" applyAlignment="1" applyBorder="1" applyFont="1">
      <alignment readingOrder="0" shrinkToFit="0" wrapText="1"/>
    </xf>
    <xf borderId="166" fillId="0" fontId="8" numFmtId="0" xfId="0" applyBorder="1" applyFont="1"/>
    <xf borderId="167" fillId="0" fontId="8" numFmtId="0" xfId="0" applyBorder="1" applyFont="1"/>
    <xf borderId="168" fillId="3" fontId="81" numFmtId="0" xfId="0" applyAlignment="1" applyBorder="1" applyFont="1">
      <alignment readingOrder="0" shrinkToFit="0" wrapText="1"/>
    </xf>
    <xf borderId="169" fillId="0" fontId="8" numFmtId="0" xfId="0" applyBorder="1" applyFont="1"/>
    <xf borderId="0" fillId="4" fontId="5" numFmtId="0" xfId="0" applyAlignment="1" applyFont="1">
      <alignment readingOrder="0" shrinkToFit="0" vertical="bottom" wrapText="1"/>
    </xf>
    <xf borderId="0" fillId="4" fontId="2" numFmtId="0" xfId="0" applyAlignment="1" applyFont="1">
      <alignment readingOrder="0" shrinkToFit="0" wrapText="1"/>
    </xf>
    <xf borderId="139" fillId="0" fontId="64" numFmtId="0" xfId="0" applyAlignment="1" applyBorder="1" applyFont="1">
      <alignment readingOrder="0" shrinkToFit="0" vertical="center" wrapText="1"/>
    </xf>
    <xf borderId="170" fillId="0" fontId="8" numFmtId="0" xfId="0" applyBorder="1" applyFont="1"/>
    <xf borderId="171" fillId="0" fontId="8" numFmtId="0" xfId="0" applyBorder="1" applyFont="1"/>
    <xf borderId="172" fillId="2" fontId="60" numFmtId="0" xfId="0" applyAlignment="1" applyBorder="1" applyFont="1">
      <alignment readingOrder="0" shrinkToFit="0" wrapText="1"/>
    </xf>
    <xf borderId="173" fillId="0" fontId="8" numFmtId="0" xfId="0" applyBorder="1" applyFont="1"/>
    <xf borderId="174" fillId="0" fontId="8" numFmtId="0" xfId="0" applyBorder="1" applyFont="1"/>
    <xf borderId="175" fillId="0" fontId="8" numFmtId="0" xfId="0" applyBorder="1" applyFont="1"/>
    <xf borderId="176" fillId="6" fontId="61" numFmtId="0" xfId="0" applyAlignment="1" applyBorder="1" applyFont="1">
      <alignment horizontal="left" readingOrder="0" shrinkToFit="0" vertical="center" wrapText="1"/>
    </xf>
    <xf borderId="177" fillId="0" fontId="8" numFmtId="0" xfId="0" applyBorder="1" applyFont="1"/>
    <xf borderId="176" fillId="0" fontId="61" numFmtId="0" xfId="0" applyAlignment="1" applyBorder="1" applyFont="1">
      <alignment horizontal="left" readingOrder="0" shrinkToFit="0" vertical="center" wrapText="1"/>
    </xf>
    <xf borderId="178" fillId="6" fontId="61" numFmtId="0" xfId="0" applyAlignment="1" applyBorder="1" applyFont="1">
      <alignment horizontal="left" readingOrder="0" shrinkToFit="0" vertical="center" wrapText="1"/>
    </xf>
    <xf borderId="179" fillId="0" fontId="8" numFmtId="0" xfId="0" applyBorder="1" applyFont="1"/>
    <xf borderId="180" fillId="0" fontId="8" numFmtId="0" xfId="0" applyBorder="1" applyFont="1"/>
    <xf borderId="181" fillId="6" fontId="61" numFmtId="0" xfId="0" applyAlignment="1" applyBorder="1" applyFont="1">
      <alignment horizontal="left" readingOrder="0" shrinkToFit="0" vertical="center" wrapText="1"/>
    </xf>
    <xf borderId="179" fillId="6" fontId="61" numFmtId="0" xfId="0" applyAlignment="1" applyBorder="1" applyFont="1">
      <alignment horizontal="left" readingOrder="0" shrinkToFit="0" vertical="center" wrapText="1"/>
    </xf>
    <xf borderId="182" fillId="0" fontId="8" numFmtId="0" xfId="0" applyBorder="1" applyFont="1"/>
    <xf borderId="0" fillId="4" fontId="2" numFmtId="0" xfId="0" applyAlignment="1" applyFont="1">
      <alignment readingOrder="0"/>
    </xf>
    <xf borderId="183" fillId="6" fontId="61" numFmtId="0" xfId="0" applyAlignment="1" applyBorder="1" applyFont="1">
      <alignment horizontal="left" readingOrder="0" shrinkToFit="0" vertical="center" wrapText="1"/>
    </xf>
    <xf borderId="184" fillId="0" fontId="8" numFmtId="0" xfId="0" applyBorder="1" applyFont="1"/>
    <xf borderId="185" fillId="0" fontId="8" numFmtId="0" xfId="0" applyBorder="1" applyFont="1"/>
    <xf borderId="186" fillId="6" fontId="61" numFmtId="0" xfId="0" applyAlignment="1" applyBorder="1" applyFont="1">
      <alignment horizontal="left" readingOrder="0" shrinkToFit="0" vertical="center" wrapText="1"/>
    </xf>
    <xf borderId="184" fillId="6" fontId="61" numFmtId="0" xfId="0" applyAlignment="1" applyBorder="1" applyFont="1">
      <alignment horizontal="left" readingOrder="0" shrinkToFit="0" vertical="center" wrapText="1"/>
    </xf>
    <xf borderId="187" fillId="0" fontId="8" numFmtId="0" xfId="0" applyBorder="1" applyFont="1"/>
    <xf borderId="178" fillId="0" fontId="61" numFmtId="0" xfId="0" applyAlignment="1" applyBorder="1" applyFont="1">
      <alignment horizontal="left" readingOrder="0" shrinkToFit="0" vertical="center" wrapText="1"/>
    </xf>
    <xf borderId="181" fillId="0" fontId="61" numFmtId="0" xfId="0" applyAlignment="1" applyBorder="1" applyFont="1">
      <alignment horizontal="left" readingOrder="0" shrinkToFit="0" vertical="center" wrapText="1"/>
    </xf>
    <xf borderId="179" fillId="0" fontId="6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A833"/>
          <bgColor rgb="FFFFA833"/>
        </patternFill>
      </fill>
      <border/>
    </dxf>
  </dxfs>
  <tableStyles count="4">
    <tableStyle count="4" pivot="0" name="М и Х Dowel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М и Х Dowell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М и Х Dowell-style 3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М и Х Dowell-style 4">
      <tableStyleElement dxfId="7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I30" displayName="DMPlus" name="DMPlus" id="1">
  <tableColumns count="8">
    <tableColumn name="ID" id="1"/>
    <tableColumn name="Навзвание модели" id="2"/>
    <tableColumn name="Ссылка на товар" id="3"/>
    <tableColumn name="Стоимость" id="4"/>
    <tableColumn name="Размер печати" id="5"/>
    <tableColumn name="Вес товара" id="6"/>
    <tableColumn name="Размеры с упаковкой" id="7"/>
    <tableColumn name="Сроки доставки" id="8"/>
  </tableColumns>
  <tableStyleInfo name="М и Х Dowell-style" showColumnStripes="0" showFirstColumn="1" showLastColumn="1" showRowStripes="1"/>
</table>
</file>

<file path=xl/tables/table2.xml><?xml version="1.0" encoding="utf-8"?>
<table xmlns="http://schemas.openxmlformats.org/spreadsheetml/2006/main" ref="B35:J59" displayName="DMPro" name="DMPro" id="2">
  <tableColumns count="9">
    <tableColumn name="ID" id="1"/>
    <tableColumn name="Навзвание модели" id="2"/>
    <tableColumn name="Ссылка на товар" id="3"/>
    <tableColumn name="Стоимость" id="4"/>
    <tableColumn name="Размер печати" id="5"/>
    <tableColumn name="Вес товара" id="6"/>
    <tableColumn name="Размеры с упаковкой" id="7"/>
    <tableColumn name="Сроки доставки" id="8"/>
    <tableColumn name="Столбец 1" id="9"/>
  </tableColumns>
  <tableStyleInfo name="М и Х Dowell-style 2" showColumnStripes="0" showFirstColumn="1" showLastColumn="1" showRowStripes="1"/>
</table>
</file>

<file path=xl/tables/table3.xml><?xml version="1.0" encoding="utf-8"?>
<table xmlns="http://schemas.openxmlformats.org/spreadsheetml/2006/main" ref="B67:I81" displayName="DL" name="DL" id="3">
  <tableColumns count="8">
    <tableColumn name="ID" id="1"/>
    <tableColumn name="Навзвание модели" id="2"/>
    <tableColumn name="Ссылка на товар" id="3"/>
    <tableColumn name="Стоимость" id="4"/>
    <tableColumn name="Размер печати" id="5"/>
    <tableColumn name="Вес товара" id="6"/>
    <tableColumn name="Размеры с упаковкой" id="7"/>
    <tableColumn name="Сроки доставки" id="8"/>
  </tableColumns>
  <tableStyleInfo name="М и Х Dowell-style 3" showColumnStripes="0" showFirstColumn="1" showLastColumn="1" showRowStripes="1"/>
</table>
</file>

<file path=xl/tables/table4.xml><?xml version="1.0" encoding="utf-8"?>
<table xmlns="http://schemas.openxmlformats.org/spreadsheetml/2006/main" ref="B95:I108" displayName="DP" name="DP" id="4">
  <tableColumns count="8">
    <tableColumn name="ID" id="1"/>
    <tableColumn name="Навзвание модели" id="2"/>
    <tableColumn name="Ссылка на товар" id="3"/>
    <tableColumn name="Стоимость" id="4"/>
    <tableColumn name="Размер печати" id="5"/>
    <tableColumn name="Вес товара" id="6"/>
    <tableColumn name="Размеры с упаковкой" id="7"/>
    <tableColumn name="Сроки доставки" id="8"/>
  </tableColumns>
  <tableStyleInfo name="М и Х Dowell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libaba.com/product-detail/DL1620-16-Thickened-80-Aluminum-Frame_1601033069142.html" TargetMode="External"/><Relationship Id="rId42" Type="http://schemas.openxmlformats.org/officeDocument/2006/relationships/hyperlink" Target="https://www.alibaba.com/product-detail/DP-A1616-12-3D-Printer-Plastic_1601041123905.html" TargetMode="External"/><Relationship Id="rId41" Type="http://schemas.openxmlformats.org/officeDocument/2006/relationships/hyperlink" Target="https://www.alibaba.com/product-detail/Dowell-FDM-Plastic-Home-Ues-High_1601564937460.html" TargetMode="External"/><Relationship Id="rId44" Type="http://schemas.openxmlformats.org/officeDocument/2006/relationships/hyperlink" Target="https://www.alibaba.com/product-detail/DP-A1620-16-3D-Printer-Manufacturing_1601043019352.html" TargetMode="External"/><Relationship Id="rId43" Type="http://schemas.openxmlformats.org/officeDocument/2006/relationships/hyperlink" Target="https://www.alibaba.com/product-detail/Dowell3D-1200-2000-1600-Pellet-Granule_1601231297101.html" TargetMode="External"/><Relationship Id="rId46" Type="http://schemas.openxmlformats.org/officeDocument/2006/relationships/hyperlink" Target="https://www.alibaba.com/product-detail/DP-A10-16-Large-Size-Granule_1601563008616.html" TargetMode="External"/><Relationship Id="rId45" Type="http://schemas.openxmlformats.org/officeDocument/2006/relationships/hyperlink" Target="https://www.alibaba.com/product-detail/DP-A10-16-Large-Size-Granule_1601563008616.html" TargetMode="External"/><Relationship Id="rId1" Type="http://schemas.openxmlformats.org/officeDocument/2006/relationships/hyperlink" Target="https://www.alibaba.com/product-detail/DM6-8Plus-Cheap-High-Precision-Strong_1600198772086.html" TargetMode="External"/><Relationship Id="rId2" Type="http://schemas.openxmlformats.org/officeDocument/2006/relationships/hyperlink" Target="https://www.alibaba.com/product-detail/Dowell3D-DM6-10Plus-High-Speed-Large_1600336308534.html" TargetMode="External"/><Relationship Id="rId3" Type="http://schemas.openxmlformats.org/officeDocument/2006/relationships/hyperlink" Target="https://www.alibaba.com/product-detail/Dowell3D-DM6-10Plus-High-Speed-Large_1600336308534.html" TargetMode="External"/><Relationship Id="rId4" Type="http://schemas.openxmlformats.org/officeDocument/2006/relationships/hyperlink" Target="https://www.alibaba.com/product-detail/DM6-16Plus-Large-Industrial-Dowell-Big_1600192489022.html" TargetMode="External"/><Relationship Id="rId9" Type="http://schemas.openxmlformats.org/officeDocument/2006/relationships/hyperlink" Target="https://www.alibaba.com/product-detail/DM1016-10Plus-Fast-Printing-Large-Format_1600193159916.html" TargetMode="External"/><Relationship Id="rId48" Type="http://schemas.openxmlformats.org/officeDocument/2006/relationships/hyperlink" Target="https://www.alibaba.com/product-detail/Dowell-FGF-3D-Large-Scale-Granule_1600441247466.html" TargetMode="External"/><Relationship Id="rId47" Type="http://schemas.openxmlformats.org/officeDocument/2006/relationships/hyperlink" Target="https://www.alibaba.com/product-detail/DP-A12-Industrial-Large-Professional-FGF_1601575509218.html" TargetMode="External"/><Relationship Id="rId49" Type="http://schemas.openxmlformats.org/officeDocument/2006/relationships/hyperlink" Target="https://www.alibaba.com/product-detail/DP-A1616-16-Enclosed-Auto-Leveling_1601566211407.html" TargetMode="External"/><Relationship Id="rId5" Type="http://schemas.openxmlformats.org/officeDocument/2006/relationships/hyperlink" Target="https://dwdz.en.alibaba.com/search/product?SearchText=DM8Plus" TargetMode="External"/><Relationship Id="rId6" Type="http://schemas.openxmlformats.org/officeDocument/2006/relationships/hyperlink" Target="https://www.alibaba.com/product-detail/Large-Print-Size-800-800-1600mm_1600288706290.html" TargetMode="External"/><Relationship Id="rId7" Type="http://schemas.openxmlformats.org/officeDocument/2006/relationships/hyperlink" Target="https://www.alibaba.com/product-detail/DM10-6Plus-Home-Industrial-3d-Printer_1601043796708.html" TargetMode="External"/><Relationship Id="rId8" Type="http://schemas.openxmlformats.org/officeDocument/2006/relationships/hyperlink" Target="https://www.alibaba.com/product-detail/DM10-8Plus-1000mm-Automatic-FDM-3D_1600722278271.html" TargetMode="External"/><Relationship Id="rId31" Type="http://schemas.openxmlformats.org/officeDocument/2006/relationships/hyperlink" Target="https://www.alibaba.com/product-detail/DL1016-10-High-Precision-Industrial-3d_1601563992626.html" TargetMode="External"/><Relationship Id="rId30" Type="http://schemas.openxmlformats.org/officeDocument/2006/relationships/hyperlink" Target="https://www.alibaba.com/product-detail/Dowell-DL10-16-Large-Faster-Diy_1601575402512.html" TargetMode="External"/><Relationship Id="rId33" Type="http://schemas.openxmlformats.org/officeDocument/2006/relationships/hyperlink" Target="https://www.alibaba.com/product-detail/Dowell-DL1216-12-High-Flow-Large_1601565632555.html" TargetMode="External"/><Relationship Id="rId32" Type="http://schemas.openxmlformats.org/officeDocument/2006/relationships/hyperlink" Target="https://www.alibaba.com/product-detail/DL12-10-Industrial-Large-Format-Impresora_1601566186724.html" TargetMode="External"/><Relationship Id="rId35" Type="http://schemas.openxmlformats.org/officeDocument/2006/relationships/hyperlink" Target="https://www.alibaba.com/product-detail/DL1220-16-Large-3D-Printer-Industrial_1600666600676.html" TargetMode="External"/><Relationship Id="rId34" Type="http://schemas.openxmlformats.org/officeDocument/2006/relationships/hyperlink" Target="https://www.alibaba.com/product-detail/DL1220-12-Large-High-Accuracy-3d_1601566410214.html" TargetMode="External"/><Relationship Id="rId37" Type="http://schemas.openxmlformats.org/officeDocument/2006/relationships/hyperlink" Target="https://www.alibaba.com/product-detail/DL12-Industrial-Large-3d-Printer-Machine_1601575488444.html" TargetMode="External"/><Relationship Id="rId36" Type="http://schemas.openxmlformats.org/officeDocument/2006/relationships/hyperlink" Target="https://www.alibaba.com/product-detail/Dowell-3d-Printing-Machine-DL1220-20_1601574774833.html" TargetMode="External"/><Relationship Id="rId39" Type="http://schemas.openxmlformats.org/officeDocument/2006/relationships/hyperlink" Target="https://www.alibaba.com/product-detail/Factory-Sale-High-Speed-Impresora-3d_1601567057679.html" TargetMode="External"/><Relationship Id="rId38" Type="http://schemas.openxmlformats.org/officeDocument/2006/relationships/hyperlink" Target="https://www.alibaba.com/product-detail/DL12-16-Professional-3d-Printer-Industrial_1601574658665.html" TargetMode="External"/><Relationship Id="rId20" Type="http://schemas.openxmlformats.org/officeDocument/2006/relationships/hyperlink" Target="https://www.alibaba.com/product-detail/1000-2000-1000mm-Large-Printing-Size_1601566746951.html" TargetMode="External"/><Relationship Id="rId22" Type="http://schemas.openxmlformats.org/officeDocument/2006/relationships/hyperlink" Target="https://www.alibaba.com/product-detail/Dowell-DM1216-12pro-Fdm-Carbon-Fiber_1601564627472.html" TargetMode="External"/><Relationship Id="rId21" Type="http://schemas.openxmlformats.org/officeDocument/2006/relationships/hyperlink" Target="https://www.alibaba.com/product-detail/Dowell-DM1216-12pro-Fdm-Carbon-Fiber_1601564627472.html" TargetMode="External"/><Relationship Id="rId24" Type="http://schemas.openxmlformats.org/officeDocument/2006/relationships/hyperlink" Target="https://www.alibaba.com/product-detail/DM1220-16pro-Industrial-Large-Format-3d_1601564492670.html" TargetMode="External"/><Relationship Id="rId23" Type="http://schemas.openxmlformats.org/officeDocument/2006/relationships/hyperlink" Target="https://www.alibaba.com/product-detail/DM1218-12pro-Large-Format-FDM-Multimaterial_1601567141368.html" TargetMode="External"/><Relationship Id="rId26" Type="http://schemas.openxmlformats.org/officeDocument/2006/relationships/hyperlink" Target="https://www.alibaba.com/product-detail/DM12-16pro-Industrial-Grade-Automatic-Fdm_1601567216860.html" TargetMode="External"/><Relationship Id="rId25" Type="http://schemas.openxmlformats.org/officeDocument/2006/relationships/hyperlink" Target="https://www.alibaba.com/product-detail/1000-1000-2000mm-Large-Format-3d_1601563120093.html" TargetMode="External"/><Relationship Id="rId28" Type="http://schemas.openxmlformats.org/officeDocument/2006/relationships/hyperlink" Target="https://www.alibaba.com/product-detail/DM1220-12pro-Fully-Automatic-Leveling-Impresora_1601566763703.html" TargetMode="External"/><Relationship Id="rId27" Type="http://schemas.openxmlformats.org/officeDocument/2006/relationships/hyperlink" Target="https://www.alibaba.com/product-detail/Printer-1200x1800x1600mm-Large-FDM-Multiple-Materials_1601563839751.html" TargetMode="External"/><Relationship Id="rId29" Type="http://schemas.openxmlformats.org/officeDocument/2006/relationships/hyperlink" Target="https://www.alibaba.com/product-detail/DL10-Industrial-3d-Printer-Sculpture-Stampante_1601574626486.html" TargetMode="External"/><Relationship Id="rId51" Type="http://schemas.openxmlformats.org/officeDocument/2006/relationships/drawing" Target="../drawings/drawing3.xml"/><Relationship Id="rId50" Type="http://schemas.openxmlformats.org/officeDocument/2006/relationships/hyperlink" Target="https://www.alibaba.com/product-detail/Dowell-DP-A1624-16-Pellet-3d_1601575445825.html" TargetMode="External"/><Relationship Id="rId11" Type="http://schemas.openxmlformats.org/officeDocument/2006/relationships/hyperlink" Target="https://www.alibaba.com/product-detail/DM1020-10Plus-High-Precision-Impresora-3d_1600666308860.html" TargetMode="External"/><Relationship Id="rId10" Type="http://schemas.openxmlformats.org/officeDocument/2006/relationships/hyperlink" Target="https://www.alibaba.com/product-detail/Dowell-DM1016-12Plus-Fast-3d-Printing_1600415561143.html" TargetMode="External"/><Relationship Id="rId13" Type="http://schemas.openxmlformats.org/officeDocument/2006/relationships/hyperlink" Target="https://www.alibaba.com/product-detail/DOWELL3D-DM1216-12Plus-Large-Format-Industrial_1601089723389.html" TargetMode="External"/><Relationship Id="rId57" Type="http://schemas.openxmlformats.org/officeDocument/2006/relationships/table" Target="../tables/table2.xml"/><Relationship Id="rId12" Type="http://schemas.openxmlformats.org/officeDocument/2006/relationships/hyperlink" Target="https://www.alibaba.com/product-detail/DM12Plus-Precision-Auto-Leveling-Imprimante-3d_1601197175515.html" TargetMode="External"/><Relationship Id="rId56" Type="http://schemas.openxmlformats.org/officeDocument/2006/relationships/table" Target="../tables/table1.xml"/><Relationship Id="rId15" Type="http://schemas.openxmlformats.org/officeDocument/2006/relationships/hyperlink" Target="https://www.alibaba.com/product-detail/DM1220-8Plus-Large-Big-Size-3D_1601014980308.html" TargetMode="External"/><Relationship Id="rId59" Type="http://schemas.openxmlformats.org/officeDocument/2006/relationships/table" Target="../tables/table4.xml"/><Relationship Id="rId14" Type="http://schemas.openxmlformats.org/officeDocument/2006/relationships/hyperlink" Target="https://www.alibaba.com/product-detail/DM1216-16Plus-Imprimante-3d-Printer-Large_1600677978386.html" TargetMode="External"/><Relationship Id="rId58" Type="http://schemas.openxmlformats.org/officeDocument/2006/relationships/table" Target="../tables/table3.xml"/><Relationship Id="rId17" Type="http://schemas.openxmlformats.org/officeDocument/2006/relationships/hyperlink" Target="https://www.alibaba.com/product-detail/DM1014-6pro-High-Precision-Impresora-3d_1601566303606.html" TargetMode="External"/><Relationship Id="rId16" Type="http://schemas.openxmlformats.org/officeDocument/2006/relationships/hyperlink" Target="https://www.alibaba.com/product-detail/DM8-6Pro-Large-3d-Printer-PLA_1600830212315.html" TargetMode="External"/><Relationship Id="rId19" Type="http://schemas.openxmlformats.org/officeDocument/2006/relationships/hyperlink" Target="https://www.alibaba.com/product-detail/Dowell-DM1016-10Pro-1600mm-1000mm-Big_1601227603765.html" TargetMode="External"/><Relationship Id="rId18" Type="http://schemas.openxmlformats.org/officeDocument/2006/relationships/hyperlink" Target="https://www.alibaba.com/product-detail/DM1016-8pro-High-Precision-Large-Format_1601562293685.html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vito.ru/user/ba5990a9f4e5e7662c7a3dcb1d550bec/profile?iid=8070925459&amp;page_from=from_item_messenger&amp;src=messenger&amp;id=8070925459" TargetMode="External"/><Relationship Id="rId2" Type="http://schemas.openxmlformats.org/officeDocument/2006/relationships/hyperlink" Target="https://www.avito.ru/user/56bfdc4e0c2f395bee9dc06add24edc7/profile?iid=8071516922&amp;page_from=from_item_messenger&amp;src=messenger&amp;id=8071516922" TargetMode="External"/><Relationship Id="rId3" Type="http://schemas.openxmlformats.org/officeDocument/2006/relationships/hyperlink" Target="https://avito.ru/user/9041909672e2b8a543a572abddd5281f/profile?iid=7829233208&amp;page_from=from_item_messenger&amp;src=messenger&amp;id=7829233208" TargetMode="External"/><Relationship Id="rId4" Type="http://schemas.openxmlformats.org/officeDocument/2006/relationships/hyperlink" Target="https://avito.ru/brands/00831c58efc8e688b05807c83f905236?iid=8071256524&amp;page_from=from_item_messenger" TargetMode="External"/><Relationship Id="rId9" Type="http://schemas.openxmlformats.org/officeDocument/2006/relationships/hyperlink" Target="https://avito.ru/brands/i12441944?iid=8070919462&amp;page_from=from_item_messenger" TargetMode="External"/><Relationship Id="rId5" Type="http://schemas.openxmlformats.org/officeDocument/2006/relationships/hyperlink" Target="https://avito.ru/user/bfc06b5f6003fe24c8eb249404d63db6/profile?iid=8117852192&amp;page_from=from_item_messenger&amp;src=messenger&amp;id=8117852192" TargetMode="External"/><Relationship Id="rId6" Type="http://schemas.openxmlformats.org/officeDocument/2006/relationships/hyperlink" Target="https://avito.ru/user/64368e8a503e9c29dc93b014bc9da494/profile?iid=8117393735&amp;page_from=from_item_messenger&amp;src=messenger&amp;id=8117393735" TargetMode="External"/><Relationship Id="rId7" Type="http://schemas.openxmlformats.org/officeDocument/2006/relationships/hyperlink" Target="https://avito.ru/user/989c74e231069a25d008c40a108c43a7/profile?iid=8053761857&amp;page_from=from_item_messenger&amp;src=messenger&amp;id=8053761857" TargetMode="External"/><Relationship Id="rId8" Type="http://schemas.openxmlformats.org/officeDocument/2006/relationships/hyperlink" Target="https://avito.ru/brands/ab3a43412f40fc4fd9639afb3d434ab2?iid=8117852192&amp;page_from=from_item_messenger" TargetMode="External"/><Relationship Id="rId10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vito.ru/user/e296a8ea06562cee24c772298cd834cf/profile?iid=8053304613&amp;page_from=from_item_messenger&amp;src=messenger&amp;id=8053304613" TargetMode="External"/><Relationship Id="rId2" Type="http://schemas.openxmlformats.org/officeDocument/2006/relationships/hyperlink" Target="https://www.avito.ru/brands/914928d0da5f24b116a94843bfae9bd4/all/predlozheniya_uslug?iid=7829627106&amp;page_from=from_item_messenger&amp;sellerId=c19906224c0cae40f09a5864f56d216a" TargetMode="External"/><Relationship Id="rId3" Type="http://schemas.openxmlformats.org/officeDocument/2006/relationships/hyperlink" Target="https://www.avito.ru/brands/3d9ee27f9fecbc2d0c87989429f8acb9/all?iid=8053583382&amp;page_from=from_item_messenger&amp;sellerId=94e46ece26863fd1302e86bb270b02bd" TargetMode="External"/><Relationship Id="rId4" Type="http://schemas.openxmlformats.org/officeDocument/2006/relationships/hyperlink" Target="https://avito.ru/user/a0f7faa5fe94909ae02f285bfbb183db/profile?iid=8053254619&amp;page_from=from_item_messenger&amp;src=messenger&amp;id=8053254619" TargetMode="External"/><Relationship Id="rId9" Type="http://schemas.openxmlformats.org/officeDocument/2006/relationships/hyperlink" Target="https://www.avito.ru/user/cbbd4ee20e000789e0102e2d37cd4898/profile?iid=7829627106&amp;page_from=from_item_messenger&amp;src=messenger&amp;id=7829627106" TargetMode="External"/><Relationship Id="rId5" Type="http://schemas.openxmlformats.org/officeDocument/2006/relationships/hyperlink" Target="https://avito.ru/user/6680a4d2af7d57356fc4b92ace1dc2e5/profile?iid=8053583382&amp;page_from=from_item_messenger&amp;src=messenger&amp;id=8053583382" TargetMode="External"/><Relationship Id="rId6" Type="http://schemas.openxmlformats.org/officeDocument/2006/relationships/hyperlink" Target="https://avito.ru/brands/i85974111?iid=8053134772&amp;page_from=from_item_messenger" TargetMode="External"/><Relationship Id="rId7" Type="http://schemas.openxmlformats.org/officeDocument/2006/relationships/hyperlink" Target="https://www.avito.ru/brands/i171722627/all?iid=8071067275&amp;page_from=from_item_messenger&amp;sellerId=e2270ec0a6c32815d490ac809d99d539" TargetMode="External"/><Relationship Id="rId8" Type="http://schemas.openxmlformats.org/officeDocument/2006/relationships/hyperlink" Target="https://www.avito.ru/user/cad73e493a996d3a3a6526994b6e4bc5/profile?iid=8053688972&amp;page_from=from_item_messenger&amp;src=messenger&amp;id=8053688972" TargetMode="External"/><Relationship Id="rId20" Type="http://schemas.openxmlformats.org/officeDocument/2006/relationships/hyperlink" Target="https://avito.ru/user/78c0af25b261dba0c0c00d12f620beb6/profile?iid=8117565800&amp;page_from=from_item_messenger&amp;src=messenger&amp;id=8117565800" TargetMode="External"/><Relationship Id="rId22" Type="http://schemas.openxmlformats.org/officeDocument/2006/relationships/hyperlink" Target="https://avito.ru/user/dcb50123cd744cb9d822da25cf72a0f3/profile?iid=7861541793&amp;page_from=from_item_messenger&amp;src=messenger&amp;id=7861541793" TargetMode="External"/><Relationship Id="rId21" Type="http://schemas.openxmlformats.org/officeDocument/2006/relationships/hyperlink" Target="https://avito.ru/user/96dd316b15846fd30a84c3a7b10a5de2/profile?iid=8103161199&amp;page_from=from_item_messenger&amp;src=messenger&amp;id=8103161199" TargetMode="External"/><Relationship Id="rId24" Type="http://schemas.openxmlformats.org/officeDocument/2006/relationships/hyperlink" Target="https://avito.ru/user/5dbcdf9b672076369e94879de1be1bfb/profile?iid=8070990133&amp;page_from=from_item_messenger&amp;src=messenger&amp;id=8070990133" TargetMode="External"/><Relationship Id="rId23" Type="http://schemas.openxmlformats.org/officeDocument/2006/relationships/hyperlink" Target="https://avito.ru/user/69521adb42f2196fefd2686461e906fd/profile?iid=8071759101&amp;page_from=from_item_messenger&amp;src=messenger&amp;id=8071759101" TargetMode="External"/><Relationship Id="rId25" Type="http://schemas.openxmlformats.org/officeDocument/2006/relationships/drawing" Target="../drawings/drawing6.xml"/><Relationship Id="rId11" Type="http://schemas.openxmlformats.org/officeDocument/2006/relationships/hyperlink" Target="https://www.avito.ru/brands/i6661529/all?iid=8070988262&amp;page_from=from_item_messenger&amp;sellerId=1a7ec808582137b982603743389d6cbd" TargetMode="External"/><Relationship Id="rId10" Type="http://schemas.openxmlformats.org/officeDocument/2006/relationships/hyperlink" Target="https://www.avito.ru/user/f402d4b1cef16d8a69a0f0d5b82fd89f/profile?iid=7943776951&amp;page_from=from_item_messenger&amp;src=messenger&amp;id=7943776951" TargetMode="External"/><Relationship Id="rId13" Type="http://schemas.openxmlformats.org/officeDocument/2006/relationships/hyperlink" Target="https://avito.ru/brands/i35479341?iid=8071323439&amp;page_from=from_item_messenger" TargetMode="External"/><Relationship Id="rId12" Type="http://schemas.openxmlformats.org/officeDocument/2006/relationships/hyperlink" Target="https://avito.ru/user/a5e01f67d19ef662848de83b687ca16a/profile?iid=8071345072&amp;page_from=from_item_messenger&amp;src=messenger&amp;id=8071345072" TargetMode="External"/><Relationship Id="rId15" Type="http://schemas.openxmlformats.org/officeDocument/2006/relationships/hyperlink" Target="https://avito.ru/brands/i20420705?iid=8071561616&amp;page_from=from_item_messenger" TargetMode="External"/><Relationship Id="rId14" Type="http://schemas.openxmlformats.org/officeDocument/2006/relationships/hyperlink" Target="https://avito.ru/user/375b58d3f7dd2da7decdbc9ec658535d/profile?iid=8117291092&amp;page_from=from_item_messenger&amp;src=messenger&amp;id=8117291092" TargetMode="External"/><Relationship Id="rId17" Type="http://schemas.openxmlformats.org/officeDocument/2006/relationships/hyperlink" Target="https://avito.ru/user/9a2cb705781a4ff0759aa24e71a2e3c7/profile?iid=7861277713&amp;page_from=from_item_messenger&amp;src=messenger&amp;id=7861277713" TargetMode="External"/><Relationship Id="rId16" Type="http://schemas.openxmlformats.org/officeDocument/2006/relationships/hyperlink" Target="https://avito.ru/user/2f4005dfec02f9616fb3c51e5f100015/profile?iid=8070979989&amp;page_from=from_item_messenger&amp;src=messenger&amp;id=8070979989" TargetMode="External"/><Relationship Id="rId19" Type="http://schemas.openxmlformats.org/officeDocument/2006/relationships/hyperlink" Target="https://avito.ru/user/dc404cdf74020b580eb1cef105ffc932/profile?iid=8071688201&amp;page_from=from_item_messenger&amp;src=messenger&amp;id=8071688201" TargetMode="External"/><Relationship Id="rId18" Type="http://schemas.openxmlformats.org/officeDocument/2006/relationships/hyperlink" Target="https://avito.ru/brands/da8cd92ba20bff2788bd28174a72160b?iid=8071481549&amp;page_from=from_item_messenger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0</v>
      </c>
      <c r="S1" s="2"/>
      <c r="T1" s="2"/>
      <c r="U1" s="2"/>
      <c r="V1" s="2"/>
    </row>
    <row r="2">
      <c r="A2" s="3" t="s">
        <v>1</v>
      </c>
      <c r="S2" s="2"/>
      <c r="T2" s="2"/>
      <c r="U2" s="2"/>
      <c r="V2" s="2"/>
    </row>
    <row r="3" ht="21.0" customHeight="1">
      <c r="A3" s="4" t="s">
        <v>2</v>
      </c>
      <c r="D3" s="4" t="s">
        <v>3</v>
      </c>
      <c r="G3" s="4" t="s">
        <v>4</v>
      </c>
      <c r="J3" s="4" t="s">
        <v>5</v>
      </c>
      <c r="T3" s="2"/>
      <c r="U3" s="2"/>
      <c r="V3" s="2"/>
    </row>
    <row r="4">
      <c r="A4" s="5"/>
      <c r="B4" s="5"/>
      <c r="C4" s="5"/>
      <c r="D4" s="5"/>
      <c r="E4" s="5"/>
      <c r="F4" s="5"/>
      <c r="G4" s="5"/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6" t="s">
        <v>6</v>
      </c>
      <c r="S5" s="2"/>
      <c r="T5" s="2"/>
      <c r="U5" s="2"/>
      <c r="V5" s="2"/>
    </row>
    <row r="6">
      <c r="S6" s="2"/>
      <c r="T6" s="2"/>
      <c r="U6" s="2"/>
      <c r="V6" s="2"/>
    </row>
    <row r="7">
      <c r="B7" s="7" t="s">
        <v>7</v>
      </c>
      <c r="C7" s="8"/>
      <c r="D7" s="9"/>
      <c r="F7" s="7" t="s">
        <v>8</v>
      </c>
      <c r="G7" s="8"/>
      <c r="H7" s="9"/>
      <c r="K7" s="7" t="s">
        <v>9</v>
      </c>
      <c r="L7" s="8"/>
      <c r="M7" s="9"/>
      <c r="O7" s="7" t="s">
        <v>10</v>
      </c>
      <c r="P7" s="8"/>
      <c r="Q7" s="9"/>
      <c r="T7" s="2"/>
      <c r="U7" s="2"/>
      <c r="V7" s="2"/>
    </row>
    <row r="8">
      <c r="B8" s="10" t="s">
        <v>11</v>
      </c>
      <c r="D8" s="11"/>
      <c r="F8" s="10" t="s">
        <v>12</v>
      </c>
      <c r="H8" s="11"/>
      <c r="K8" s="10" t="s">
        <v>13</v>
      </c>
      <c r="M8" s="11"/>
      <c r="O8" s="10" t="s">
        <v>14</v>
      </c>
      <c r="Q8" s="11"/>
      <c r="T8" s="2"/>
      <c r="U8" s="2"/>
      <c r="V8" s="2"/>
    </row>
    <row r="9">
      <c r="B9" s="12"/>
      <c r="D9" s="11"/>
      <c r="F9" s="12"/>
      <c r="H9" s="11"/>
      <c r="K9" s="12"/>
      <c r="M9" s="11"/>
      <c r="O9" s="12"/>
      <c r="Q9" s="11"/>
      <c r="T9" s="2"/>
      <c r="U9" s="2"/>
      <c r="V9" s="2"/>
    </row>
    <row r="10">
      <c r="B10" s="13"/>
      <c r="C10" s="14"/>
      <c r="D10" s="15"/>
      <c r="F10" s="13"/>
      <c r="G10" s="14"/>
      <c r="H10" s="15"/>
      <c r="K10" s="13"/>
      <c r="L10" s="14"/>
      <c r="M10" s="15"/>
      <c r="O10" s="13"/>
      <c r="P10" s="14"/>
      <c r="Q10" s="15"/>
      <c r="T10" s="2"/>
      <c r="U10" s="2"/>
      <c r="V10" s="2"/>
    </row>
    <row r="11">
      <c r="B11" s="16"/>
      <c r="C11" s="17" t="s">
        <v>15</v>
      </c>
      <c r="D11" s="18"/>
      <c r="G11" s="17" t="s">
        <v>15</v>
      </c>
      <c r="H11" s="18"/>
      <c r="L11" s="17" t="s">
        <v>15</v>
      </c>
      <c r="M11" s="18"/>
      <c r="P11" s="17" t="s">
        <v>15</v>
      </c>
      <c r="Q11" s="18"/>
      <c r="T11" s="2"/>
      <c r="U11" s="2"/>
    </row>
    <row r="12">
      <c r="B12" s="16"/>
      <c r="C12" s="16"/>
      <c r="D12" s="16"/>
      <c r="T12" s="2"/>
      <c r="U12" s="2"/>
    </row>
    <row r="13">
      <c r="A13" s="5"/>
      <c r="B13" s="7" t="s">
        <v>16</v>
      </c>
      <c r="C13" s="8"/>
      <c r="D13" s="9"/>
      <c r="E13" s="5"/>
      <c r="F13" s="7" t="s">
        <v>17</v>
      </c>
      <c r="G13" s="8"/>
      <c r="H13" s="9"/>
      <c r="I13" s="2"/>
      <c r="K13" s="7" t="s">
        <v>18</v>
      </c>
      <c r="L13" s="8"/>
      <c r="M13" s="9"/>
      <c r="N13" s="2"/>
      <c r="O13" s="7" t="s">
        <v>19</v>
      </c>
      <c r="P13" s="8"/>
      <c r="Q13" s="9"/>
      <c r="T13" s="2"/>
      <c r="U13" s="2"/>
    </row>
    <row r="14">
      <c r="A14" s="5"/>
      <c r="B14" s="10" t="s">
        <v>20</v>
      </c>
      <c r="D14" s="11"/>
      <c r="E14" s="5"/>
      <c r="F14" s="10" t="s">
        <v>21</v>
      </c>
      <c r="H14" s="11"/>
      <c r="I14" s="2"/>
      <c r="K14" s="10" t="s">
        <v>22</v>
      </c>
      <c r="M14" s="11"/>
      <c r="N14" s="2"/>
      <c r="O14" s="10" t="s">
        <v>23</v>
      </c>
      <c r="Q14" s="11"/>
      <c r="T14" s="2"/>
      <c r="U14" s="2"/>
    </row>
    <row r="15">
      <c r="A15" s="5"/>
      <c r="B15" s="12"/>
      <c r="D15" s="11"/>
      <c r="E15" s="5"/>
      <c r="F15" s="12"/>
      <c r="H15" s="11"/>
      <c r="I15" s="2"/>
      <c r="K15" s="12"/>
      <c r="M15" s="11"/>
      <c r="N15" s="2"/>
      <c r="O15" s="12"/>
      <c r="Q15" s="11"/>
      <c r="T15" s="2"/>
      <c r="U15" s="2"/>
    </row>
    <row r="16">
      <c r="A16" s="5"/>
      <c r="B16" s="13"/>
      <c r="C16" s="14"/>
      <c r="D16" s="15"/>
      <c r="E16" s="5"/>
      <c r="F16" s="13"/>
      <c r="G16" s="14"/>
      <c r="H16" s="15"/>
      <c r="I16" s="2"/>
      <c r="K16" s="13"/>
      <c r="L16" s="14"/>
      <c r="M16" s="15"/>
      <c r="N16" s="2"/>
      <c r="O16" s="13"/>
      <c r="P16" s="14"/>
      <c r="Q16" s="15"/>
      <c r="T16" s="2"/>
      <c r="U16" s="2"/>
    </row>
    <row r="17">
      <c r="A17" s="5"/>
      <c r="B17" s="5"/>
      <c r="C17" s="17" t="s">
        <v>15</v>
      </c>
      <c r="D17" s="18"/>
      <c r="E17" s="5"/>
      <c r="F17" s="5"/>
      <c r="G17" s="17" t="s">
        <v>15</v>
      </c>
      <c r="H17" s="18"/>
      <c r="I17" s="2"/>
      <c r="K17" s="2"/>
      <c r="L17" s="17" t="s">
        <v>15</v>
      </c>
      <c r="M17" s="18"/>
      <c r="N17" s="2"/>
      <c r="O17" s="2"/>
      <c r="P17" s="17" t="s">
        <v>15</v>
      </c>
      <c r="Q17" s="18"/>
      <c r="T17" s="2"/>
      <c r="U17" s="2"/>
    </row>
    <row r="18">
      <c r="A18" s="5"/>
      <c r="B18" s="5"/>
      <c r="C18" s="5"/>
      <c r="D18" s="5"/>
      <c r="E18" s="5"/>
      <c r="F18" s="5"/>
      <c r="G18" s="5"/>
      <c r="H18" s="5"/>
      <c r="I18" s="2"/>
      <c r="J18" s="2"/>
      <c r="K18" s="2"/>
      <c r="L18" s="2"/>
      <c r="T18" s="2"/>
      <c r="U18" s="2"/>
    </row>
    <row r="19">
      <c r="A19" s="19" t="s">
        <v>24</v>
      </c>
      <c r="B19" s="8"/>
      <c r="C19" s="8"/>
      <c r="D19" s="8"/>
      <c r="E19" s="8"/>
      <c r="F19" s="8"/>
      <c r="G19" s="8"/>
      <c r="H19" s="8"/>
      <c r="I19" s="8"/>
      <c r="J19" s="9"/>
      <c r="K19" s="20"/>
      <c r="L19" s="21" t="s">
        <v>25</v>
      </c>
      <c r="M19" s="8"/>
      <c r="N19" s="8"/>
      <c r="O19" s="8"/>
      <c r="P19" s="8"/>
      <c r="Q19" s="8"/>
      <c r="R19" s="9"/>
      <c r="S19" s="2"/>
      <c r="T19" s="2"/>
      <c r="U19" s="2"/>
    </row>
    <row r="20">
      <c r="A20" s="22" t="s">
        <v>26</v>
      </c>
      <c r="B20" s="23"/>
      <c r="C20" s="23"/>
      <c r="D20" s="24" t="s">
        <v>27</v>
      </c>
      <c r="E20" s="23"/>
      <c r="F20" s="24" t="s">
        <v>28</v>
      </c>
      <c r="G20" s="23"/>
      <c r="H20" s="23"/>
      <c r="I20" s="24" t="s">
        <v>29</v>
      </c>
      <c r="J20" s="25"/>
      <c r="K20" s="2"/>
      <c r="L20" s="13"/>
      <c r="M20" s="14"/>
      <c r="N20" s="14"/>
      <c r="O20" s="14"/>
      <c r="P20" s="14"/>
      <c r="Q20" s="14"/>
      <c r="R20" s="15"/>
      <c r="S20" s="2"/>
      <c r="T20" s="2"/>
      <c r="U20" s="2"/>
      <c r="V20" s="2"/>
    </row>
    <row r="21">
      <c r="A21" s="26" t="s">
        <v>30</v>
      </c>
      <c r="B21" s="23"/>
      <c r="C21" s="27"/>
      <c r="D21" s="28" t="s">
        <v>7</v>
      </c>
      <c r="E21" s="27"/>
      <c r="F21" s="28" t="s">
        <v>31</v>
      </c>
      <c r="G21" s="23"/>
      <c r="H21" s="27"/>
      <c r="I21" s="28" t="s">
        <v>32</v>
      </c>
      <c r="J21" s="25"/>
      <c r="K21" s="2"/>
      <c r="L21" s="29" t="s">
        <v>33</v>
      </c>
      <c r="M21" s="30"/>
      <c r="N21" s="30"/>
      <c r="O21" s="30"/>
      <c r="P21" s="30"/>
      <c r="Q21" s="30"/>
      <c r="R21" s="31"/>
      <c r="S21" s="2"/>
      <c r="T21" s="2"/>
      <c r="U21" s="2"/>
      <c r="V21" s="2"/>
    </row>
    <row r="22">
      <c r="A22" s="32" t="s">
        <v>34</v>
      </c>
      <c r="B22" s="23"/>
      <c r="C22" s="27"/>
      <c r="D22" s="33" t="s">
        <v>8</v>
      </c>
      <c r="E22" s="27"/>
      <c r="F22" s="33" t="s">
        <v>35</v>
      </c>
      <c r="G22" s="23"/>
      <c r="H22" s="27"/>
      <c r="I22" s="33" t="s">
        <v>36</v>
      </c>
      <c r="J22" s="25"/>
      <c r="K22" s="2"/>
      <c r="L22" s="34" t="s">
        <v>37</v>
      </c>
      <c r="M22" s="35"/>
      <c r="N22" s="35"/>
      <c r="O22" s="35"/>
      <c r="P22" s="35"/>
      <c r="Q22" s="35"/>
      <c r="R22" s="36"/>
    </row>
    <row r="23">
      <c r="A23" s="26" t="s">
        <v>38</v>
      </c>
      <c r="B23" s="23"/>
      <c r="C23" s="27"/>
      <c r="D23" s="28" t="s">
        <v>9</v>
      </c>
      <c r="E23" s="27"/>
      <c r="F23" s="28" t="s">
        <v>39</v>
      </c>
      <c r="G23" s="23"/>
      <c r="H23" s="27"/>
      <c r="I23" s="28" t="s">
        <v>40</v>
      </c>
      <c r="J23" s="25"/>
      <c r="K23" s="2"/>
      <c r="L23" s="34" t="s">
        <v>41</v>
      </c>
      <c r="M23" s="35"/>
      <c r="N23" s="35"/>
      <c r="O23" s="35"/>
      <c r="P23" s="35"/>
      <c r="Q23" s="35"/>
      <c r="R23" s="36"/>
    </row>
    <row r="24">
      <c r="A24" s="32" t="s">
        <v>42</v>
      </c>
      <c r="B24" s="23"/>
      <c r="C24" s="27"/>
      <c r="D24" s="33" t="s">
        <v>10</v>
      </c>
      <c r="E24" s="27"/>
      <c r="F24" s="33" t="s">
        <v>43</v>
      </c>
      <c r="G24" s="23"/>
      <c r="H24" s="27"/>
      <c r="I24" s="33" t="s">
        <v>44</v>
      </c>
      <c r="J24" s="25"/>
      <c r="K24" s="2"/>
      <c r="L24" s="34" t="s">
        <v>45</v>
      </c>
      <c r="M24" s="35"/>
      <c r="N24" s="35"/>
      <c r="O24" s="35"/>
      <c r="P24" s="35"/>
      <c r="Q24" s="35"/>
      <c r="R24" s="36"/>
    </row>
    <row r="25">
      <c r="A25" s="26" t="s">
        <v>46</v>
      </c>
      <c r="B25" s="23"/>
      <c r="C25" s="27"/>
      <c r="D25" s="28" t="s">
        <v>16</v>
      </c>
      <c r="E25" s="27"/>
      <c r="F25" s="28" t="s">
        <v>47</v>
      </c>
      <c r="G25" s="23"/>
      <c r="H25" s="27"/>
      <c r="I25" s="28" t="s">
        <v>48</v>
      </c>
      <c r="J25" s="25"/>
      <c r="K25" s="2"/>
      <c r="L25" s="34" t="s">
        <v>49</v>
      </c>
      <c r="M25" s="35"/>
      <c r="N25" s="35"/>
      <c r="O25" s="35"/>
      <c r="P25" s="35"/>
      <c r="Q25" s="35"/>
      <c r="R25" s="36"/>
    </row>
    <row r="26">
      <c r="A26" s="32" t="s">
        <v>50</v>
      </c>
      <c r="B26" s="23"/>
      <c r="C26" s="27"/>
      <c r="D26" s="33" t="s">
        <v>17</v>
      </c>
      <c r="E26" s="27"/>
      <c r="F26" s="33" t="s">
        <v>51</v>
      </c>
      <c r="G26" s="23"/>
      <c r="H26" s="27"/>
      <c r="I26" s="33" t="s">
        <v>52</v>
      </c>
      <c r="J26" s="25"/>
      <c r="K26" s="2"/>
      <c r="L26" s="34" t="s">
        <v>53</v>
      </c>
      <c r="M26" s="35"/>
      <c r="N26" s="35"/>
      <c r="O26" s="35"/>
      <c r="P26" s="35"/>
      <c r="Q26" s="35"/>
      <c r="R26" s="36"/>
    </row>
    <row r="27">
      <c r="A27" s="26" t="s">
        <v>54</v>
      </c>
      <c r="B27" s="23"/>
      <c r="C27" s="27"/>
      <c r="D27" s="28" t="s">
        <v>18</v>
      </c>
      <c r="E27" s="27"/>
      <c r="F27" s="28" t="s">
        <v>55</v>
      </c>
      <c r="G27" s="23"/>
      <c r="H27" s="27"/>
      <c r="I27" s="28" t="s">
        <v>56</v>
      </c>
      <c r="J27" s="25"/>
      <c r="K27" s="2"/>
      <c r="L27" s="37" t="s">
        <v>57</v>
      </c>
      <c r="M27" s="35"/>
      <c r="N27" s="35"/>
      <c r="O27" s="35"/>
      <c r="P27" s="35"/>
      <c r="Q27" s="35"/>
      <c r="R27" s="36"/>
    </row>
    <row r="28">
      <c r="A28" s="38" t="s">
        <v>58</v>
      </c>
      <c r="B28" s="39"/>
      <c r="C28" s="40"/>
      <c r="D28" s="41" t="s">
        <v>19</v>
      </c>
      <c r="E28" s="40"/>
      <c r="F28" s="41" t="s">
        <v>59</v>
      </c>
      <c r="G28" s="39"/>
      <c r="H28" s="40"/>
      <c r="I28" s="41" t="s">
        <v>60</v>
      </c>
      <c r="J28" s="42"/>
      <c r="K28" s="2"/>
      <c r="L28" s="37" t="s">
        <v>61</v>
      </c>
      <c r="M28" s="35"/>
      <c r="N28" s="35"/>
      <c r="O28" s="35"/>
      <c r="P28" s="35"/>
      <c r="Q28" s="35"/>
      <c r="R28" s="36"/>
    </row>
    <row r="29" ht="29.25" customHeight="1">
      <c r="A29" s="5"/>
      <c r="B29" s="5"/>
      <c r="C29" s="5"/>
      <c r="D29" s="5"/>
      <c r="E29" s="5"/>
      <c r="F29" s="5"/>
      <c r="G29" s="5"/>
      <c r="H29" s="5"/>
      <c r="I29" s="2"/>
      <c r="J29" s="2"/>
      <c r="K29" s="2"/>
      <c r="L29" s="37" t="s">
        <v>62</v>
      </c>
      <c r="M29" s="35"/>
      <c r="N29" s="35"/>
      <c r="O29" s="35"/>
      <c r="P29" s="35"/>
      <c r="Q29" s="35"/>
      <c r="R29" s="36"/>
    </row>
    <row r="30" ht="30.0" customHeight="1">
      <c r="A30" s="5"/>
      <c r="B30" s="5"/>
      <c r="C30" s="5"/>
      <c r="D30" s="5"/>
      <c r="E30" s="5"/>
      <c r="F30" s="5"/>
      <c r="G30" s="5"/>
      <c r="H30" s="5"/>
      <c r="I30" s="2"/>
      <c r="J30" s="2"/>
      <c r="K30" s="2"/>
      <c r="L30" s="43" t="s">
        <v>63</v>
      </c>
      <c r="M30" s="44"/>
      <c r="N30" s="44"/>
      <c r="O30" s="44"/>
      <c r="P30" s="44"/>
      <c r="Q30" s="44"/>
      <c r="R30" s="45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</sheetData>
  <mergeCells count="79">
    <mergeCell ref="D21:E21"/>
    <mergeCell ref="F21:H21"/>
    <mergeCell ref="F22:H22"/>
    <mergeCell ref="I22:J22"/>
    <mergeCell ref="F23:H23"/>
    <mergeCell ref="I23:J23"/>
    <mergeCell ref="F24:H24"/>
    <mergeCell ref="I24:J24"/>
    <mergeCell ref="A21:C21"/>
    <mergeCell ref="A22:C22"/>
    <mergeCell ref="D22:E22"/>
    <mergeCell ref="A23:C23"/>
    <mergeCell ref="D23:E23"/>
    <mergeCell ref="A24:C24"/>
    <mergeCell ref="D24:E24"/>
    <mergeCell ref="L26:R26"/>
    <mergeCell ref="L27:R27"/>
    <mergeCell ref="L29:R29"/>
    <mergeCell ref="L30:R30"/>
    <mergeCell ref="P17:Q17"/>
    <mergeCell ref="L19:R20"/>
    <mergeCell ref="L21:R21"/>
    <mergeCell ref="L22:R22"/>
    <mergeCell ref="L23:R23"/>
    <mergeCell ref="L24:R24"/>
    <mergeCell ref="L25:R25"/>
    <mergeCell ref="A1:R1"/>
    <mergeCell ref="A2:R2"/>
    <mergeCell ref="A3:C3"/>
    <mergeCell ref="D3:F3"/>
    <mergeCell ref="G3:I3"/>
    <mergeCell ref="J3:M3"/>
    <mergeCell ref="A5:R5"/>
    <mergeCell ref="B7:D7"/>
    <mergeCell ref="F7:H7"/>
    <mergeCell ref="K7:M7"/>
    <mergeCell ref="O7:Q7"/>
    <mergeCell ref="F8:H10"/>
    <mergeCell ref="O8:Q10"/>
    <mergeCell ref="G11:H11"/>
    <mergeCell ref="P11:Q11"/>
    <mergeCell ref="B8:D10"/>
    <mergeCell ref="C11:D11"/>
    <mergeCell ref="B13:D13"/>
    <mergeCell ref="F13:H13"/>
    <mergeCell ref="B14:D16"/>
    <mergeCell ref="F14:H16"/>
    <mergeCell ref="C17:D17"/>
    <mergeCell ref="K8:M10"/>
    <mergeCell ref="L11:M11"/>
    <mergeCell ref="K13:M13"/>
    <mergeCell ref="O13:Q13"/>
    <mergeCell ref="K14:M16"/>
    <mergeCell ref="O14:Q16"/>
    <mergeCell ref="L17:M17"/>
    <mergeCell ref="G17:H17"/>
    <mergeCell ref="A19:J19"/>
    <mergeCell ref="A20:C20"/>
    <mergeCell ref="D20:E20"/>
    <mergeCell ref="F20:H20"/>
    <mergeCell ref="I20:J20"/>
    <mergeCell ref="I21:J21"/>
    <mergeCell ref="A25:C25"/>
    <mergeCell ref="D25:E25"/>
    <mergeCell ref="F25:H25"/>
    <mergeCell ref="I25:J25"/>
    <mergeCell ref="D26:E26"/>
    <mergeCell ref="F26:H26"/>
    <mergeCell ref="I26:J26"/>
    <mergeCell ref="F28:H28"/>
    <mergeCell ref="I28:J28"/>
    <mergeCell ref="L28:R28"/>
    <mergeCell ref="A26:C26"/>
    <mergeCell ref="A27:C27"/>
    <mergeCell ref="D27:E27"/>
    <mergeCell ref="F27:H27"/>
    <mergeCell ref="I27:J27"/>
    <mergeCell ref="A28:C28"/>
    <mergeCell ref="D28:E28"/>
  </mergeCells>
  <hyperlinks>
    <hyperlink display="Открыть →" location="'М и Х Bambu Lab'!A1" ref="C11"/>
    <hyperlink display="Открыть →" location="'Продажа из наличия'!A1" ref="G11"/>
    <hyperlink display="Открыть →" location="'Предзаказ'!A1" ref="L11"/>
    <hyperlink display="Открыть →" location="'Самовывозшоурум'!A1" ref="P11"/>
    <hyperlink display="Открыть →" location="'Доставка СДЭКТК'!A1" ref="C17"/>
    <hyperlink display="Открыть →" location="'Договоры и счета'!A1" ref="G17"/>
    <hyperlink display="Открыть →" location="'Шаблоны сообщений'!A1" ref="L17"/>
    <hyperlink display="Открыть →" location="'FAQОшибки'!A1" ref="P17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38"/>
    <col customWidth="1" min="2" max="2" width="10.63"/>
    <col customWidth="1" min="3" max="3" width="6.75"/>
    <col customWidth="1" min="4" max="4" width="15.25"/>
    <col customWidth="1" min="6" max="6" width="15.38"/>
    <col customWidth="1" min="10" max="10" width="15.0"/>
  </cols>
  <sheetData>
    <row r="1">
      <c r="A1" s="46"/>
      <c r="B1" s="47"/>
      <c r="C1" s="47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48" t="s">
        <v>64</v>
      </c>
      <c r="C2" s="49"/>
      <c r="D2" s="2"/>
      <c r="E2" s="2"/>
      <c r="F2" s="2"/>
      <c r="G2" s="2"/>
      <c r="H2" s="2"/>
      <c r="I2" s="2"/>
      <c r="J2" s="2"/>
      <c r="K2" s="2"/>
      <c r="L2" s="50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51"/>
      <c r="H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52" t="s">
        <v>65</v>
      </c>
      <c r="C4" s="53"/>
      <c r="D4" s="54" t="s">
        <v>66</v>
      </c>
      <c r="E4" s="55" t="s">
        <v>67</v>
      </c>
      <c r="F4" s="55" t="s">
        <v>68</v>
      </c>
      <c r="G4" s="55" t="s">
        <v>69</v>
      </c>
      <c r="H4" s="55" t="s">
        <v>70</v>
      </c>
      <c r="I4" s="55" t="s">
        <v>71</v>
      </c>
      <c r="J4" s="56" t="s">
        <v>72</v>
      </c>
      <c r="K4" s="56" t="s">
        <v>73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57" t="s">
        <v>74</v>
      </c>
      <c r="C5" s="58"/>
      <c r="D5" s="59" t="s">
        <v>75</v>
      </c>
      <c r="E5" s="60" t="s">
        <v>76</v>
      </c>
      <c r="F5" s="60" t="s">
        <v>9</v>
      </c>
      <c r="G5" s="61" t="s">
        <v>77</v>
      </c>
      <c r="H5" s="62" t="s">
        <v>78</v>
      </c>
      <c r="I5" s="63">
        <f>IFERROR(__xludf.DUMMYFUNCTION("IMPORTRANGE(""https://docs.google.com/spreadsheets/d/1FPA6S4g2zCmxgAh8tBnq2ZI2RHjFsZbYGZ2v8df4HU8/edit"", ""'Unit-экономика'!U3:U20"")"),37500.0)</f>
        <v>37500</v>
      </c>
      <c r="J5" s="64">
        <f t="shared" ref="J5:J22" si="1">I5 * 1.07</f>
        <v>40125</v>
      </c>
      <c r="K5" s="64">
        <f t="shared" ref="K5:K22" si="2">I5 * 1.03</f>
        <v>38625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65" t="s">
        <v>79</v>
      </c>
      <c r="D6" s="66" t="s">
        <v>75</v>
      </c>
      <c r="E6" s="60" t="s">
        <v>80</v>
      </c>
      <c r="F6" s="60" t="s">
        <v>9</v>
      </c>
      <c r="G6" s="61" t="s">
        <v>77</v>
      </c>
      <c r="H6" s="62" t="s">
        <v>78</v>
      </c>
      <c r="I6" s="63">
        <f>IFERROR(__xludf.DUMMYFUNCTION("""COMPUTED_VALUE"""),46990.0)</f>
        <v>46990</v>
      </c>
      <c r="J6" s="64">
        <f t="shared" si="1"/>
        <v>50279.3</v>
      </c>
      <c r="K6" s="64">
        <f t="shared" si="2"/>
        <v>48399.7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57" t="s">
        <v>81</v>
      </c>
      <c r="C7" s="58"/>
      <c r="D7" s="59" t="s">
        <v>75</v>
      </c>
      <c r="E7" s="60" t="s">
        <v>82</v>
      </c>
      <c r="F7" s="60" t="s">
        <v>9</v>
      </c>
      <c r="G7" s="61" t="s">
        <v>77</v>
      </c>
      <c r="H7" s="62" t="s">
        <v>78</v>
      </c>
      <c r="I7" s="63">
        <f>IFERROR(__xludf.DUMMYFUNCTION("""COMPUTED_VALUE"""),94900.0)</f>
        <v>94900</v>
      </c>
      <c r="J7" s="64">
        <f t="shared" si="1"/>
        <v>101543</v>
      </c>
      <c r="K7" s="64">
        <f t="shared" si="2"/>
        <v>97747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57" t="s">
        <v>83</v>
      </c>
      <c r="C8" s="58"/>
      <c r="D8" s="59" t="s">
        <v>75</v>
      </c>
      <c r="E8" s="60" t="s">
        <v>84</v>
      </c>
      <c r="F8" s="60" t="s">
        <v>9</v>
      </c>
      <c r="G8" s="61" t="s">
        <v>77</v>
      </c>
      <c r="H8" s="62" t="s">
        <v>78</v>
      </c>
      <c r="I8" s="63">
        <f>IFERROR(__xludf.DUMMYFUNCTION("""COMPUTED_VALUE"""),189000.0)</f>
        <v>189000</v>
      </c>
      <c r="J8" s="64">
        <f t="shared" si="1"/>
        <v>202230</v>
      </c>
      <c r="K8" s="64">
        <f t="shared" si="2"/>
        <v>194670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65" t="s">
        <v>85</v>
      </c>
      <c r="D9" s="66" t="s">
        <v>75</v>
      </c>
      <c r="E9" s="60" t="s">
        <v>86</v>
      </c>
      <c r="F9" s="60" t="s">
        <v>9</v>
      </c>
      <c r="G9" s="61" t="s">
        <v>77</v>
      </c>
      <c r="H9" s="62" t="s">
        <v>78</v>
      </c>
      <c r="I9" s="63">
        <f>IFERROR(__xludf.DUMMYFUNCTION("""COMPUTED_VALUE"""),149000.0)</f>
        <v>149000</v>
      </c>
      <c r="J9" s="64">
        <f t="shared" si="1"/>
        <v>159430</v>
      </c>
      <c r="K9" s="64">
        <f t="shared" si="2"/>
        <v>153470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1"/>
      <c r="B10" s="67" t="s">
        <v>87</v>
      </c>
      <c r="D10" s="68" t="s">
        <v>88</v>
      </c>
      <c r="E10" s="69" t="s">
        <v>86</v>
      </c>
      <c r="F10" s="69" t="s">
        <v>9</v>
      </c>
      <c r="G10" s="70" t="s">
        <v>77</v>
      </c>
      <c r="H10" s="71" t="s">
        <v>78</v>
      </c>
      <c r="I10" s="63">
        <f>IFERROR(__xludf.DUMMYFUNCTION("""COMPUTED_VALUE"""),139000.0)</f>
        <v>139000</v>
      </c>
      <c r="J10" s="64">
        <f t="shared" si="1"/>
        <v>148730</v>
      </c>
      <c r="K10" s="64">
        <f t="shared" si="2"/>
        <v>143170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1"/>
      <c r="B11" s="57" t="s">
        <v>89</v>
      </c>
      <c r="C11" s="58"/>
      <c r="D11" s="59" t="s">
        <v>75</v>
      </c>
      <c r="E11" s="60" t="s">
        <v>90</v>
      </c>
      <c r="F11" s="60" t="s">
        <v>9</v>
      </c>
      <c r="G11" s="61" t="s">
        <v>77</v>
      </c>
      <c r="H11" s="62" t="s">
        <v>78</v>
      </c>
      <c r="I11" s="63">
        <f>IFERROR(__xludf.DUMMYFUNCTION("""COMPUTED_VALUE"""),269000.0)</f>
        <v>269000</v>
      </c>
      <c r="J11" s="64">
        <f t="shared" si="1"/>
        <v>287830</v>
      </c>
      <c r="K11" s="64">
        <f t="shared" si="2"/>
        <v>277070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65" t="s">
        <v>91</v>
      </c>
      <c r="D12" s="66" t="s">
        <v>75</v>
      </c>
      <c r="E12" s="60" t="s">
        <v>92</v>
      </c>
      <c r="F12" s="60" t="s">
        <v>9</v>
      </c>
      <c r="G12" s="61" t="s">
        <v>77</v>
      </c>
      <c r="H12" s="62" t="s">
        <v>78</v>
      </c>
      <c r="I12" s="63">
        <f>IFERROR(__xludf.DUMMYFUNCTION("""COMPUTED_VALUE"""),289000.0)</f>
        <v>289000</v>
      </c>
      <c r="J12" s="64">
        <f t="shared" si="1"/>
        <v>309230</v>
      </c>
      <c r="K12" s="64">
        <f t="shared" si="2"/>
        <v>297670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65" t="s">
        <v>93</v>
      </c>
      <c r="D13" s="66" t="s">
        <v>75</v>
      </c>
      <c r="E13" s="60" t="s">
        <v>94</v>
      </c>
      <c r="F13" s="60" t="s">
        <v>9</v>
      </c>
      <c r="G13" s="61" t="s">
        <v>77</v>
      </c>
      <c r="H13" s="62" t="s">
        <v>78</v>
      </c>
      <c r="I13" s="63">
        <f>IFERROR(__xludf.DUMMYFUNCTION("""COMPUTED_VALUE"""),199000.0)</f>
        <v>199000</v>
      </c>
      <c r="J13" s="64">
        <f t="shared" si="1"/>
        <v>212930</v>
      </c>
      <c r="K13" s="64">
        <f t="shared" si="2"/>
        <v>204970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65" t="s">
        <v>95</v>
      </c>
      <c r="D14" s="66" t="s">
        <v>75</v>
      </c>
      <c r="E14" s="60" t="s">
        <v>96</v>
      </c>
      <c r="F14" s="60" t="s">
        <v>9</v>
      </c>
      <c r="G14" s="61" t="s">
        <v>77</v>
      </c>
      <c r="H14" s="62" t="s">
        <v>78</v>
      </c>
      <c r="I14" s="63">
        <f>IFERROR(__xludf.DUMMYFUNCTION("""COMPUTED_VALUE"""),299000.0)</f>
        <v>299000</v>
      </c>
      <c r="J14" s="64">
        <f t="shared" si="1"/>
        <v>319930</v>
      </c>
      <c r="K14" s="64">
        <f t="shared" si="2"/>
        <v>307970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67" t="s">
        <v>97</v>
      </c>
      <c r="D15" s="68" t="s">
        <v>88</v>
      </c>
      <c r="E15" s="69" t="s">
        <v>94</v>
      </c>
      <c r="F15" s="69" t="s">
        <v>9</v>
      </c>
      <c r="G15" s="70" t="s">
        <v>77</v>
      </c>
      <c r="H15" s="71" t="s">
        <v>78</v>
      </c>
      <c r="I15" s="63">
        <f>IFERROR(__xludf.DUMMYFUNCTION("""COMPUTED_VALUE"""),159000.0)</f>
        <v>159000</v>
      </c>
      <c r="J15" s="64">
        <f t="shared" si="1"/>
        <v>170130</v>
      </c>
      <c r="K15" s="64">
        <f t="shared" si="2"/>
        <v>163770</v>
      </c>
      <c r="M15" s="51"/>
      <c r="N15" s="72"/>
      <c r="O15" s="51"/>
      <c r="P15" s="51"/>
      <c r="Q15" s="51"/>
      <c r="R15" s="2"/>
      <c r="S15" s="2"/>
      <c r="T15" s="2"/>
      <c r="U15" s="2"/>
      <c r="V15" s="2"/>
      <c r="W15" s="2"/>
      <c r="X15" s="2"/>
      <c r="Y15" s="2"/>
      <c r="Z15" s="2"/>
    </row>
    <row r="16">
      <c r="B16" s="67" t="s">
        <v>98</v>
      </c>
      <c r="D16" s="68" t="s">
        <v>88</v>
      </c>
      <c r="E16" s="69" t="s">
        <v>90</v>
      </c>
      <c r="F16" s="69" t="s">
        <v>9</v>
      </c>
      <c r="G16" s="70" t="s">
        <v>77</v>
      </c>
      <c r="H16" s="71" t="s">
        <v>78</v>
      </c>
      <c r="I16" s="63">
        <f>IFERROR(__xludf.DUMMYFUNCTION("""COMPUTED_VALUE"""),229000.0)</f>
        <v>229000</v>
      </c>
      <c r="J16" s="64">
        <f t="shared" si="1"/>
        <v>245030</v>
      </c>
      <c r="K16" s="64">
        <f t="shared" si="2"/>
        <v>235870</v>
      </c>
      <c r="M16" s="51"/>
      <c r="N16" s="72"/>
      <c r="O16" s="51"/>
      <c r="P16" s="51"/>
      <c r="Q16" s="51"/>
      <c r="R16" s="2"/>
      <c r="S16" s="2"/>
      <c r="T16" s="2"/>
      <c r="U16" s="2"/>
      <c r="V16" s="2"/>
      <c r="W16" s="2"/>
      <c r="X16" s="2"/>
      <c r="Y16" s="2"/>
      <c r="Z16" s="2"/>
    </row>
    <row r="17">
      <c r="B17" s="67" t="s">
        <v>99</v>
      </c>
      <c r="D17" s="68" t="s">
        <v>88</v>
      </c>
      <c r="E17" s="69" t="s">
        <v>92</v>
      </c>
      <c r="F17" s="69" t="s">
        <v>9</v>
      </c>
      <c r="G17" s="70" t="s">
        <v>77</v>
      </c>
      <c r="H17" s="71" t="s">
        <v>78</v>
      </c>
      <c r="I17" s="63">
        <f>IFERROR(__xludf.DUMMYFUNCTION("""COMPUTED_VALUE"""),259000.0)</f>
        <v>259000</v>
      </c>
      <c r="J17" s="64">
        <f t="shared" si="1"/>
        <v>277130</v>
      </c>
      <c r="K17" s="64">
        <f t="shared" si="2"/>
        <v>266770</v>
      </c>
      <c r="M17" s="51"/>
      <c r="N17" s="72"/>
      <c r="O17" s="51"/>
      <c r="P17" s="51"/>
      <c r="Q17" s="51"/>
      <c r="R17" s="2"/>
      <c r="S17" s="2"/>
      <c r="T17" s="2"/>
      <c r="U17" s="2"/>
      <c r="V17" s="2"/>
      <c r="W17" s="2"/>
      <c r="X17" s="2"/>
      <c r="Y17" s="2"/>
      <c r="Z17" s="2"/>
    </row>
    <row r="18">
      <c r="B18" s="67" t="s">
        <v>100</v>
      </c>
      <c r="D18" s="73" t="s">
        <v>88</v>
      </c>
      <c r="E18" s="69" t="s">
        <v>96</v>
      </c>
      <c r="F18" s="69" t="s">
        <v>9</v>
      </c>
      <c r="G18" s="70" t="s">
        <v>77</v>
      </c>
      <c r="H18" s="71" t="s">
        <v>78</v>
      </c>
      <c r="I18" s="63">
        <f>IFERROR(__xludf.DUMMYFUNCTION("""COMPUTED_VALUE"""),329000.0)</f>
        <v>329000</v>
      </c>
      <c r="J18" s="64">
        <f t="shared" si="1"/>
        <v>352030</v>
      </c>
      <c r="K18" s="64">
        <f t="shared" si="2"/>
        <v>338870</v>
      </c>
      <c r="M18" s="51"/>
      <c r="N18" s="51"/>
      <c r="O18" s="51"/>
      <c r="P18" s="51"/>
      <c r="Q18" s="51"/>
      <c r="R18" s="2"/>
      <c r="S18" s="2"/>
      <c r="T18" s="2"/>
      <c r="U18" s="2"/>
      <c r="V18" s="2"/>
      <c r="W18" s="2"/>
      <c r="X18" s="2"/>
      <c r="Y18" s="2"/>
      <c r="Z18" s="2"/>
    </row>
    <row r="19">
      <c r="B19" s="65" t="s">
        <v>101</v>
      </c>
      <c r="D19" s="66" t="s">
        <v>75</v>
      </c>
      <c r="E19" s="62" t="s">
        <v>102</v>
      </c>
      <c r="F19" s="62" t="s">
        <v>9</v>
      </c>
      <c r="G19" s="61" t="s">
        <v>77</v>
      </c>
      <c r="H19" s="62" t="s">
        <v>78</v>
      </c>
      <c r="I19" s="63">
        <f>IFERROR(__xludf.DUMMYFUNCTION("""COMPUTED_VALUE"""),274000.0)</f>
        <v>274000</v>
      </c>
      <c r="J19" s="64">
        <f t="shared" si="1"/>
        <v>293180</v>
      </c>
      <c r="K19" s="64">
        <f t="shared" si="2"/>
        <v>282220</v>
      </c>
      <c r="M19" s="51"/>
      <c r="N19" s="51"/>
      <c r="O19" s="51"/>
      <c r="P19" s="51"/>
      <c r="Q19" s="51"/>
      <c r="R19" s="2"/>
      <c r="S19" s="2"/>
      <c r="T19" s="2"/>
      <c r="U19" s="2"/>
      <c r="V19" s="2"/>
      <c r="W19" s="2"/>
      <c r="X19" s="2"/>
      <c r="Y19" s="2"/>
      <c r="Z19" s="2"/>
    </row>
    <row r="20">
      <c r="B20" s="65" t="s">
        <v>103</v>
      </c>
      <c r="D20" s="66" t="s">
        <v>75</v>
      </c>
      <c r="E20" s="62" t="s">
        <v>104</v>
      </c>
      <c r="F20" s="60" t="s">
        <v>9</v>
      </c>
      <c r="G20" s="61" t="s">
        <v>77</v>
      </c>
      <c r="H20" s="62" t="s">
        <v>78</v>
      </c>
      <c r="I20" s="63">
        <f>IFERROR(__xludf.DUMMYFUNCTION("""COMPUTED_VALUE"""),309000.0)</f>
        <v>309000</v>
      </c>
      <c r="J20" s="64">
        <f t="shared" si="1"/>
        <v>330630</v>
      </c>
      <c r="K20" s="64">
        <f t="shared" si="2"/>
        <v>318270</v>
      </c>
      <c r="M20" s="51"/>
      <c r="N20" s="51"/>
      <c r="O20" s="51"/>
      <c r="P20" s="51"/>
      <c r="Q20" s="51"/>
      <c r="R20" s="2"/>
      <c r="S20" s="2"/>
      <c r="T20" s="2"/>
      <c r="U20" s="2"/>
      <c r="V20" s="2"/>
      <c r="W20" s="2"/>
      <c r="X20" s="2"/>
      <c r="Y20" s="2"/>
      <c r="Z20" s="2"/>
    </row>
    <row r="21">
      <c r="B21" s="65" t="s">
        <v>105</v>
      </c>
      <c r="D21" s="66" t="s">
        <v>75</v>
      </c>
      <c r="E21" s="60" t="s">
        <v>106</v>
      </c>
      <c r="F21" s="62" t="s">
        <v>107</v>
      </c>
      <c r="G21" s="61">
        <v>5.0</v>
      </c>
      <c r="H21" s="62" t="s">
        <v>108</v>
      </c>
      <c r="I21" s="63">
        <f>IFERROR(__xludf.DUMMYFUNCTION("""COMPUTED_VALUE"""),239000.0)</f>
        <v>239000</v>
      </c>
      <c r="J21" s="64">
        <f t="shared" si="1"/>
        <v>255730</v>
      </c>
      <c r="K21" s="64">
        <f t="shared" si="2"/>
        <v>246170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74" t="s">
        <v>109</v>
      </c>
      <c r="C22" s="75"/>
      <c r="D22" s="76" t="s">
        <v>88</v>
      </c>
      <c r="E22" s="77" t="s">
        <v>106</v>
      </c>
      <c r="F22" s="78" t="s">
        <v>9</v>
      </c>
      <c r="G22" s="79" t="s">
        <v>77</v>
      </c>
      <c r="H22" s="78" t="s">
        <v>78</v>
      </c>
      <c r="I22" s="80">
        <f>IFERROR(__xludf.DUMMYFUNCTION("""COMPUTED_VALUE"""),194900.0)</f>
        <v>194900</v>
      </c>
      <c r="J22" s="64">
        <f t="shared" si="1"/>
        <v>208543</v>
      </c>
      <c r="K22" s="64">
        <f t="shared" si="2"/>
        <v>200747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81" t="s">
        <v>110</v>
      </c>
      <c r="C26" s="49"/>
      <c r="D26" s="2"/>
      <c r="E26" s="2"/>
      <c r="F26" s="2"/>
      <c r="G26" s="2"/>
      <c r="H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82"/>
      <c r="C27" s="82"/>
      <c r="D27" s="2"/>
      <c r="E27" s="2"/>
      <c r="F27" s="2"/>
      <c r="G27" s="2"/>
      <c r="H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83" t="s">
        <v>111</v>
      </c>
      <c r="C28" s="84"/>
      <c r="D28" s="85" t="s">
        <v>112</v>
      </c>
      <c r="E28" s="84"/>
      <c r="F28" s="83" t="s">
        <v>113</v>
      </c>
      <c r="G28" s="84"/>
      <c r="H28" s="83" t="s">
        <v>94</v>
      </c>
      <c r="I28" s="84"/>
      <c r="J28" s="85" t="s">
        <v>114</v>
      </c>
      <c r="K28" s="84"/>
      <c r="L28" s="83" t="s">
        <v>106</v>
      </c>
      <c r="M28" s="84"/>
      <c r="X28" s="2"/>
      <c r="Y28" s="2"/>
      <c r="Z28" s="2"/>
    </row>
    <row r="29">
      <c r="A29" s="2"/>
      <c r="B29" s="86" t="s">
        <v>115</v>
      </c>
      <c r="C29" s="84"/>
      <c r="D29" s="87" t="s">
        <v>116</v>
      </c>
      <c r="E29" s="84"/>
      <c r="F29" s="88" t="s">
        <v>117</v>
      </c>
      <c r="G29" s="84"/>
      <c r="H29" s="87" t="s">
        <v>118</v>
      </c>
      <c r="I29" s="84"/>
      <c r="J29" s="88" t="s">
        <v>119</v>
      </c>
      <c r="K29" s="84"/>
      <c r="L29" s="87" t="s">
        <v>120</v>
      </c>
      <c r="M29" s="84"/>
      <c r="X29" s="2"/>
      <c r="Y29" s="2"/>
      <c r="Z29" s="2"/>
    </row>
    <row r="30">
      <c r="A30" s="2"/>
      <c r="B30" s="89" t="s">
        <v>121</v>
      </c>
      <c r="C30" s="84"/>
      <c r="D30" s="90" t="s">
        <v>122</v>
      </c>
      <c r="E30" s="84"/>
      <c r="F30" s="91" t="s">
        <v>123</v>
      </c>
      <c r="G30" s="84"/>
      <c r="H30" s="90" t="s">
        <v>124</v>
      </c>
      <c r="I30" s="84"/>
      <c r="J30" s="91" t="s">
        <v>125</v>
      </c>
      <c r="K30" s="84"/>
      <c r="L30" s="90" t="s">
        <v>126</v>
      </c>
      <c r="M30" s="84"/>
      <c r="X30" s="2"/>
      <c r="Y30" s="2"/>
      <c r="Z30" s="2"/>
    </row>
    <row r="31">
      <c r="A31" s="2"/>
      <c r="B31" s="86" t="s">
        <v>127</v>
      </c>
      <c r="C31" s="84"/>
      <c r="D31" s="87" t="s">
        <v>128</v>
      </c>
      <c r="E31" s="84"/>
      <c r="F31" s="88" t="s">
        <v>129</v>
      </c>
      <c r="G31" s="84"/>
      <c r="H31" s="87" t="s">
        <v>129</v>
      </c>
      <c r="I31" s="84"/>
      <c r="J31" s="88" t="s">
        <v>129</v>
      </c>
      <c r="K31" s="84"/>
      <c r="L31" s="87" t="s">
        <v>130</v>
      </c>
      <c r="M31" s="84"/>
      <c r="X31" s="2"/>
      <c r="Y31" s="2"/>
      <c r="Z31" s="2"/>
    </row>
    <row r="32">
      <c r="A32" s="2"/>
      <c r="B32" s="86" t="s">
        <v>131</v>
      </c>
      <c r="C32" s="84"/>
      <c r="D32" s="90" t="s">
        <v>132</v>
      </c>
      <c r="E32" s="84"/>
      <c r="F32" s="91" t="s">
        <v>132</v>
      </c>
      <c r="G32" s="84"/>
      <c r="H32" s="90" t="s">
        <v>133</v>
      </c>
      <c r="I32" s="84"/>
      <c r="J32" s="91" t="s">
        <v>133</v>
      </c>
      <c r="K32" s="84"/>
      <c r="L32" s="87" t="s">
        <v>133</v>
      </c>
      <c r="M32" s="84"/>
      <c r="X32" s="2"/>
      <c r="Y32" s="2"/>
      <c r="Z32" s="2"/>
    </row>
    <row r="33">
      <c r="A33" s="2"/>
      <c r="B33" s="86" t="s">
        <v>134</v>
      </c>
      <c r="C33" s="84"/>
      <c r="D33" s="87" t="s">
        <v>135</v>
      </c>
      <c r="E33" s="84"/>
      <c r="F33" s="88" t="s">
        <v>136</v>
      </c>
      <c r="G33" s="84"/>
      <c r="H33" s="87" t="s">
        <v>137</v>
      </c>
      <c r="I33" s="84"/>
      <c r="J33" s="88" t="s">
        <v>137</v>
      </c>
      <c r="K33" s="84"/>
      <c r="L33" s="87" t="s">
        <v>138</v>
      </c>
      <c r="M33" s="84"/>
      <c r="X33" s="2"/>
      <c r="Y33" s="2"/>
      <c r="Z33" s="2"/>
    </row>
    <row r="34">
      <c r="A34" s="2"/>
      <c r="B34" s="86" t="s">
        <v>139</v>
      </c>
      <c r="C34" s="84"/>
      <c r="D34" s="87" t="s">
        <v>140</v>
      </c>
      <c r="E34" s="84"/>
      <c r="F34" s="88" t="s">
        <v>140</v>
      </c>
      <c r="G34" s="84"/>
      <c r="H34" s="87" t="s">
        <v>141</v>
      </c>
      <c r="I34" s="84"/>
      <c r="J34" s="88" t="s">
        <v>141</v>
      </c>
      <c r="K34" s="84"/>
      <c r="L34" s="90" t="s">
        <v>142</v>
      </c>
      <c r="M34" s="84"/>
      <c r="X34" s="2"/>
      <c r="Y34" s="2"/>
      <c r="Z34" s="2"/>
    </row>
    <row r="35">
      <c r="A35" s="2"/>
      <c r="B35" s="86" t="s">
        <v>143</v>
      </c>
      <c r="C35" s="84"/>
      <c r="D35" s="87" t="s">
        <v>144</v>
      </c>
      <c r="E35" s="84"/>
      <c r="F35" s="90" t="s">
        <v>145</v>
      </c>
      <c r="G35" s="84"/>
      <c r="H35" s="87" t="s">
        <v>146</v>
      </c>
      <c r="I35" s="84"/>
      <c r="J35" s="91" t="s">
        <v>147</v>
      </c>
      <c r="K35" s="84"/>
      <c r="L35" s="87" t="s">
        <v>146</v>
      </c>
      <c r="M35" s="84"/>
      <c r="X35" s="2"/>
      <c r="Y35" s="2"/>
      <c r="Z35" s="2"/>
    </row>
    <row r="36">
      <c r="A36" s="2"/>
      <c r="B36" s="86" t="s">
        <v>148</v>
      </c>
      <c r="C36" s="84"/>
      <c r="D36" s="87" t="s">
        <v>149</v>
      </c>
      <c r="E36" s="84"/>
      <c r="F36" s="88" t="s">
        <v>150</v>
      </c>
      <c r="G36" s="84"/>
      <c r="H36" s="87" t="s">
        <v>151</v>
      </c>
      <c r="I36" s="84"/>
      <c r="J36" s="91" t="s">
        <v>152</v>
      </c>
      <c r="K36" s="84"/>
      <c r="L36" s="87" t="s">
        <v>153</v>
      </c>
      <c r="M36" s="84"/>
      <c r="X36" s="2"/>
      <c r="Y36" s="2"/>
      <c r="Z36" s="2"/>
    </row>
    <row r="37">
      <c r="A37" s="2"/>
      <c r="B37" s="51"/>
      <c r="C37" s="51"/>
      <c r="D37" s="51"/>
      <c r="E37" s="51"/>
      <c r="F37" s="51"/>
      <c r="G37" s="5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51"/>
      <c r="C38" s="51"/>
      <c r="D38" s="51"/>
      <c r="E38" s="51"/>
      <c r="F38" s="51"/>
      <c r="G38" s="5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92" t="s">
        <v>154</v>
      </c>
      <c r="C39" s="84"/>
      <c r="D39" s="92" t="s">
        <v>155</v>
      </c>
      <c r="E39" s="93"/>
      <c r="F39" s="93"/>
      <c r="G39" s="93"/>
      <c r="H39" s="84"/>
      <c r="I39" s="92" t="s">
        <v>156</v>
      </c>
      <c r="J39" s="93"/>
      <c r="K39" s="93"/>
      <c r="L39" s="93"/>
      <c r="M39" s="8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94" t="s">
        <v>157</v>
      </c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8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95" t="s">
        <v>112</v>
      </c>
      <c r="C41" s="84"/>
      <c r="D41" s="96" t="s">
        <v>158</v>
      </c>
      <c r="E41" s="93"/>
      <c r="F41" s="93"/>
      <c r="G41" s="93"/>
      <c r="H41" s="84"/>
      <c r="I41" s="96" t="s">
        <v>159</v>
      </c>
      <c r="J41" s="93"/>
      <c r="K41" s="93"/>
      <c r="L41" s="93"/>
      <c r="M41" s="84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97" t="s">
        <v>160</v>
      </c>
      <c r="C42" s="84"/>
      <c r="D42" s="96" t="s">
        <v>161</v>
      </c>
      <c r="E42" s="93"/>
      <c r="F42" s="93"/>
      <c r="G42" s="93"/>
      <c r="H42" s="84"/>
      <c r="I42" s="96" t="s">
        <v>162</v>
      </c>
      <c r="J42" s="93"/>
      <c r="K42" s="93"/>
      <c r="L42" s="93"/>
      <c r="M42" s="84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95" t="s">
        <v>163</v>
      </c>
      <c r="C43" s="84"/>
      <c r="D43" s="96" t="s">
        <v>164</v>
      </c>
      <c r="E43" s="93"/>
      <c r="F43" s="93"/>
      <c r="G43" s="93"/>
      <c r="H43" s="84"/>
      <c r="I43" s="96" t="s">
        <v>165</v>
      </c>
      <c r="J43" s="93"/>
      <c r="K43" s="93"/>
      <c r="L43" s="93"/>
      <c r="M43" s="84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95" t="s">
        <v>166</v>
      </c>
      <c r="C44" s="84"/>
      <c r="D44" s="96" t="s">
        <v>167</v>
      </c>
      <c r="E44" s="93"/>
      <c r="F44" s="93"/>
      <c r="G44" s="93"/>
      <c r="H44" s="84"/>
      <c r="I44" s="96" t="s">
        <v>168</v>
      </c>
      <c r="J44" s="93"/>
      <c r="K44" s="93"/>
      <c r="L44" s="93"/>
      <c r="M44" s="84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95" t="s">
        <v>169</v>
      </c>
      <c r="C45" s="84"/>
      <c r="D45" s="96" t="s">
        <v>170</v>
      </c>
      <c r="E45" s="93"/>
      <c r="F45" s="93"/>
      <c r="G45" s="93"/>
      <c r="H45" s="84"/>
      <c r="I45" s="96" t="s">
        <v>168</v>
      </c>
      <c r="J45" s="93"/>
      <c r="K45" s="93"/>
      <c r="L45" s="93"/>
      <c r="M45" s="84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95" t="s">
        <v>106</v>
      </c>
      <c r="C46" s="84"/>
      <c r="D46" s="96" t="s">
        <v>171</v>
      </c>
      <c r="E46" s="93"/>
      <c r="F46" s="93"/>
      <c r="G46" s="93"/>
      <c r="H46" s="84"/>
      <c r="I46" s="96" t="s">
        <v>172</v>
      </c>
      <c r="J46" s="93"/>
      <c r="K46" s="93"/>
      <c r="L46" s="93"/>
      <c r="M46" s="84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97">
    <mergeCell ref="B10:C10"/>
    <mergeCell ref="B11:C11"/>
    <mergeCell ref="B12:C12"/>
    <mergeCell ref="B13:C13"/>
    <mergeCell ref="B14:C14"/>
    <mergeCell ref="B15:C15"/>
    <mergeCell ref="B16:C16"/>
    <mergeCell ref="B39:C39"/>
    <mergeCell ref="B41:C41"/>
    <mergeCell ref="B42:C42"/>
    <mergeCell ref="B43:C43"/>
    <mergeCell ref="B44:C44"/>
    <mergeCell ref="B45:C45"/>
    <mergeCell ref="B46:C46"/>
    <mergeCell ref="B17:C17"/>
    <mergeCell ref="B18:C18"/>
    <mergeCell ref="B19:C19"/>
    <mergeCell ref="B20:C20"/>
    <mergeCell ref="B21:C21"/>
    <mergeCell ref="B22:C22"/>
    <mergeCell ref="B26:C26"/>
    <mergeCell ref="B33:C33"/>
    <mergeCell ref="D33:E33"/>
    <mergeCell ref="F33:G33"/>
    <mergeCell ref="H33:I33"/>
    <mergeCell ref="J33:K33"/>
    <mergeCell ref="L33:M33"/>
    <mergeCell ref="B34:C34"/>
    <mergeCell ref="L34:M34"/>
    <mergeCell ref="F36:G36"/>
    <mergeCell ref="D39:H39"/>
    <mergeCell ref="D41:H41"/>
    <mergeCell ref="D42:H42"/>
    <mergeCell ref="D43:H43"/>
    <mergeCell ref="D44:H44"/>
    <mergeCell ref="D45:H45"/>
    <mergeCell ref="D46:H46"/>
    <mergeCell ref="D34:E34"/>
    <mergeCell ref="F34:G34"/>
    <mergeCell ref="B35:C35"/>
    <mergeCell ref="D35:E35"/>
    <mergeCell ref="F35:G35"/>
    <mergeCell ref="B36:C36"/>
    <mergeCell ref="D36:E36"/>
    <mergeCell ref="H34:I34"/>
    <mergeCell ref="J34:K34"/>
    <mergeCell ref="H35:I35"/>
    <mergeCell ref="J35:K35"/>
    <mergeCell ref="L35:M35"/>
    <mergeCell ref="H36:I36"/>
    <mergeCell ref="J36:K36"/>
    <mergeCell ref="I45:M45"/>
    <mergeCell ref="I46:M46"/>
    <mergeCell ref="L36:M36"/>
    <mergeCell ref="I39:M39"/>
    <mergeCell ref="B40:M40"/>
    <mergeCell ref="I41:M41"/>
    <mergeCell ref="I42:M42"/>
    <mergeCell ref="I43:M43"/>
    <mergeCell ref="I44:M44"/>
    <mergeCell ref="B2:C2"/>
    <mergeCell ref="B4:C4"/>
    <mergeCell ref="B5:C5"/>
    <mergeCell ref="B6:C6"/>
    <mergeCell ref="B7:C7"/>
    <mergeCell ref="B8:C8"/>
    <mergeCell ref="B9:C9"/>
    <mergeCell ref="F29:G29"/>
    <mergeCell ref="H29:I29"/>
    <mergeCell ref="J29:K29"/>
    <mergeCell ref="L29:M29"/>
    <mergeCell ref="B28:C28"/>
    <mergeCell ref="D28:E28"/>
    <mergeCell ref="F28:G28"/>
    <mergeCell ref="H28:I28"/>
    <mergeCell ref="J28:K28"/>
    <mergeCell ref="L28:M28"/>
    <mergeCell ref="D29:E29"/>
    <mergeCell ref="D31:E31"/>
    <mergeCell ref="F31:G31"/>
    <mergeCell ref="H31:I31"/>
    <mergeCell ref="J31:K31"/>
    <mergeCell ref="L31:M31"/>
    <mergeCell ref="B29:C29"/>
    <mergeCell ref="B30:C30"/>
    <mergeCell ref="D30:E30"/>
    <mergeCell ref="F30:G30"/>
    <mergeCell ref="H30:I30"/>
    <mergeCell ref="J30:K30"/>
    <mergeCell ref="L30:M30"/>
    <mergeCell ref="B31:C31"/>
    <mergeCell ref="B32:C32"/>
    <mergeCell ref="D32:E32"/>
    <mergeCell ref="F32:G32"/>
    <mergeCell ref="H32:I32"/>
    <mergeCell ref="J32:K32"/>
    <mergeCell ref="L32:M32"/>
  </mergeCells>
  <dataValidations>
    <dataValidation type="list" allowBlank="1" showErrorMessage="1" sqref="F5:F22">
      <formula1>"Сток и предзаказ,Транзит,Предзаказ"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15" max="16" width="14.75"/>
  </cols>
  <sheetData>
    <row r="2">
      <c r="B2" s="98"/>
      <c r="C2" s="98"/>
      <c r="D2" s="98"/>
      <c r="E2" s="98"/>
      <c r="F2" s="98"/>
      <c r="G2" s="98"/>
      <c r="H2" s="98"/>
      <c r="I2" s="98"/>
      <c r="L2" s="99" t="s">
        <v>173</v>
      </c>
      <c r="M2" s="49"/>
      <c r="N2" s="100"/>
      <c r="O2" s="100"/>
    </row>
    <row r="3" ht="22.5" customHeight="1">
      <c r="B3" s="101" t="s">
        <v>174</v>
      </c>
      <c r="C3" s="101" t="s">
        <v>175</v>
      </c>
      <c r="D3" s="101" t="s">
        <v>176</v>
      </c>
      <c r="E3" s="101" t="s">
        <v>177</v>
      </c>
      <c r="F3" s="101" t="s">
        <v>178</v>
      </c>
      <c r="G3" s="101" t="s">
        <v>179</v>
      </c>
      <c r="H3" s="101" t="s">
        <v>180</v>
      </c>
      <c r="I3" s="101" t="s">
        <v>181</v>
      </c>
      <c r="L3" s="102" t="s">
        <v>182</v>
      </c>
      <c r="M3" s="58"/>
      <c r="N3" s="58"/>
      <c r="O3" s="58"/>
      <c r="P3" s="103"/>
    </row>
    <row r="4" ht="22.5" customHeight="1">
      <c r="B4" s="104">
        <v>1.0</v>
      </c>
      <c r="C4" s="105" t="s">
        <v>183</v>
      </c>
      <c r="D4" s="106"/>
      <c r="E4" s="107" t="s">
        <v>184</v>
      </c>
      <c r="F4" s="108" t="s">
        <v>185</v>
      </c>
      <c r="G4" s="108" t="s">
        <v>186</v>
      </c>
      <c r="H4" s="106"/>
      <c r="I4" s="109"/>
      <c r="L4" s="110"/>
      <c r="P4" s="111"/>
    </row>
    <row r="5" ht="22.5" customHeight="1">
      <c r="B5" s="112">
        <v>2.0</v>
      </c>
      <c r="C5" s="113" t="s">
        <v>187</v>
      </c>
      <c r="D5" s="114"/>
      <c r="E5" s="115" t="s">
        <v>188</v>
      </c>
      <c r="F5" s="116" t="s">
        <v>189</v>
      </c>
      <c r="G5" s="117"/>
      <c r="H5" s="114"/>
      <c r="I5" s="118"/>
      <c r="L5" s="110"/>
      <c r="P5" s="111"/>
    </row>
    <row r="6" ht="22.5" customHeight="1">
      <c r="B6" s="104">
        <v>3.0</v>
      </c>
      <c r="C6" s="105" t="s">
        <v>190</v>
      </c>
      <c r="D6" s="119" t="s">
        <v>191</v>
      </c>
      <c r="E6" s="107" t="s">
        <v>192</v>
      </c>
      <c r="F6" s="108" t="s">
        <v>193</v>
      </c>
      <c r="G6" s="108" t="s">
        <v>194</v>
      </c>
      <c r="H6" s="105" t="s">
        <v>195</v>
      </c>
      <c r="I6" s="109"/>
      <c r="L6" s="110"/>
      <c r="P6" s="111"/>
    </row>
    <row r="7" ht="22.5" customHeight="1">
      <c r="B7" s="112">
        <v>4.0</v>
      </c>
      <c r="C7" s="113" t="s">
        <v>196</v>
      </c>
      <c r="D7" s="120" t="s">
        <v>197</v>
      </c>
      <c r="E7" s="115" t="s">
        <v>198</v>
      </c>
      <c r="F7" s="116" t="s">
        <v>199</v>
      </c>
      <c r="G7" s="121" t="s">
        <v>200</v>
      </c>
      <c r="H7" s="113" t="s">
        <v>201</v>
      </c>
      <c r="I7" s="118"/>
      <c r="L7" s="110"/>
      <c r="P7" s="111"/>
    </row>
    <row r="8" ht="22.5" customHeight="1">
      <c r="B8" s="104">
        <v>5.0</v>
      </c>
      <c r="C8" s="105" t="s">
        <v>202</v>
      </c>
      <c r="D8" s="119" t="s">
        <v>197</v>
      </c>
      <c r="E8" s="107" t="s">
        <v>203</v>
      </c>
      <c r="F8" s="108" t="s">
        <v>204</v>
      </c>
      <c r="G8" s="122" t="s">
        <v>205</v>
      </c>
      <c r="H8" s="105" t="s">
        <v>206</v>
      </c>
      <c r="I8" s="109"/>
      <c r="L8" s="110"/>
      <c r="P8" s="111"/>
    </row>
    <row r="9" ht="22.5" customHeight="1">
      <c r="B9" s="112">
        <v>6.0</v>
      </c>
      <c r="C9" s="113" t="s">
        <v>207</v>
      </c>
      <c r="D9" s="114"/>
      <c r="E9" s="115" t="s">
        <v>208</v>
      </c>
      <c r="F9" s="117"/>
      <c r="G9" s="117"/>
      <c r="H9" s="114"/>
      <c r="I9" s="118"/>
      <c r="L9" s="110"/>
      <c r="P9" s="111"/>
    </row>
    <row r="10" ht="22.5" customHeight="1">
      <c r="B10" s="104">
        <v>7.0</v>
      </c>
      <c r="C10" s="123" t="s">
        <v>209</v>
      </c>
      <c r="D10" s="124" t="s">
        <v>210</v>
      </c>
      <c r="E10" s="125" t="s">
        <v>211</v>
      </c>
      <c r="F10" s="126" t="s">
        <v>212</v>
      </c>
      <c r="G10" s="126" t="s">
        <v>213</v>
      </c>
      <c r="H10" s="123" t="s">
        <v>214</v>
      </c>
      <c r="I10" s="127"/>
      <c r="L10" s="110"/>
      <c r="P10" s="111"/>
    </row>
    <row r="11" ht="22.5" customHeight="1">
      <c r="B11" s="112">
        <v>8.0</v>
      </c>
      <c r="C11" s="128" t="s">
        <v>215</v>
      </c>
      <c r="D11" s="129" t="s">
        <v>216</v>
      </c>
      <c r="E11" s="130" t="s">
        <v>217</v>
      </c>
      <c r="F11" s="131" t="s">
        <v>218</v>
      </c>
      <c r="G11" s="131" t="s">
        <v>205</v>
      </c>
      <c r="H11" s="128" t="s">
        <v>219</v>
      </c>
      <c r="I11" s="132"/>
      <c r="L11" s="110"/>
      <c r="P11" s="111"/>
    </row>
    <row r="12" ht="22.5" customHeight="1">
      <c r="B12" s="104">
        <v>9.0</v>
      </c>
      <c r="C12" s="105" t="s">
        <v>220</v>
      </c>
      <c r="D12" s="106"/>
      <c r="E12" s="107" t="s">
        <v>221</v>
      </c>
      <c r="F12" s="133"/>
      <c r="G12" s="106"/>
      <c r="H12" s="106"/>
      <c r="I12" s="109"/>
      <c r="L12" s="110"/>
      <c r="P12" s="111"/>
    </row>
    <row r="13" ht="22.5" customHeight="1">
      <c r="B13" s="112">
        <v>10.0</v>
      </c>
      <c r="C13" s="113" t="s">
        <v>222</v>
      </c>
      <c r="D13" s="114"/>
      <c r="E13" s="115" t="s">
        <v>223</v>
      </c>
      <c r="F13" s="117"/>
      <c r="G13" s="114"/>
      <c r="H13" s="114"/>
      <c r="I13" s="118"/>
      <c r="L13" s="110"/>
      <c r="P13" s="111"/>
    </row>
    <row r="14" ht="22.5" customHeight="1">
      <c r="B14" s="104">
        <v>11.0</v>
      </c>
      <c r="C14" s="123" t="s">
        <v>224</v>
      </c>
      <c r="D14" s="124" t="s">
        <v>225</v>
      </c>
      <c r="E14" s="125" t="s">
        <v>226</v>
      </c>
      <c r="F14" s="126" t="s">
        <v>227</v>
      </c>
      <c r="G14" s="123" t="s">
        <v>213</v>
      </c>
      <c r="H14" s="123" t="s">
        <v>228</v>
      </c>
      <c r="I14" s="127"/>
      <c r="L14" s="110"/>
      <c r="P14" s="111"/>
    </row>
    <row r="15" ht="22.5" customHeight="1">
      <c r="B15" s="112">
        <v>12.0</v>
      </c>
      <c r="C15" s="113" t="s">
        <v>229</v>
      </c>
      <c r="D15" s="114"/>
      <c r="E15" s="115" t="s">
        <v>230</v>
      </c>
      <c r="F15" s="117"/>
      <c r="G15" s="114"/>
      <c r="H15" s="114"/>
      <c r="I15" s="118"/>
      <c r="L15" s="110"/>
      <c r="P15" s="111"/>
    </row>
    <row r="16" ht="22.5" customHeight="1">
      <c r="B16" s="104">
        <v>13.0</v>
      </c>
      <c r="C16" s="105" t="s">
        <v>231</v>
      </c>
      <c r="D16" s="119" t="s">
        <v>232</v>
      </c>
      <c r="E16" s="107" t="s">
        <v>233</v>
      </c>
      <c r="F16" s="108" t="s">
        <v>234</v>
      </c>
      <c r="G16" s="105" t="s">
        <v>213</v>
      </c>
      <c r="H16" s="105" t="s">
        <v>235</v>
      </c>
      <c r="I16" s="109"/>
      <c r="L16" s="110"/>
      <c r="P16" s="111"/>
    </row>
    <row r="17" ht="22.5" customHeight="1">
      <c r="B17" s="112">
        <v>14.0</v>
      </c>
      <c r="C17" s="113" t="s">
        <v>236</v>
      </c>
      <c r="D17" s="120" t="s">
        <v>237</v>
      </c>
      <c r="E17" s="115" t="s">
        <v>238</v>
      </c>
      <c r="F17" s="116" t="s">
        <v>239</v>
      </c>
      <c r="G17" s="113" t="s">
        <v>240</v>
      </c>
      <c r="H17" s="113" t="s">
        <v>241</v>
      </c>
      <c r="I17" s="118"/>
      <c r="L17" s="110"/>
      <c r="P17" s="111"/>
    </row>
    <row r="18" ht="22.5" customHeight="1">
      <c r="B18" s="104">
        <v>15.0</v>
      </c>
      <c r="C18" s="105" t="s">
        <v>242</v>
      </c>
      <c r="D18" s="119" t="s">
        <v>243</v>
      </c>
      <c r="E18" s="107" t="s">
        <v>244</v>
      </c>
      <c r="F18" s="108" t="s">
        <v>245</v>
      </c>
      <c r="G18" s="105" t="s">
        <v>205</v>
      </c>
      <c r="H18" s="105" t="s">
        <v>246</v>
      </c>
      <c r="I18" s="109"/>
      <c r="L18" s="110"/>
      <c r="P18" s="111"/>
    </row>
    <row r="19" ht="22.5" customHeight="1">
      <c r="B19" s="112">
        <v>16.0</v>
      </c>
      <c r="C19" s="113" t="s">
        <v>247</v>
      </c>
      <c r="D19" s="120" t="s">
        <v>248</v>
      </c>
      <c r="E19" s="115" t="s">
        <v>249</v>
      </c>
      <c r="F19" s="116" t="s">
        <v>250</v>
      </c>
      <c r="G19" s="113" t="s">
        <v>205</v>
      </c>
      <c r="H19" s="113" t="s">
        <v>251</v>
      </c>
      <c r="I19" s="118"/>
      <c r="L19" s="110"/>
      <c r="P19" s="111"/>
    </row>
    <row r="20" ht="22.5" customHeight="1">
      <c r="B20" s="104">
        <v>17.0</v>
      </c>
      <c r="C20" s="123" t="s">
        <v>252</v>
      </c>
      <c r="D20" s="106"/>
      <c r="E20" s="105" t="s">
        <v>253</v>
      </c>
      <c r="F20" s="133"/>
      <c r="G20" s="106"/>
      <c r="H20" s="106"/>
      <c r="I20" s="109"/>
      <c r="L20" s="110"/>
      <c r="P20" s="111"/>
    </row>
    <row r="21" ht="22.5" customHeight="1">
      <c r="B21" s="112">
        <v>18.0</v>
      </c>
      <c r="C21" s="113" t="s">
        <v>254</v>
      </c>
      <c r="D21" s="114"/>
      <c r="E21" s="115" t="s">
        <v>255</v>
      </c>
      <c r="F21" s="117"/>
      <c r="G21" s="114"/>
      <c r="H21" s="114"/>
      <c r="I21" s="118"/>
      <c r="L21" s="110"/>
      <c r="P21" s="111"/>
    </row>
    <row r="22" ht="22.5" customHeight="1">
      <c r="B22" s="104">
        <v>19.0</v>
      </c>
      <c r="C22" s="105" t="s">
        <v>256</v>
      </c>
      <c r="D22" s="106"/>
      <c r="E22" s="107" t="s">
        <v>257</v>
      </c>
      <c r="F22" s="133"/>
      <c r="G22" s="106"/>
      <c r="H22" s="106"/>
      <c r="I22" s="109"/>
      <c r="L22" s="110"/>
      <c r="P22" s="111"/>
    </row>
    <row r="23" ht="22.5" customHeight="1">
      <c r="B23" s="112">
        <v>20.0</v>
      </c>
      <c r="C23" s="128" t="s">
        <v>258</v>
      </c>
      <c r="D23" s="129" t="s">
        <v>259</v>
      </c>
      <c r="E23" s="130" t="s">
        <v>260</v>
      </c>
      <c r="F23" s="131" t="s">
        <v>261</v>
      </c>
      <c r="G23" s="128" t="s">
        <v>262</v>
      </c>
      <c r="H23" s="128" t="s">
        <v>263</v>
      </c>
      <c r="I23" s="132"/>
      <c r="L23" s="134"/>
      <c r="M23" s="75"/>
      <c r="N23" s="75"/>
      <c r="O23" s="75"/>
      <c r="P23" s="135"/>
    </row>
    <row r="24" ht="22.5" customHeight="1">
      <c r="B24" s="104">
        <v>21.0</v>
      </c>
      <c r="C24" s="123" t="s">
        <v>264</v>
      </c>
      <c r="D24" s="124" t="s">
        <v>265</v>
      </c>
      <c r="E24" s="125" t="s">
        <v>266</v>
      </c>
      <c r="F24" s="126" t="s">
        <v>267</v>
      </c>
      <c r="G24" s="123" t="s">
        <v>213</v>
      </c>
      <c r="H24" s="123" t="s">
        <v>268</v>
      </c>
      <c r="I24" s="127"/>
    </row>
    <row r="25" ht="22.5" customHeight="1">
      <c r="B25" s="112">
        <v>22.0</v>
      </c>
      <c r="C25" s="128" t="s">
        <v>269</v>
      </c>
      <c r="D25" s="129" t="s">
        <v>270</v>
      </c>
      <c r="E25" s="130" t="s">
        <v>271</v>
      </c>
      <c r="F25" s="131" t="s">
        <v>272</v>
      </c>
      <c r="G25" s="128" t="s">
        <v>273</v>
      </c>
      <c r="H25" s="128" t="s">
        <v>251</v>
      </c>
      <c r="I25" s="132"/>
      <c r="L25" s="136" t="s">
        <v>274</v>
      </c>
      <c r="M25" s="49"/>
      <c r="N25" s="136" t="s">
        <v>275</v>
      </c>
      <c r="O25" s="49"/>
      <c r="P25" s="136" t="s">
        <v>276</v>
      </c>
      <c r="Q25" s="49"/>
    </row>
    <row r="26" ht="22.5" customHeight="1">
      <c r="B26" s="104">
        <v>23.0</v>
      </c>
      <c r="C26" s="137" t="s">
        <v>277</v>
      </c>
      <c r="D26" s="138" t="s">
        <v>278</v>
      </c>
      <c r="E26" s="139" t="s">
        <v>279</v>
      </c>
      <c r="F26" s="140" t="s">
        <v>280</v>
      </c>
      <c r="G26" s="137" t="s">
        <v>273</v>
      </c>
      <c r="H26" s="137" t="s">
        <v>263</v>
      </c>
      <c r="I26" s="141"/>
      <c r="L26" s="142" t="s">
        <v>281</v>
      </c>
      <c r="M26" s="103"/>
      <c r="N26" s="142" t="s">
        <v>282</v>
      </c>
      <c r="O26" s="103"/>
      <c r="P26" s="142" t="s">
        <v>283</v>
      </c>
      <c r="Q26" s="103"/>
    </row>
    <row r="27" ht="22.5" customHeight="1">
      <c r="B27" s="112">
        <v>24.0</v>
      </c>
      <c r="C27" s="113" t="s">
        <v>284</v>
      </c>
      <c r="D27" s="114"/>
      <c r="E27" s="115" t="s">
        <v>285</v>
      </c>
      <c r="F27" s="117"/>
      <c r="G27" s="114"/>
      <c r="H27" s="114"/>
      <c r="I27" s="118"/>
      <c r="L27" s="110"/>
      <c r="M27" s="111"/>
      <c r="N27" s="110"/>
      <c r="O27" s="111"/>
      <c r="P27" s="110"/>
      <c r="Q27" s="111"/>
    </row>
    <row r="28" ht="22.5" customHeight="1">
      <c r="B28" s="104">
        <v>25.0</v>
      </c>
      <c r="C28" s="105" t="s">
        <v>286</v>
      </c>
      <c r="D28" s="119" t="s">
        <v>287</v>
      </c>
      <c r="E28" s="107" t="s">
        <v>288</v>
      </c>
      <c r="F28" s="108" t="s">
        <v>289</v>
      </c>
      <c r="G28" s="105" t="s">
        <v>290</v>
      </c>
      <c r="H28" s="105" t="s">
        <v>291</v>
      </c>
      <c r="I28" s="109"/>
      <c r="L28" s="110"/>
      <c r="M28" s="111"/>
      <c r="N28" s="110"/>
      <c r="O28" s="111"/>
      <c r="P28" s="110"/>
      <c r="Q28" s="111"/>
    </row>
    <row r="29" ht="22.5" customHeight="1">
      <c r="B29" s="112">
        <v>26.0</v>
      </c>
      <c r="C29" s="143" t="s">
        <v>292</v>
      </c>
      <c r="D29" s="144"/>
      <c r="E29" s="145" t="s">
        <v>293</v>
      </c>
      <c r="F29" s="146"/>
      <c r="G29" s="144"/>
      <c r="H29" s="144"/>
      <c r="I29" s="147"/>
      <c r="L29" s="110"/>
      <c r="M29" s="111"/>
      <c r="N29" s="110"/>
      <c r="O29" s="111"/>
      <c r="P29" s="110"/>
      <c r="Q29" s="111"/>
    </row>
    <row r="30" ht="22.5" customHeight="1">
      <c r="B30" s="148">
        <v>27.0</v>
      </c>
      <c r="C30" s="149" t="s">
        <v>294</v>
      </c>
      <c r="D30" s="150"/>
      <c r="E30" s="151" t="s">
        <v>295</v>
      </c>
      <c r="F30" s="152"/>
      <c r="G30" s="150"/>
      <c r="H30" s="150"/>
      <c r="I30" s="153"/>
      <c r="L30" s="134"/>
      <c r="M30" s="135"/>
      <c r="N30" s="134"/>
      <c r="O30" s="135"/>
      <c r="P30" s="134"/>
      <c r="Q30" s="135"/>
    </row>
    <row r="31">
      <c r="L31" s="154"/>
      <c r="M31" s="154"/>
      <c r="N31" s="155"/>
      <c r="O31" s="154"/>
      <c r="P31" s="154"/>
      <c r="Q31" s="155"/>
    </row>
    <row r="34">
      <c r="L34" s="156" t="s">
        <v>296</v>
      </c>
      <c r="M34" s="84"/>
      <c r="N34" s="100"/>
      <c r="O34" s="100"/>
    </row>
    <row r="35" ht="22.5" customHeight="1">
      <c r="B35" s="101" t="s">
        <v>174</v>
      </c>
      <c r="C35" s="101" t="s">
        <v>175</v>
      </c>
      <c r="D35" s="101" t="s">
        <v>176</v>
      </c>
      <c r="E35" s="101" t="s">
        <v>177</v>
      </c>
      <c r="F35" s="101" t="s">
        <v>178</v>
      </c>
      <c r="G35" s="101" t="s">
        <v>179</v>
      </c>
      <c r="H35" s="101" t="s">
        <v>180</v>
      </c>
      <c r="I35" s="101" t="s">
        <v>181</v>
      </c>
      <c r="J35" s="157" t="s">
        <v>297</v>
      </c>
      <c r="L35" s="158" t="s">
        <v>298</v>
      </c>
      <c r="M35" s="159"/>
      <c r="N35" s="159"/>
      <c r="O35" s="159"/>
      <c r="P35" s="160"/>
    </row>
    <row r="36" ht="22.5" customHeight="1">
      <c r="B36" s="161"/>
      <c r="C36" s="105" t="s">
        <v>299</v>
      </c>
      <c r="D36" s="106"/>
      <c r="E36" s="107" t="s">
        <v>300</v>
      </c>
      <c r="F36" s="133"/>
      <c r="G36" s="133"/>
      <c r="H36" s="106"/>
      <c r="I36" s="162"/>
      <c r="J36" s="163"/>
      <c r="L36" s="164"/>
      <c r="P36" s="165"/>
    </row>
    <row r="37" ht="22.5" customHeight="1">
      <c r="B37" s="166"/>
      <c r="C37" s="113" t="s">
        <v>301</v>
      </c>
      <c r="D37" s="114"/>
      <c r="E37" s="115" t="s">
        <v>302</v>
      </c>
      <c r="F37" s="117"/>
      <c r="G37" s="117"/>
      <c r="H37" s="114"/>
      <c r="I37" s="167"/>
      <c r="J37" s="168"/>
      <c r="L37" s="164"/>
      <c r="P37" s="165"/>
    </row>
    <row r="38" ht="22.5" customHeight="1">
      <c r="B38" s="161"/>
      <c r="C38" s="105" t="s">
        <v>303</v>
      </c>
      <c r="D38" s="106"/>
      <c r="E38" s="107" t="s">
        <v>304</v>
      </c>
      <c r="F38" s="133"/>
      <c r="G38" s="133"/>
      <c r="H38" s="106"/>
      <c r="I38" s="162"/>
      <c r="J38" s="163"/>
      <c r="L38" s="164"/>
      <c r="P38" s="165"/>
    </row>
    <row r="39" ht="22.5" customHeight="1">
      <c r="B39" s="166"/>
      <c r="C39" s="113" t="s">
        <v>305</v>
      </c>
      <c r="D39" s="114"/>
      <c r="E39" s="115" t="s">
        <v>306</v>
      </c>
      <c r="F39" s="117"/>
      <c r="G39" s="117"/>
      <c r="H39" s="114"/>
      <c r="I39" s="167"/>
      <c r="J39" s="168"/>
      <c r="L39" s="164"/>
      <c r="P39" s="165"/>
    </row>
    <row r="40" ht="22.5" customHeight="1">
      <c r="B40" s="161"/>
      <c r="C40" s="105" t="s">
        <v>307</v>
      </c>
      <c r="D40" s="106"/>
      <c r="E40" s="107" t="s">
        <v>308</v>
      </c>
      <c r="F40" s="133"/>
      <c r="G40" s="133"/>
      <c r="H40" s="106"/>
      <c r="I40" s="162"/>
      <c r="J40" s="163"/>
      <c r="L40" s="164"/>
      <c r="P40" s="165"/>
    </row>
    <row r="41" ht="22.5" customHeight="1">
      <c r="B41" s="169">
        <v>1.0</v>
      </c>
      <c r="C41" s="128" t="s">
        <v>309</v>
      </c>
      <c r="D41" s="129" t="s">
        <v>310</v>
      </c>
      <c r="E41" s="130" t="s">
        <v>311</v>
      </c>
      <c r="F41" s="131" t="s">
        <v>312</v>
      </c>
      <c r="G41" s="131" t="s">
        <v>194</v>
      </c>
      <c r="H41" s="128" t="s">
        <v>313</v>
      </c>
      <c r="I41" s="132"/>
      <c r="J41" s="168"/>
      <c r="L41" s="164"/>
      <c r="P41" s="165"/>
    </row>
    <row r="42" ht="22.5" customHeight="1">
      <c r="B42" s="170"/>
      <c r="C42" s="105" t="s">
        <v>314</v>
      </c>
      <c r="D42" s="106"/>
      <c r="E42" s="107" t="s">
        <v>315</v>
      </c>
      <c r="F42" s="133"/>
      <c r="G42" s="171"/>
      <c r="H42" s="106"/>
      <c r="I42" s="109"/>
      <c r="J42" s="163"/>
      <c r="L42" s="164"/>
      <c r="P42" s="165"/>
    </row>
    <row r="43" ht="22.5" customHeight="1">
      <c r="B43" s="172"/>
      <c r="C43" s="113" t="s">
        <v>316</v>
      </c>
      <c r="D43" s="114"/>
      <c r="E43" s="115" t="s">
        <v>317</v>
      </c>
      <c r="F43" s="117"/>
      <c r="G43" s="173"/>
      <c r="H43" s="114"/>
      <c r="I43" s="118"/>
      <c r="J43" s="168"/>
      <c r="L43" s="164"/>
      <c r="P43" s="165"/>
    </row>
    <row r="44" ht="22.5" customHeight="1">
      <c r="B44" s="174">
        <v>2.0</v>
      </c>
      <c r="C44" s="123" t="s">
        <v>318</v>
      </c>
      <c r="D44" s="124" t="s">
        <v>319</v>
      </c>
      <c r="E44" s="125" t="s">
        <v>320</v>
      </c>
      <c r="F44" s="126" t="s">
        <v>321</v>
      </c>
      <c r="G44" s="175" t="s">
        <v>213</v>
      </c>
      <c r="H44" s="123" t="s">
        <v>322</v>
      </c>
      <c r="I44" s="127"/>
      <c r="J44" s="163"/>
      <c r="L44" s="164"/>
      <c r="P44" s="165"/>
    </row>
    <row r="45" ht="22.5" customHeight="1">
      <c r="B45" s="172"/>
      <c r="C45" s="113" t="s">
        <v>323</v>
      </c>
      <c r="D45" s="114"/>
      <c r="E45" s="115" t="s">
        <v>324</v>
      </c>
      <c r="F45" s="117"/>
      <c r="G45" s="173"/>
      <c r="H45" s="114"/>
      <c r="I45" s="118"/>
      <c r="J45" s="168"/>
      <c r="L45" s="164"/>
      <c r="P45" s="165"/>
    </row>
    <row r="46" ht="22.5" customHeight="1">
      <c r="B46" s="104">
        <v>3.0</v>
      </c>
      <c r="C46" s="105" t="s">
        <v>325</v>
      </c>
      <c r="D46" s="119" t="s">
        <v>326</v>
      </c>
      <c r="E46" s="107" t="s">
        <v>327</v>
      </c>
      <c r="F46" s="108" t="s">
        <v>328</v>
      </c>
      <c r="G46" s="122" t="s">
        <v>329</v>
      </c>
      <c r="H46" s="105" t="s">
        <v>330</v>
      </c>
      <c r="I46" s="109"/>
      <c r="J46" s="163"/>
      <c r="L46" s="164"/>
      <c r="P46" s="165"/>
    </row>
    <row r="47" ht="22.5" customHeight="1">
      <c r="B47" s="112">
        <v>4.0</v>
      </c>
      <c r="C47" s="113" t="s">
        <v>331</v>
      </c>
      <c r="D47" s="120" t="s">
        <v>332</v>
      </c>
      <c r="E47" s="115" t="s">
        <v>333</v>
      </c>
      <c r="F47" s="116" t="s">
        <v>245</v>
      </c>
      <c r="G47" s="176" t="s">
        <v>290</v>
      </c>
      <c r="H47" s="113" t="s">
        <v>334</v>
      </c>
      <c r="I47" s="118"/>
      <c r="J47" s="168"/>
      <c r="L47" s="164"/>
      <c r="P47" s="165"/>
    </row>
    <row r="48" ht="22.5" customHeight="1">
      <c r="B48" s="170"/>
      <c r="C48" s="105" t="s">
        <v>335</v>
      </c>
      <c r="D48" s="106"/>
      <c r="E48" s="107" t="s">
        <v>336</v>
      </c>
      <c r="F48" s="133"/>
      <c r="G48" s="133"/>
      <c r="H48" s="106"/>
      <c r="I48" s="109"/>
      <c r="J48" s="163"/>
      <c r="L48" s="164"/>
      <c r="P48" s="165"/>
    </row>
    <row r="49" ht="22.5" customHeight="1">
      <c r="B49" s="172"/>
      <c r="C49" s="113" t="s">
        <v>337</v>
      </c>
      <c r="D49" s="114"/>
      <c r="E49" s="115" t="s">
        <v>338</v>
      </c>
      <c r="F49" s="117"/>
      <c r="G49" s="177"/>
      <c r="H49" s="114"/>
      <c r="I49" s="118"/>
      <c r="J49" s="168"/>
      <c r="L49" s="164"/>
      <c r="P49" s="165"/>
    </row>
    <row r="50" ht="22.5" customHeight="1">
      <c r="B50" s="104">
        <v>5.0</v>
      </c>
      <c r="C50" s="105" t="s">
        <v>339</v>
      </c>
      <c r="D50" s="119" t="s">
        <v>340</v>
      </c>
      <c r="E50" s="107" t="s">
        <v>341</v>
      </c>
      <c r="F50" s="108" t="s">
        <v>261</v>
      </c>
      <c r="G50" s="108" t="s">
        <v>290</v>
      </c>
      <c r="H50" s="105" t="s">
        <v>342</v>
      </c>
      <c r="I50" s="109"/>
      <c r="J50" s="178" t="s">
        <v>77</v>
      </c>
      <c r="L50" s="164"/>
      <c r="P50" s="165"/>
    </row>
    <row r="51" ht="22.5" customHeight="1">
      <c r="B51" s="172"/>
      <c r="C51" s="113" t="s">
        <v>343</v>
      </c>
      <c r="D51" s="114"/>
      <c r="E51" s="115" t="s">
        <v>344</v>
      </c>
      <c r="F51" s="117"/>
      <c r="G51" s="114"/>
      <c r="H51" s="114"/>
      <c r="I51" s="118"/>
      <c r="J51" s="168"/>
      <c r="L51" s="164"/>
      <c r="P51" s="165"/>
    </row>
    <row r="52" ht="22.5" customHeight="1">
      <c r="B52" s="174">
        <v>6.0</v>
      </c>
      <c r="C52" s="123" t="s">
        <v>345</v>
      </c>
      <c r="D52" s="124" t="s">
        <v>346</v>
      </c>
      <c r="E52" s="179"/>
      <c r="F52" s="126" t="s">
        <v>272</v>
      </c>
      <c r="G52" s="123" t="s">
        <v>347</v>
      </c>
      <c r="H52" s="123" t="s">
        <v>348</v>
      </c>
      <c r="I52" s="127"/>
      <c r="J52" s="163"/>
      <c r="L52" s="164"/>
      <c r="P52" s="165"/>
    </row>
    <row r="53" ht="22.5" customHeight="1">
      <c r="B53" s="169">
        <v>7.0</v>
      </c>
      <c r="C53" s="128" t="s">
        <v>349</v>
      </c>
      <c r="D53" s="129" t="s">
        <v>346</v>
      </c>
      <c r="E53" s="130" t="s">
        <v>350</v>
      </c>
      <c r="F53" s="131" t="s">
        <v>280</v>
      </c>
      <c r="G53" s="128" t="s">
        <v>347</v>
      </c>
      <c r="H53" s="128" t="s">
        <v>348</v>
      </c>
      <c r="I53" s="132"/>
      <c r="J53" s="168"/>
      <c r="L53" s="164"/>
      <c r="P53" s="165"/>
    </row>
    <row r="54" ht="22.5" customHeight="1">
      <c r="B54" s="174">
        <v>8.0</v>
      </c>
      <c r="C54" s="123" t="s">
        <v>351</v>
      </c>
      <c r="D54" s="124" t="s">
        <v>352</v>
      </c>
      <c r="E54" s="125" t="s">
        <v>353</v>
      </c>
      <c r="F54" s="126" t="s">
        <v>354</v>
      </c>
      <c r="G54" s="123" t="s">
        <v>355</v>
      </c>
      <c r="H54" s="123" t="s">
        <v>356</v>
      </c>
      <c r="I54" s="127"/>
      <c r="J54" s="163"/>
      <c r="L54" s="164"/>
      <c r="P54" s="165"/>
    </row>
    <row r="55" ht="22.5" customHeight="1">
      <c r="B55" s="169">
        <v>9.0</v>
      </c>
      <c r="C55" s="128" t="s">
        <v>357</v>
      </c>
      <c r="D55" s="129" t="s">
        <v>358</v>
      </c>
      <c r="E55" s="180"/>
      <c r="F55" s="131" t="s">
        <v>359</v>
      </c>
      <c r="G55" s="128" t="s">
        <v>360</v>
      </c>
      <c r="H55" s="128" t="s">
        <v>361</v>
      </c>
      <c r="I55" s="132"/>
      <c r="J55" s="181" t="s">
        <v>77</v>
      </c>
      <c r="L55" s="182"/>
      <c r="M55" s="183"/>
      <c r="N55" s="183"/>
      <c r="O55" s="183"/>
      <c r="P55" s="184"/>
    </row>
    <row r="56" ht="22.5" customHeight="1">
      <c r="B56" s="185">
        <v>10.0</v>
      </c>
      <c r="C56" s="186" t="s">
        <v>362</v>
      </c>
      <c r="D56" s="187" t="s">
        <v>363</v>
      </c>
      <c r="E56" s="188"/>
      <c r="F56" s="189" t="s">
        <v>364</v>
      </c>
      <c r="G56" s="186" t="s">
        <v>365</v>
      </c>
      <c r="H56" s="186" t="s">
        <v>366</v>
      </c>
      <c r="I56" s="190"/>
      <c r="J56" s="163"/>
    </row>
    <row r="57" ht="22.5" customHeight="1">
      <c r="B57" s="191">
        <v>11.0</v>
      </c>
      <c r="C57" s="192" t="s">
        <v>367</v>
      </c>
      <c r="D57" s="193" t="s">
        <v>368</v>
      </c>
      <c r="E57" s="194"/>
      <c r="F57" s="195" t="s">
        <v>369</v>
      </c>
      <c r="G57" s="192" t="s">
        <v>370</v>
      </c>
      <c r="H57" s="192" t="s">
        <v>371</v>
      </c>
      <c r="I57" s="196"/>
      <c r="J57" s="168"/>
      <c r="L57" s="197" t="s">
        <v>296</v>
      </c>
      <c r="M57" s="51"/>
      <c r="N57" s="51"/>
      <c r="O57" s="2"/>
      <c r="P57" s="2"/>
      <c r="Q57" s="2"/>
    </row>
    <row r="58" ht="22.5" customHeight="1">
      <c r="B58" s="185">
        <v>12.0</v>
      </c>
      <c r="C58" s="186" t="s">
        <v>372</v>
      </c>
      <c r="D58" s="187" t="s">
        <v>373</v>
      </c>
      <c r="E58" s="188"/>
      <c r="F58" s="189" t="s">
        <v>374</v>
      </c>
      <c r="G58" s="186" t="s">
        <v>375</v>
      </c>
      <c r="H58" s="186" t="s">
        <v>376</v>
      </c>
      <c r="I58" s="190"/>
      <c r="J58" s="163"/>
      <c r="L58" s="198" t="s">
        <v>274</v>
      </c>
      <c r="M58" s="49"/>
      <c r="N58" s="198" t="s">
        <v>275</v>
      </c>
      <c r="O58" s="49"/>
      <c r="P58" s="198" t="s">
        <v>276</v>
      </c>
      <c r="Q58" s="49"/>
    </row>
    <row r="59" ht="22.5" customHeight="1">
      <c r="B59" s="199">
        <v>13.0</v>
      </c>
      <c r="C59" s="200" t="s">
        <v>377</v>
      </c>
      <c r="D59" s="201" t="s">
        <v>378</v>
      </c>
      <c r="E59" s="202"/>
      <c r="F59" s="203" t="s">
        <v>379</v>
      </c>
      <c r="G59" s="200" t="s">
        <v>380</v>
      </c>
      <c r="H59" s="200" t="s">
        <v>381</v>
      </c>
      <c r="I59" s="204"/>
      <c r="J59" s="168"/>
      <c r="L59" s="205" t="s">
        <v>382</v>
      </c>
      <c r="M59" s="103"/>
      <c r="N59" s="205" t="s">
        <v>383</v>
      </c>
      <c r="O59" s="103"/>
      <c r="P59" s="205" t="s">
        <v>384</v>
      </c>
      <c r="Q59" s="103"/>
    </row>
    <row r="60">
      <c r="L60" s="110"/>
      <c r="M60" s="111"/>
      <c r="N60" s="110"/>
      <c r="O60" s="111"/>
      <c r="P60" s="110"/>
      <c r="Q60" s="111"/>
    </row>
    <row r="61">
      <c r="L61" s="110"/>
      <c r="M61" s="111"/>
      <c r="N61" s="110"/>
      <c r="O61" s="111"/>
      <c r="P61" s="110"/>
      <c r="Q61" s="111"/>
    </row>
    <row r="62">
      <c r="L62" s="134"/>
      <c r="M62" s="135"/>
      <c r="N62" s="134"/>
      <c r="O62" s="135"/>
      <c r="P62" s="134"/>
      <c r="Q62" s="135"/>
    </row>
    <row r="63">
      <c r="K63" s="155"/>
      <c r="L63" s="154"/>
      <c r="M63" s="154"/>
      <c r="N63" s="154"/>
      <c r="O63" s="155"/>
      <c r="P63" s="155"/>
    </row>
    <row r="64">
      <c r="K64" s="155"/>
      <c r="L64" s="154"/>
      <c r="M64" s="154"/>
      <c r="N64" s="154"/>
      <c r="O64" s="155"/>
      <c r="P64" s="155"/>
    </row>
    <row r="65">
      <c r="K65" s="155"/>
      <c r="L65" s="154"/>
      <c r="M65" s="154"/>
      <c r="N65" s="154"/>
      <c r="O65" s="155"/>
      <c r="P65" s="155"/>
    </row>
    <row r="66">
      <c r="K66" s="155"/>
      <c r="L66" s="206" t="s">
        <v>385</v>
      </c>
      <c r="M66" s="49"/>
      <c r="N66" s="100"/>
      <c r="O66" s="100"/>
      <c r="P66" s="100"/>
    </row>
    <row r="67" ht="22.5" customHeight="1">
      <c r="B67" s="101" t="s">
        <v>174</v>
      </c>
      <c r="C67" s="101" t="s">
        <v>175</v>
      </c>
      <c r="D67" s="101" t="s">
        <v>176</v>
      </c>
      <c r="E67" s="101" t="s">
        <v>177</v>
      </c>
      <c r="F67" s="101" t="s">
        <v>178</v>
      </c>
      <c r="G67" s="101" t="s">
        <v>179</v>
      </c>
      <c r="H67" s="101" t="s">
        <v>180</v>
      </c>
      <c r="I67" s="101" t="s">
        <v>181</v>
      </c>
      <c r="K67" s="155"/>
      <c r="L67" s="207" t="s">
        <v>386</v>
      </c>
      <c r="M67" s="58"/>
      <c r="N67" s="58"/>
      <c r="O67" s="58"/>
      <c r="P67" s="103"/>
    </row>
    <row r="68" ht="22.5" customHeight="1">
      <c r="B68" s="208">
        <v>1.0</v>
      </c>
      <c r="C68" s="105" t="s">
        <v>387</v>
      </c>
      <c r="D68" s="119" t="s">
        <v>388</v>
      </c>
      <c r="E68" s="107" t="s">
        <v>333</v>
      </c>
      <c r="F68" s="108" t="s">
        <v>389</v>
      </c>
      <c r="G68" s="108" t="s">
        <v>390</v>
      </c>
      <c r="H68" s="105" t="s">
        <v>391</v>
      </c>
      <c r="I68" s="209"/>
      <c r="K68" s="155"/>
      <c r="L68" s="110"/>
      <c r="P68" s="111"/>
    </row>
    <row r="69" ht="22.5" customHeight="1">
      <c r="B69" s="210">
        <v>2.0</v>
      </c>
      <c r="C69" s="113" t="s">
        <v>392</v>
      </c>
      <c r="D69" s="120" t="s">
        <v>393</v>
      </c>
      <c r="E69" s="115" t="s">
        <v>394</v>
      </c>
      <c r="F69" s="116" t="s">
        <v>395</v>
      </c>
      <c r="G69" s="121" t="s">
        <v>390</v>
      </c>
      <c r="H69" s="113" t="s">
        <v>396</v>
      </c>
      <c r="I69" s="211"/>
      <c r="K69" s="155"/>
      <c r="L69" s="110"/>
      <c r="P69" s="111"/>
    </row>
    <row r="70" ht="22.5" customHeight="1">
      <c r="B70" s="208">
        <v>3.0</v>
      </c>
      <c r="C70" s="105" t="s">
        <v>397</v>
      </c>
      <c r="D70" s="119" t="s">
        <v>398</v>
      </c>
      <c r="E70" s="107" t="s">
        <v>399</v>
      </c>
      <c r="F70" s="108" t="s">
        <v>245</v>
      </c>
      <c r="G70" s="122" t="s">
        <v>400</v>
      </c>
      <c r="H70" s="105" t="s">
        <v>401</v>
      </c>
      <c r="I70" s="209"/>
      <c r="K70" s="155"/>
      <c r="L70" s="110"/>
      <c r="P70" s="111"/>
    </row>
    <row r="71" ht="22.5" customHeight="1">
      <c r="B71" s="212"/>
      <c r="C71" s="113" t="s">
        <v>402</v>
      </c>
      <c r="D71" s="114"/>
      <c r="E71" s="115" t="s">
        <v>403</v>
      </c>
      <c r="F71" s="117"/>
      <c r="G71" s="117"/>
      <c r="H71" s="114"/>
      <c r="I71" s="211"/>
      <c r="K71" s="155"/>
      <c r="L71" s="110"/>
      <c r="P71" s="111"/>
    </row>
    <row r="72" ht="22.5" customHeight="1">
      <c r="B72" s="213">
        <v>4.0</v>
      </c>
      <c r="C72" s="123" t="s">
        <v>404</v>
      </c>
      <c r="D72" s="124" t="s">
        <v>405</v>
      </c>
      <c r="E72" s="125" t="s">
        <v>406</v>
      </c>
      <c r="F72" s="126" t="s">
        <v>407</v>
      </c>
      <c r="G72" s="126" t="s">
        <v>390</v>
      </c>
      <c r="H72" s="123" t="s">
        <v>408</v>
      </c>
      <c r="I72" s="214"/>
      <c r="K72" s="155"/>
      <c r="L72" s="110"/>
      <c r="P72" s="111"/>
    </row>
    <row r="73" ht="22.5" customHeight="1">
      <c r="B73" s="215">
        <v>5.0</v>
      </c>
      <c r="C73" s="128" t="s">
        <v>409</v>
      </c>
      <c r="D73" s="129" t="s">
        <v>410</v>
      </c>
      <c r="E73" s="130" t="s">
        <v>411</v>
      </c>
      <c r="F73" s="131" t="s">
        <v>272</v>
      </c>
      <c r="G73" s="131" t="s">
        <v>412</v>
      </c>
      <c r="H73" s="128" t="s">
        <v>413</v>
      </c>
      <c r="I73" s="216"/>
      <c r="K73" s="155"/>
      <c r="L73" s="110"/>
      <c r="P73" s="111"/>
    </row>
    <row r="74" ht="22.5" customHeight="1">
      <c r="B74" s="213">
        <v>6.0</v>
      </c>
      <c r="C74" s="123" t="s">
        <v>414</v>
      </c>
      <c r="D74" s="124" t="s">
        <v>415</v>
      </c>
      <c r="E74" s="125" t="s">
        <v>416</v>
      </c>
      <c r="F74" s="126" t="s">
        <v>379</v>
      </c>
      <c r="G74" s="123" t="s">
        <v>417</v>
      </c>
      <c r="H74" s="123" t="s">
        <v>418</v>
      </c>
      <c r="I74" s="214"/>
      <c r="L74" s="110"/>
      <c r="P74" s="111"/>
    </row>
    <row r="75" ht="22.5" customHeight="1">
      <c r="B75" s="215">
        <v>7.0</v>
      </c>
      <c r="C75" s="128" t="s">
        <v>419</v>
      </c>
      <c r="D75" s="129" t="s">
        <v>420</v>
      </c>
      <c r="E75" s="130" t="s">
        <v>421</v>
      </c>
      <c r="F75" s="131" t="s">
        <v>359</v>
      </c>
      <c r="G75" s="128" t="s">
        <v>422</v>
      </c>
      <c r="H75" s="128" t="s">
        <v>423</v>
      </c>
      <c r="I75" s="216"/>
      <c r="L75" s="110"/>
      <c r="P75" s="111"/>
    </row>
    <row r="76" ht="22.5" customHeight="1">
      <c r="B76" s="213">
        <v>8.0</v>
      </c>
      <c r="C76" s="123" t="s">
        <v>424</v>
      </c>
      <c r="D76" s="124" t="s">
        <v>425</v>
      </c>
      <c r="E76" s="125" t="s">
        <v>426</v>
      </c>
      <c r="F76" s="126" t="s">
        <v>427</v>
      </c>
      <c r="G76" s="123" t="s">
        <v>428</v>
      </c>
      <c r="H76" s="123" t="s">
        <v>429</v>
      </c>
      <c r="I76" s="214"/>
      <c r="L76" s="110"/>
      <c r="P76" s="111"/>
    </row>
    <row r="77" ht="22.5" customHeight="1">
      <c r="B77" s="217">
        <v>9.0</v>
      </c>
      <c r="C77" s="192" t="s">
        <v>430</v>
      </c>
      <c r="D77" s="193" t="s">
        <v>431</v>
      </c>
      <c r="E77" s="218" t="s">
        <v>432</v>
      </c>
      <c r="F77" s="195" t="s">
        <v>267</v>
      </c>
      <c r="G77" s="192" t="s">
        <v>390</v>
      </c>
      <c r="H77" s="192" t="s">
        <v>433</v>
      </c>
      <c r="I77" s="219"/>
      <c r="L77" s="110"/>
      <c r="P77" s="111"/>
    </row>
    <row r="78" ht="22.5" customHeight="1">
      <c r="B78" s="220">
        <v>10.0</v>
      </c>
      <c r="C78" s="186" t="s">
        <v>434</v>
      </c>
      <c r="D78" s="187" t="s">
        <v>435</v>
      </c>
      <c r="E78" s="221" t="s">
        <v>436</v>
      </c>
      <c r="F78" s="189" t="s">
        <v>369</v>
      </c>
      <c r="G78" s="186" t="s">
        <v>390</v>
      </c>
      <c r="H78" s="186" t="s">
        <v>437</v>
      </c>
      <c r="I78" s="222"/>
      <c r="L78" s="110"/>
      <c r="P78" s="111"/>
    </row>
    <row r="79" ht="22.5" customHeight="1">
      <c r="B79" s="217">
        <v>11.0</v>
      </c>
      <c r="C79" s="192" t="s">
        <v>438</v>
      </c>
      <c r="D79" s="193" t="s">
        <v>439</v>
      </c>
      <c r="E79" s="218" t="s">
        <v>440</v>
      </c>
      <c r="F79" s="195" t="s">
        <v>441</v>
      </c>
      <c r="G79" s="192" t="s">
        <v>442</v>
      </c>
      <c r="H79" s="192" t="s">
        <v>443</v>
      </c>
      <c r="I79" s="219"/>
      <c r="L79" s="110"/>
      <c r="P79" s="111"/>
    </row>
    <row r="80" ht="22.5" customHeight="1">
      <c r="B80" s="220">
        <v>12.0</v>
      </c>
      <c r="C80" s="186" t="s">
        <v>444</v>
      </c>
      <c r="D80" s="187" t="s">
        <v>445</v>
      </c>
      <c r="E80" s="221" t="s">
        <v>446</v>
      </c>
      <c r="F80" s="189" t="s">
        <v>447</v>
      </c>
      <c r="G80" s="186" t="s">
        <v>448</v>
      </c>
      <c r="H80" s="186" t="s">
        <v>449</v>
      </c>
      <c r="I80" s="222"/>
      <c r="L80" s="110"/>
      <c r="P80" s="111"/>
    </row>
    <row r="81" ht="22.5" customHeight="1">
      <c r="B81" s="223">
        <v>13.0</v>
      </c>
      <c r="C81" s="224" t="s">
        <v>450</v>
      </c>
      <c r="D81" s="225" t="s">
        <v>451</v>
      </c>
      <c r="E81" s="226" t="s">
        <v>452</v>
      </c>
      <c r="F81" s="227" t="s">
        <v>453</v>
      </c>
      <c r="G81" s="224" t="s">
        <v>454</v>
      </c>
      <c r="H81" s="224" t="s">
        <v>455</v>
      </c>
      <c r="I81" s="228"/>
      <c r="L81" s="134"/>
      <c r="M81" s="75"/>
      <c r="N81" s="75"/>
      <c r="O81" s="75"/>
      <c r="P81" s="135"/>
    </row>
    <row r="84">
      <c r="L84" s="229" t="s">
        <v>456</v>
      </c>
      <c r="M84" s="100"/>
      <c r="N84" s="100"/>
    </row>
    <row r="85">
      <c r="L85" s="230" t="s">
        <v>274</v>
      </c>
      <c r="M85" s="49"/>
      <c r="N85" s="230" t="s">
        <v>275</v>
      </c>
      <c r="O85" s="49"/>
      <c r="P85" s="230" t="s">
        <v>276</v>
      </c>
      <c r="Q85" s="49"/>
    </row>
    <row r="86">
      <c r="L86" s="231" t="s">
        <v>457</v>
      </c>
      <c r="M86" s="103"/>
      <c r="N86" s="231" t="s">
        <v>458</v>
      </c>
      <c r="O86" s="103"/>
      <c r="P86" s="231" t="s">
        <v>459</v>
      </c>
      <c r="Q86" s="103"/>
    </row>
    <row r="87">
      <c r="L87" s="110"/>
      <c r="M87" s="111"/>
      <c r="N87" s="110"/>
      <c r="O87" s="111"/>
      <c r="P87" s="110"/>
      <c r="Q87" s="111"/>
    </row>
    <row r="88">
      <c r="L88" s="110"/>
      <c r="M88" s="111"/>
      <c r="N88" s="110"/>
      <c r="O88" s="111"/>
      <c r="P88" s="110"/>
      <c r="Q88" s="111"/>
    </row>
    <row r="89">
      <c r="L89" s="134"/>
      <c r="M89" s="135"/>
      <c r="N89" s="134"/>
      <c r="O89" s="135"/>
      <c r="P89" s="134"/>
      <c r="Q89" s="135"/>
    </row>
    <row r="90">
      <c r="L90" s="154"/>
      <c r="M90" s="154"/>
      <c r="N90" s="154"/>
      <c r="O90" s="155"/>
    </row>
    <row r="91">
      <c r="L91" s="154"/>
      <c r="M91" s="154"/>
      <c r="N91" s="154"/>
      <c r="O91" s="155"/>
    </row>
    <row r="94">
      <c r="L94" s="232" t="s">
        <v>460</v>
      </c>
      <c r="M94" s="84"/>
      <c r="N94" s="100"/>
      <c r="O94" s="100"/>
      <c r="P94" s="100"/>
      <c r="Q94" s="100"/>
    </row>
    <row r="95" ht="22.5" customHeight="1">
      <c r="B95" s="101" t="s">
        <v>174</v>
      </c>
      <c r="C95" s="101" t="s">
        <v>175</v>
      </c>
      <c r="D95" s="101" t="s">
        <v>176</v>
      </c>
      <c r="E95" s="101" t="s">
        <v>177</v>
      </c>
      <c r="F95" s="101" t="s">
        <v>178</v>
      </c>
      <c r="G95" s="101" t="s">
        <v>179</v>
      </c>
      <c r="H95" s="101" t="s">
        <v>180</v>
      </c>
      <c r="I95" s="101" t="s">
        <v>181</v>
      </c>
      <c r="L95" s="233" t="s">
        <v>461</v>
      </c>
      <c r="M95" s="159"/>
      <c r="N95" s="159"/>
      <c r="O95" s="159"/>
      <c r="P95" s="159"/>
      <c r="Q95" s="160"/>
    </row>
    <row r="96" ht="22.5" customHeight="1">
      <c r="B96" s="208">
        <v>1.0</v>
      </c>
      <c r="C96" s="105" t="s">
        <v>462</v>
      </c>
      <c r="D96" s="119" t="s">
        <v>463</v>
      </c>
      <c r="E96" s="107" t="s">
        <v>464</v>
      </c>
      <c r="F96" s="108" t="s">
        <v>465</v>
      </c>
      <c r="G96" s="108" t="s">
        <v>466</v>
      </c>
      <c r="H96" s="105" t="s">
        <v>467</v>
      </c>
      <c r="I96" s="209"/>
      <c r="L96" s="164"/>
      <c r="Q96" s="165"/>
    </row>
    <row r="97" ht="22.5" customHeight="1">
      <c r="B97" s="212"/>
      <c r="C97" s="113" t="s">
        <v>468</v>
      </c>
      <c r="D97" s="114"/>
      <c r="E97" s="115" t="s">
        <v>469</v>
      </c>
      <c r="F97" s="117"/>
      <c r="G97" s="234"/>
      <c r="H97" s="114"/>
      <c r="I97" s="211"/>
      <c r="L97" s="164"/>
      <c r="Q97" s="165"/>
    </row>
    <row r="98" ht="22.5" customHeight="1">
      <c r="B98" s="213">
        <v>2.0</v>
      </c>
      <c r="C98" s="123" t="s">
        <v>470</v>
      </c>
      <c r="D98" s="124" t="s">
        <v>471</v>
      </c>
      <c r="E98" s="125" t="s">
        <v>472</v>
      </c>
      <c r="F98" s="126" t="s">
        <v>359</v>
      </c>
      <c r="G98" s="235" t="s">
        <v>473</v>
      </c>
      <c r="H98" s="123" t="s">
        <v>474</v>
      </c>
      <c r="I98" s="214"/>
      <c r="L98" s="164"/>
      <c r="Q98" s="165"/>
    </row>
    <row r="99" ht="22.5" customHeight="1">
      <c r="B99" s="212"/>
      <c r="C99" s="113" t="s">
        <v>475</v>
      </c>
      <c r="D99" s="114"/>
      <c r="E99" s="115" t="s">
        <v>476</v>
      </c>
      <c r="F99" s="117"/>
      <c r="G99" s="234"/>
      <c r="H99" s="114"/>
      <c r="I99" s="211"/>
      <c r="L99" s="164"/>
      <c r="Q99" s="165"/>
    </row>
    <row r="100" ht="22.5" customHeight="1">
      <c r="B100" s="208">
        <v>3.0</v>
      </c>
      <c r="C100" s="105" t="s">
        <v>477</v>
      </c>
      <c r="D100" s="119" t="s">
        <v>478</v>
      </c>
      <c r="E100" s="107" t="s">
        <v>479</v>
      </c>
      <c r="F100" s="108" t="s">
        <v>447</v>
      </c>
      <c r="G100" s="122" t="s">
        <v>480</v>
      </c>
      <c r="H100" s="105" t="s">
        <v>481</v>
      </c>
      <c r="I100" s="209"/>
      <c r="L100" s="164"/>
      <c r="Q100" s="165"/>
    </row>
    <row r="101" ht="22.5" customHeight="1">
      <c r="B101" s="217">
        <v>4.0</v>
      </c>
      <c r="C101" s="192" t="s">
        <v>482</v>
      </c>
      <c r="D101" s="193" t="s">
        <v>483</v>
      </c>
      <c r="E101" s="218" t="s">
        <v>484</v>
      </c>
      <c r="F101" s="195" t="s">
        <v>389</v>
      </c>
      <c r="G101" s="195" t="s">
        <v>485</v>
      </c>
      <c r="H101" s="192" t="s">
        <v>486</v>
      </c>
      <c r="I101" s="219"/>
      <c r="L101" s="164"/>
      <c r="Q101" s="165"/>
    </row>
    <row r="102" ht="22.5" customHeight="1">
      <c r="B102" s="220">
        <v>5.0</v>
      </c>
      <c r="C102" s="186" t="s">
        <v>487</v>
      </c>
      <c r="D102" s="187" t="s">
        <v>488</v>
      </c>
      <c r="E102" s="221" t="s">
        <v>489</v>
      </c>
      <c r="F102" s="189" t="s">
        <v>395</v>
      </c>
      <c r="G102" s="189" t="s">
        <v>490</v>
      </c>
      <c r="H102" s="186" t="s">
        <v>491</v>
      </c>
      <c r="I102" s="222"/>
      <c r="L102" s="164"/>
      <c r="Q102" s="165"/>
    </row>
    <row r="103" ht="22.5" customHeight="1">
      <c r="B103" s="217">
        <v>6.0</v>
      </c>
      <c r="C103" s="192" t="s">
        <v>492</v>
      </c>
      <c r="D103" s="193" t="s">
        <v>493</v>
      </c>
      <c r="E103" s="218" t="s">
        <v>494</v>
      </c>
      <c r="F103" s="195" t="s">
        <v>267</v>
      </c>
      <c r="G103" s="192" t="s">
        <v>495</v>
      </c>
      <c r="H103" s="192" t="s">
        <v>496</v>
      </c>
      <c r="I103" s="219"/>
      <c r="L103" s="164"/>
      <c r="Q103" s="165"/>
    </row>
    <row r="104" ht="22.5" customHeight="1">
      <c r="B104" s="236"/>
      <c r="C104" s="186" t="s">
        <v>497</v>
      </c>
      <c r="D104" s="188"/>
      <c r="E104" s="221" t="s">
        <v>498</v>
      </c>
      <c r="F104" s="237"/>
      <c r="G104" s="188"/>
      <c r="H104" s="188"/>
      <c r="I104" s="222"/>
      <c r="L104" s="164"/>
      <c r="Q104" s="165"/>
    </row>
    <row r="105" ht="22.5" customHeight="1">
      <c r="B105" s="217">
        <v>7.0</v>
      </c>
      <c r="C105" s="192" t="s">
        <v>499</v>
      </c>
      <c r="D105" s="193" t="s">
        <v>500</v>
      </c>
      <c r="E105" s="218" t="s">
        <v>501</v>
      </c>
      <c r="F105" s="195" t="s">
        <v>272</v>
      </c>
      <c r="G105" s="192" t="s">
        <v>502</v>
      </c>
      <c r="H105" s="192" t="s">
        <v>503</v>
      </c>
      <c r="I105" s="219"/>
      <c r="L105" s="164"/>
      <c r="Q105" s="165"/>
    </row>
    <row r="106" ht="22.5" customHeight="1">
      <c r="B106" s="220">
        <v>8.0</v>
      </c>
      <c r="C106" s="186" t="s">
        <v>504</v>
      </c>
      <c r="D106" s="187" t="s">
        <v>505</v>
      </c>
      <c r="E106" s="238" t="s">
        <v>506</v>
      </c>
      <c r="F106" s="189" t="s">
        <v>441</v>
      </c>
      <c r="G106" s="186" t="s">
        <v>507</v>
      </c>
      <c r="H106" s="186" t="s">
        <v>508</v>
      </c>
      <c r="I106" s="222"/>
      <c r="L106" s="164"/>
      <c r="Q106" s="165"/>
    </row>
    <row r="107" ht="22.5" customHeight="1">
      <c r="B107" s="239"/>
      <c r="C107" s="240" t="s">
        <v>509</v>
      </c>
      <c r="D107" s="241"/>
      <c r="E107" s="115" t="s">
        <v>510</v>
      </c>
      <c r="F107" s="242"/>
      <c r="G107" s="243"/>
      <c r="H107" s="243"/>
      <c r="I107" s="244"/>
      <c r="L107" s="164"/>
      <c r="Q107" s="165"/>
    </row>
    <row r="108" ht="22.5" customHeight="1">
      <c r="B108" s="245">
        <v>9.0</v>
      </c>
      <c r="C108" s="246" t="s">
        <v>511</v>
      </c>
      <c r="D108" s="247" t="s">
        <v>512</v>
      </c>
      <c r="E108" s="248" t="s">
        <v>513</v>
      </c>
      <c r="F108" s="249" t="s">
        <v>453</v>
      </c>
      <c r="G108" s="246" t="s">
        <v>514</v>
      </c>
      <c r="H108" s="246" t="s">
        <v>515</v>
      </c>
      <c r="I108" s="250"/>
      <c r="L108" s="182"/>
      <c r="M108" s="183"/>
      <c r="N108" s="183"/>
      <c r="O108" s="183"/>
      <c r="P108" s="183"/>
      <c r="Q108" s="184"/>
    </row>
    <row r="111">
      <c r="L111" s="251" t="s">
        <v>516</v>
      </c>
      <c r="M111" s="100"/>
      <c r="N111" s="100"/>
    </row>
    <row r="112">
      <c r="L112" s="252" t="s">
        <v>274</v>
      </c>
      <c r="M112" s="49"/>
      <c r="N112" s="252" t="s">
        <v>275</v>
      </c>
      <c r="O112" s="49"/>
      <c r="P112" s="252" t="s">
        <v>276</v>
      </c>
      <c r="Q112" s="49"/>
    </row>
    <row r="113">
      <c r="L113" s="253" t="s">
        <v>517</v>
      </c>
      <c r="M113" s="103"/>
      <c r="N113" s="253" t="s">
        <v>518</v>
      </c>
      <c r="O113" s="103"/>
      <c r="P113" s="253" t="s">
        <v>519</v>
      </c>
      <c r="Q113" s="103"/>
    </row>
    <row r="114">
      <c r="L114" s="110"/>
      <c r="M114" s="111"/>
      <c r="N114" s="110"/>
      <c r="O114" s="111"/>
      <c r="P114" s="110"/>
      <c r="Q114" s="111"/>
    </row>
    <row r="115">
      <c r="L115" s="110"/>
      <c r="M115" s="111"/>
      <c r="N115" s="110"/>
      <c r="O115" s="111"/>
      <c r="P115" s="110"/>
      <c r="Q115" s="111"/>
    </row>
    <row r="116">
      <c r="L116" s="110"/>
      <c r="M116" s="111"/>
      <c r="N116" s="110"/>
      <c r="O116" s="111"/>
      <c r="P116" s="110"/>
      <c r="Q116" s="111"/>
    </row>
    <row r="117">
      <c r="L117" s="134"/>
      <c r="M117" s="135"/>
      <c r="N117" s="134"/>
      <c r="O117" s="135"/>
      <c r="P117" s="134"/>
      <c r="Q117" s="135"/>
    </row>
    <row r="118">
      <c r="L118" s="154"/>
      <c r="M118" s="154"/>
      <c r="N118" s="154"/>
    </row>
  </sheetData>
  <mergeCells count="32">
    <mergeCell ref="L2:M2"/>
    <mergeCell ref="L3:P23"/>
    <mergeCell ref="L25:M25"/>
    <mergeCell ref="N25:O25"/>
    <mergeCell ref="P25:Q25"/>
    <mergeCell ref="N26:O30"/>
    <mergeCell ref="P26:Q30"/>
    <mergeCell ref="N59:O62"/>
    <mergeCell ref="P59:Q62"/>
    <mergeCell ref="L26:M30"/>
    <mergeCell ref="L34:M34"/>
    <mergeCell ref="L35:P55"/>
    <mergeCell ref="L58:M58"/>
    <mergeCell ref="N58:O58"/>
    <mergeCell ref="P58:Q58"/>
    <mergeCell ref="L59:M62"/>
    <mergeCell ref="L86:M89"/>
    <mergeCell ref="L94:M94"/>
    <mergeCell ref="L95:Q108"/>
    <mergeCell ref="L112:M112"/>
    <mergeCell ref="N112:O112"/>
    <mergeCell ref="P112:Q112"/>
    <mergeCell ref="L113:M117"/>
    <mergeCell ref="N113:O117"/>
    <mergeCell ref="P113:Q117"/>
    <mergeCell ref="L66:M66"/>
    <mergeCell ref="L67:P81"/>
    <mergeCell ref="L85:M85"/>
    <mergeCell ref="N85:O85"/>
    <mergeCell ref="P85:Q85"/>
    <mergeCell ref="N86:O89"/>
    <mergeCell ref="P86:Q89"/>
  </mergeCells>
  <dataValidations>
    <dataValidation allowBlank="1" showDropDown="1" sqref="F4:F30 F36:F59 F68:F81 F96:F108"/>
  </dataValidations>
  <hyperlinks>
    <hyperlink r:id="rId1" ref="D6"/>
    <hyperlink r:id="rId2" ref="D7"/>
    <hyperlink r:id="rId3" ref="D8"/>
    <hyperlink r:id="rId4" ref="D10"/>
    <hyperlink r:id="rId5" ref="D11"/>
    <hyperlink r:id="rId6" ref="D14"/>
    <hyperlink r:id="rId7" ref="D16"/>
    <hyperlink r:id="rId8" ref="D17"/>
    <hyperlink r:id="rId9" ref="D18"/>
    <hyperlink r:id="rId10" ref="D19"/>
    <hyperlink r:id="rId11" ref="D23"/>
    <hyperlink r:id="rId12" ref="D24"/>
    <hyperlink r:id="rId13" ref="D25"/>
    <hyperlink r:id="rId14" ref="D26"/>
    <hyperlink r:id="rId15" ref="D28"/>
    <hyperlink r:id="rId16" ref="D41"/>
    <hyperlink r:id="rId17" ref="D44"/>
    <hyperlink r:id="rId18" ref="D46"/>
    <hyperlink r:id="rId19" ref="D47"/>
    <hyperlink r:id="rId20" ref="D50"/>
    <hyperlink r:id="rId21" ref="D52"/>
    <hyperlink r:id="rId22" ref="D53"/>
    <hyperlink r:id="rId23" ref="D54"/>
    <hyperlink r:id="rId24" ref="D55"/>
    <hyperlink r:id="rId25" ref="D56"/>
    <hyperlink r:id="rId26" ref="D57"/>
    <hyperlink r:id="rId27" ref="D58"/>
    <hyperlink r:id="rId28" ref="D59"/>
    <hyperlink r:id="rId29" ref="D68"/>
    <hyperlink r:id="rId30" ref="D69"/>
    <hyperlink r:id="rId31" ref="D70"/>
    <hyperlink r:id="rId32" ref="D72"/>
    <hyperlink r:id="rId33" ref="D73"/>
    <hyperlink r:id="rId34" ref="D74"/>
    <hyperlink r:id="rId35" ref="D75"/>
    <hyperlink r:id="rId36" ref="D76"/>
    <hyperlink r:id="rId37" ref="D77"/>
    <hyperlink r:id="rId38" ref="D78"/>
    <hyperlink r:id="rId39" ref="D79"/>
    <hyperlink r:id="rId40" ref="D80"/>
    <hyperlink r:id="rId41" ref="D81"/>
    <hyperlink r:id="rId42" ref="D96"/>
    <hyperlink r:id="rId43" ref="D98"/>
    <hyperlink r:id="rId44" ref="D100"/>
    <hyperlink r:id="rId45" ref="D101"/>
    <hyperlink r:id="rId46" ref="D102"/>
    <hyperlink r:id="rId47" ref="D103"/>
    <hyperlink r:id="rId48" ref="D105"/>
    <hyperlink r:id="rId49" ref="D106"/>
    <hyperlink r:id="rId50" ref="D108"/>
  </hyperlinks>
  <drawing r:id="rId51"/>
  <tableParts count="4">
    <tablePart r:id="rId56"/>
    <tablePart r:id="rId57"/>
    <tablePart r:id="rId58"/>
    <tablePart r:id="rId5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4.38"/>
    <col hidden="1" min="3" max="4" width="12.63"/>
    <col customWidth="1" min="5" max="5" width="26.13"/>
    <col hidden="1" min="6" max="7" width="12.63"/>
  </cols>
  <sheetData>
    <row r="3">
      <c r="B3" s="254" t="str">
        <f>IFERROR(__xludf.DUMMYFUNCTION("IMPORTRANGE(""https://docs.google.com/spreadsheets/d/1FPA6S4g2zCmxgAh8tBnq2ZI2RHjFsZbYGZ2v8df4HU8/edit?gid=979203830#gid=979203830"", ""'Unit-экономика'!Z2:AE7"")"),"Филамент")</f>
        <v>Филамент</v>
      </c>
      <c r="C3" s="255"/>
      <c r="D3" s="255"/>
      <c r="E3" s="255"/>
      <c r="F3" s="255"/>
      <c r="G3" s="255"/>
    </row>
    <row r="4">
      <c r="B4" s="256" t="str">
        <f>IFERROR(__xludf.DUMMYFUNCTION("""COMPUTED_VALUE"""),"Тип")</f>
        <v>Тип</v>
      </c>
      <c r="C4" s="257" t="str">
        <f>IFERROR(__xludf.DUMMYFUNCTION("""COMPUTED_VALUE"""),"Стоимость в долларах")</f>
        <v>Стоимость в долларах</v>
      </c>
      <c r="D4" s="258" t="str">
        <f>IFERROR(__xludf.DUMMYFUNCTION("""COMPUTED_VALUE"""),"Закупочная стоимость в рублях")</f>
        <v>Закупочная стоимость в рублях</v>
      </c>
      <c r="E4" s="259" t="str">
        <f>IFERROR(__xludf.DUMMYFUNCTION("""COMPUTED_VALUE"""),"Стоимость для клиента")</f>
        <v>Стоимость для клиента</v>
      </c>
      <c r="F4" s="260" t="str">
        <f>IFERROR(__xludf.DUMMYFUNCTION("""COMPUTED_VALUE"""),"Валовая прибыль")</f>
        <v>Валовая прибыль</v>
      </c>
      <c r="G4" s="261" t="str">
        <f>IFERROR(__xludf.DUMMYFUNCTION("""COMPUTED_VALUE"""),"Маржинальность")</f>
        <v>Маржинальность</v>
      </c>
    </row>
    <row r="5">
      <c r="B5" s="262" t="str">
        <f>IFERROR(__xludf.DUMMYFUNCTION("""COMPUTED_VALUE"""),"PLA (1 кг)")</f>
        <v>PLA (1 кг)</v>
      </c>
      <c r="C5" s="263">
        <f>IFERROR(__xludf.DUMMYFUNCTION("""COMPUTED_VALUE"""),9.2)</f>
        <v>9.2</v>
      </c>
      <c r="D5" s="264">
        <f>IFERROR(__xludf.DUMMYFUNCTION("""COMPUTED_VALUE"""),689.04412)</f>
        <v>689.04412</v>
      </c>
      <c r="E5" s="265">
        <f>IFERROR(__xludf.DUMMYFUNCTION("""COMPUTED_VALUE"""),1730.0)</f>
        <v>1730</v>
      </c>
      <c r="F5" s="265">
        <f>IFERROR(__xludf.DUMMYFUNCTION("""COMPUTED_VALUE"""),1040.95588)</f>
        <v>1040.95588</v>
      </c>
      <c r="G5" s="266">
        <f>IFERROR(__xludf.DUMMYFUNCTION("""COMPUTED_VALUE"""),0.6017086011560694)</f>
        <v>0.6017086012</v>
      </c>
    </row>
    <row r="6">
      <c r="B6" s="267" t="str">
        <f>IFERROR(__xludf.DUMMYFUNCTION("""COMPUTED_VALUE"""),"PETG (1 кг)")</f>
        <v>PETG (1 кг)</v>
      </c>
      <c r="C6" s="268">
        <f>IFERROR(__xludf.DUMMYFUNCTION("""COMPUTED_VALUE"""),8.2)</f>
        <v>8.2</v>
      </c>
      <c r="D6" s="269">
        <f>IFERROR(__xludf.DUMMYFUNCTION("""COMPUTED_VALUE"""),614.14802)</f>
        <v>614.14802</v>
      </c>
      <c r="E6" s="270">
        <f>IFERROR(__xludf.DUMMYFUNCTION("""COMPUTED_VALUE"""),1540.0)</f>
        <v>1540</v>
      </c>
      <c r="F6" s="270">
        <f>IFERROR(__xludf.DUMMYFUNCTION("""COMPUTED_VALUE"""),925.85198)</f>
        <v>925.85198</v>
      </c>
      <c r="G6" s="271">
        <f>IFERROR(__xludf.DUMMYFUNCTION("""COMPUTED_VALUE"""),0.6012025844155844)</f>
        <v>0.6012025844</v>
      </c>
    </row>
    <row r="7">
      <c r="B7" s="272" t="str">
        <f>IFERROR(__xludf.DUMMYFUNCTION("""COMPUTED_VALUE"""),"ABS (1 кг)")</f>
        <v>ABS (1 кг)</v>
      </c>
      <c r="C7" s="273">
        <f>IFERROR(__xludf.DUMMYFUNCTION("""COMPUTED_VALUE"""),9.5)</f>
        <v>9.5</v>
      </c>
      <c r="D7" s="274">
        <f>IFERROR(__xludf.DUMMYFUNCTION("""COMPUTED_VALUE"""),711.51295)</f>
        <v>711.51295</v>
      </c>
      <c r="E7" s="275">
        <f>IFERROR(__xludf.DUMMYFUNCTION("""COMPUTED_VALUE"""),1780.0)</f>
        <v>1780</v>
      </c>
      <c r="F7" s="275">
        <f>IFERROR(__xludf.DUMMYFUNCTION("""COMPUTED_VALUE"""),1068.48705)</f>
        <v>1068.48705</v>
      </c>
      <c r="G7" s="276">
        <f>IFERROR(__xludf.DUMMYFUNCTION("""COMPUTED_VALUE"""),0.6002736235955056)</f>
        <v>0.6002736236</v>
      </c>
    </row>
    <row r="8">
      <c r="B8" s="277" t="str">
        <f>IFERROR(__xludf.DUMMYFUNCTION("""COMPUTED_VALUE"""),"TPU85A (1 кг)")</f>
        <v>TPU85A (1 кг)</v>
      </c>
      <c r="C8" s="278">
        <f>IFERROR(__xludf.DUMMYFUNCTION("""COMPUTED_VALUE"""),26.5)</f>
        <v>26.5</v>
      </c>
      <c r="D8" s="279">
        <f>IFERROR(__xludf.DUMMYFUNCTION("""COMPUTED_VALUE"""),1984.74665)</f>
        <v>1984.74665</v>
      </c>
      <c r="E8" s="280">
        <f>IFERROR(__xludf.DUMMYFUNCTION("""COMPUTED_VALUE"""),4970.0)</f>
        <v>4970</v>
      </c>
      <c r="F8" s="280">
        <f>IFERROR(__xludf.DUMMYFUNCTION("""COMPUTED_VALUE"""),2985.25335)</f>
        <v>2985.25335</v>
      </c>
      <c r="G8" s="281">
        <f>IFERROR(__xludf.DUMMYFUNCTION("""COMPUTED_VALUE"""),0.6006545975855131)</f>
        <v>0.6006545976</v>
      </c>
    </row>
    <row r="11">
      <c r="B11" s="282" t="s">
        <v>520</v>
      </c>
      <c r="C11" s="283"/>
      <c r="D11" s="283"/>
      <c r="E11" s="283"/>
    </row>
    <row r="12">
      <c r="B12" s="284" t="s">
        <v>521</v>
      </c>
      <c r="C12" s="285"/>
      <c r="D12" s="285"/>
      <c r="E12" s="286">
        <v>94900.0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25"/>
    <col customWidth="1" min="2" max="2" width="12.25"/>
    <col customWidth="1" min="3" max="3" width="22.75"/>
    <col customWidth="1" min="4" max="4" width="15.75"/>
    <col customWidth="1" min="5" max="6" width="31.5"/>
    <col customWidth="1" min="7" max="7" width="24.5"/>
    <col customWidth="1" min="8" max="26" width="7.63"/>
  </cols>
  <sheetData>
    <row r="1" ht="30.0" customHeight="1">
      <c r="A1" s="287" t="s">
        <v>522</v>
      </c>
      <c r="B1" s="288"/>
      <c r="C1" s="288"/>
      <c r="D1" s="288"/>
      <c r="E1" s="288"/>
      <c r="F1" s="288"/>
      <c r="G1" s="289"/>
    </row>
    <row r="2" ht="39.75" customHeight="1">
      <c r="A2" s="290" t="s">
        <v>523</v>
      </c>
      <c r="B2" s="290" t="s">
        <v>524</v>
      </c>
      <c r="C2" s="290" t="s">
        <v>525</v>
      </c>
      <c r="D2" s="290" t="s">
        <v>526</v>
      </c>
      <c r="E2" s="290" t="s">
        <v>527</v>
      </c>
      <c r="F2" s="290" t="s">
        <v>528</v>
      </c>
      <c r="G2" s="290" t="s">
        <v>529</v>
      </c>
    </row>
    <row r="3" ht="31.5" customHeight="1">
      <c r="A3" s="291" t="s">
        <v>530</v>
      </c>
      <c r="B3" s="292">
        <v>46172.0</v>
      </c>
      <c r="C3" s="293" t="s">
        <v>531</v>
      </c>
      <c r="D3" s="293" t="s">
        <v>532</v>
      </c>
      <c r="E3" s="293" t="s">
        <v>533</v>
      </c>
      <c r="F3" s="293" t="s">
        <v>534</v>
      </c>
      <c r="G3" s="294"/>
    </row>
    <row r="4" ht="51.0" customHeight="1">
      <c r="A4" s="295" t="s">
        <v>535</v>
      </c>
      <c r="B4" s="296">
        <v>46176.0</v>
      </c>
      <c r="C4" s="297" t="s">
        <v>106</v>
      </c>
      <c r="D4" s="298" t="s">
        <v>536</v>
      </c>
      <c r="E4" s="298" t="s">
        <v>537</v>
      </c>
      <c r="F4" s="298" t="s">
        <v>538</v>
      </c>
      <c r="G4" s="298" t="s">
        <v>539</v>
      </c>
    </row>
    <row r="5" ht="45.75" customHeight="1">
      <c r="A5" s="299" t="s">
        <v>540</v>
      </c>
      <c r="B5" s="300">
        <v>46180.0</v>
      </c>
      <c r="C5" s="293" t="s">
        <v>541</v>
      </c>
      <c r="D5" s="293" t="s">
        <v>542</v>
      </c>
      <c r="E5" s="293" t="s">
        <v>543</v>
      </c>
      <c r="F5" s="293" t="s">
        <v>544</v>
      </c>
      <c r="G5" s="293" t="s">
        <v>545</v>
      </c>
    </row>
    <row r="6" ht="52.5" customHeight="1">
      <c r="A6" s="295" t="s">
        <v>546</v>
      </c>
      <c r="B6" s="296">
        <v>46183.0</v>
      </c>
      <c r="C6" s="293" t="s">
        <v>541</v>
      </c>
      <c r="D6" s="298" t="s">
        <v>547</v>
      </c>
      <c r="E6" s="301"/>
      <c r="F6" s="302" t="s">
        <v>548</v>
      </c>
      <c r="G6" s="302">
        <v>22.0</v>
      </c>
    </row>
    <row r="7" ht="35.25" customHeight="1">
      <c r="A7" s="299" t="s">
        <v>549</v>
      </c>
      <c r="B7" s="303">
        <v>46184.0</v>
      </c>
      <c r="C7" s="297" t="s">
        <v>106</v>
      </c>
      <c r="D7" s="293" t="s">
        <v>550</v>
      </c>
      <c r="E7" s="294"/>
      <c r="F7" s="294"/>
      <c r="G7" s="304">
        <v>23.0</v>
      </c>
    </row>
    <row r="8" ht="21.75" customHeight="1">
      <c r="A8" s="295" t="s">
        <v>551</v>
      </c>
      <c r="B8" s="296">
        <v>46188.0</v>
      </c>
      <c r="C8" s="297" t="s">
        <v>106</v>
      </c>
      <c r="D8" s="298" t="s">
        <v>552</v>
      </c>
      <c r="E8" s="298" t="s">
        <v>553</v>
      </c>
      <c r="F8" s="301"/>
      <c r="G8" s="302">
        <v>24.0</v>
      </c>
    </row>
    <row r="9" ht="21.75" customHeight="1">
      <c r="A9" s="299" t="s">
        <v>554</v>
      </c>
      <c r="B9" s="292">
        <v>46188.0</v>
      </c>
      <c r="C9" s="297" t="s">
        <v>106</v>
      </c>
      <c r="D9" s="298" t="s">
        <v>552</v>
      </c>
      <c r="E9" s="294"/>
      <c r="F9" s="294"/>
      <c r="G9" s="304">
        <v>25.0</v>
      </c>
    </row>
    <row r="10" ht="21.75" customHeight="1">
      <c r="A10" s="305" t="s">
        <v>555</v>
      </c>
      <c r="B10" s="296">
        <v>46191.0</v>
      </c>
      <c r="C10" s="297" t="s">
        <v>106</v>
      </c>
      <c r="D10" s="298" t="s">
        <v>532</v>
      </c>
      <c r="E10" s="301"/>
      <c r="F10" s="301"/>
      <c r="G10" s="302">
        <v>26.0</v>
      </c>
    </row>
    <row r="11" ht="21.75" customHeight="1">
      <c r="A11" s="299" t="s">
        <v>556</v>
      </c>
      <c r="B11" s="292">
        <v>46191.0</v>
      </c>
      <c r="C11" s="297" t="s">
        <v>106</v>
      </c>
      <c r="D11" s="298" t="s">
        <v>552</v>
      </c>
      <c r="E11" s="294"/>
      <c r="F11" s="294"/>
      <c r="G11" s="304">
        <v>27.0</v>
      </c>
    </row>
    <row r="12" ht="21.75" customHeight="1">
      <c r="A12" s="301"/>
      <c r="B12" s="301"/>
      <c r="C12" s="301"/>
      <c r="D12" s="301"/>
      <c r="E12" s="301"/>
      <c r="F12" s="301"/>
      <c r="G12" s="301"/>
    </row>
    <row r="13" ht="21.75" customHeight="1">
      <c r="A13" s="294"/>
      <c r="B13" s="294"/>
      <c r="C13" s="294"/>
      <c r="D13" s="294"/>
      <c r="E13" s="294"/>
      <c r="F13" s="294"/>
      <c r="G13" s="294"/>
    </row>
    <row r="14" ht="21.75" customHeight="1">
      <c r="A14" s="301"/>
      <c r="B14" s="301"/>
      <c r="C14" s="301"/>
      <c r="D14" s="301"/>
      <c r="E14" s="301"/>
      <c r="F14" s="301"/>
      <c r="G14" s="301"/>
    </row>
    <row r="15" ht="21.75" customHeight="1">
      <c r="A15" s="294"/>
      <c r="B15" s="294"/>
      <c r="C15" s="294"/>
      <c r="D15" s="294"/>
      <c r="E15" s="294"/>
      <c r="F15" s="294"/>
      <c r="G15" s="294"/>
    </row>
    <row r="16" ht="21.75" customHeight="1">
      <c r="A16" s="301"/>
      <c r="B16" s="301"/>
      <c r="C16" s="301"/>
      <c r="D16" s="301"/>
      <c r="E16" s="301"/>
      <c r="F16" s="301"/>
      <c r="G16" s="301"/>
    </row>
    <row r="17" ht="21.75" customHeight="1">
      <c r="A17" s="294"/>
      <c r="B17" s="294"/>
      <c r="C17" s="294"/>
      <c r="D17" s="294"/>
      <c r="E17" s="294"/>
      <c r="F17" s="294"/>
      <c r="G17" s="294"/>
    </row>
    <row r="18" ht="21.75" customHeight="1">
      <c r="A18" s="301"/>
      <c r="B18" s="301"/>
      <c r="C18" s="301"/>
      <c r="D18" s="301"/>
      <c r="E18" s="301"/>
      <c r="F18" s="301"/>
      <c r="G18" s="301"/>
    </row>
    <row r="19" ht="21.75" customHeight="1">
      <c r="A19" s="294"/>
      <c r="B19" s="294"/>
      <c r="C19" s="294"/>
      <c r="D19" s="294"/>
      <c r="E19" s="294"/>
      <c r="F19" s="294"/>
      <c r="G19" s="294"/>
    </row>
    <row r="20" ht="21.75" customHeight="1">
      <c r="A20" s="301"/>
      <c r="B20" s="301"/>
      <c r="C20" s="301"/>
      <c r="D20" s="301"/>
      <c r="E20" s="301"/>
      <c r="F20" s="301"/>
      <c r="G20" s="301"/>
    </row>
    <row r="21" ht="21.75" customHeight="1">
      <c r="A21" s="294"/>
      <c r="B21" s="294"/>
      <c r="C21" s="294"/>
      <c r="D21" s="294"/>
      <c r="E21" s="294"/>
      <c r="F21" s="294"/>
      <c r="G21" s="294"/>
    </row>
    <row r="22" ht="21.75" customHeight="1">
      <c r="A22" s="301"/>
      <c r="B22" s="301"/>
      <c r="C22" s="301"/>
      <c r="D22" s="301"/>
      <c r="E22" s="301"/>
      <c r="F22" s="301"/>
      <c r="G22" s="301"/>
    </row>
    <row r="23" ht="21.75" customHeight="1">
      <c r="A23" s="294"/>
      <c r="B23" s="294"/>
      <c r="C23" s="294"/>
      <c r="D23" s="294"/>
      <c r="E23" s="294"/>
      <c r="F23" s="294"/>
      <c r="G23" s="294"/>
    </row>
    <row r="24" ht="21.75" customHeight="1">
      <c r="A24" s="301"/>
      <c r="B24" s="301"/>
      <c r="C24" s="301"/>
      <c r="D24" s="301"/>
      <c r="E24" s="301"/>
      <c r="F24" s="301"/>
      <c r="G24" s="301"/>
    </row>
    <row r="25" ht="21.75" customHeight="1">
      <c r="A25" s="294"/>
      <c r="B25" s="294"/>
      <c r="C25" s="294"/>
      <c r="D25" s="294"/>
      <c r="E25" s="294"/>
      <c r="F25" s="294"/>
      <c r="G25" s="294"/>
    </row>
    <row r="26" ht="21.75" customHeight="1">
      <c r="A26" s="301"/>
      <c r="B26" s="301"/>
      <c r="C26" s="301"/>
      <c r="D26" s="301"/>
      <c r="E26" s="301"/>
      <c r="F26" s="301"/>
      <c r="G26" s="301"/>
    </row>
    <row r="27" ht="21.75" customHeight="1">
      <c r="A27" s="294"/>
      <c r="B27" s="294"/>
      <c r="C27" s="294"/>
      <c r="D27" s="294"/>
      <c r="E27" s="294"/>
      <c r="F27" s="294"/>
      <c r="G27" s="294"/>
    </row>
    <row r="28" ht="21.75" customHeight="1">
      <c r="A28" s="301"/>
      <c r="B28" s="301"/>
      <c r="C28" s="301"/>
      <c r="D28" s="301"/>
      <c r="E28" s="301"/>
      <c r="F28" s="301"/>
      <c r="G28" s="301"/>
    </row>
    <row r="29" ht="21.75" customHeight="1">
      <c r="A29" s="294"/>
      <c r="B29" s="294"/>
      <c r="C29" s="294"/>
      <c r="D29" s="294"/>
      <c r="E29" s="294"/>
      <c r="F29" s="294"/>
      <c r="G29" s="294"/>
    </row>
    <row r="30" ht="21.75" customHeight="1">
      <c r="A30" s="301"/>
      <c r="B30" s="301"/>
      <c r="C30" s="301"/>
      <c r="D30" s="301"/>
      <c r="E30" s="301"/>
      <c r="F30" s="301"/>
      <c r="G30" s="301"/>
    </row>
    <row r="31" ht="21.75" customHeight="1">
      <c r="A31" s="294"/>
      <c r="B31" s="294"/>
      <c r="C31" s="294"/>
      <c r="D31" s="294"/>
      <c r="E31" s="294"/>
      <c r="F31" s="294"/>
      <c r="G31" s="294"/>
    </row>
    <row r="32" ht="21.75" customHeight="1">
      <c r="A32" s="301"/>
      <c r="B32" s="301"/>
      <c r="C32" s="301"/>
      <c r="D32" s="301"/>
      <c r="E32" s="301"/>
      <c r="F32" s="301"/>
      <c r="G32" s="301"/>
    </row>
    <row r="33" ht="21.75" customHeight="1">
      <c r="A33" s="294"/>
      <c r="B33" s="294"/>
      <c r="C33" s="294"/>
      <c r="D33" s="294"/>
      <c r="E33" s="294"/>
      <c r="F33" s="294"/>
      <c r="G33" s="294"/>
    </row>
    <row r="34" ht="21.75" customHeight="1">
      <c r="A34" s="301"/>
      <c r="B34" s="301"/>
      <c r="C34" s="301"/>
      <c r="D34" s="301"/>
      <c r="E34" s="301"/>
      <c r="F34" s="301"/>
      <c r="G34" s="301"/>
    </row>
    <row r="35" ht="21.75" customHeight="1">
      <c r="A35" s="294"/>
      <c r="B35" s="294"/>
      <c r="C35" s="294"/>
      <c r="D35" s="294"/>
      <c r="E35" s="294"/>
      <c r="F35" s="294"/>
      <c r="G35" s="294"/>
    </row>
    <row r="36" ht="21.75" customHeight="1">
      <c r="A36" s="301"/>
      <c r="B36" s="301"/>
      <c r="C36" s="301"/>
      <c r="D36" s="301"/>
      <c r="E36" s="301"/>
      <c r="F36" s="301"/>
      <c r="G36" s="301"/>
    </row>
    <row r="37" ht="21.75" customHeight="1">
      <c r="A37" s="294"/>
      <c r="B37" s="294"/>
      <c r="C37" s="294"/>
      <c r="D37" s="294"/>
      <c r="E37" s="294"/>
      <c r="F37" s="294"/>
      <c r="G37" s="294"/>
    </row>
    <row r="38" ht="21.75" customHeight="1">
      <c r="A38" s="301"/>
      <c r="B38" s="301"/>
      <c r="C38" s="301"/>
      <c r="D38" s="301"/>
      <c r="E38" s="301"/>
      <c r="F38" s="301"/>
      <c r="G38" s="301"/>
    </row>
    <row r="39" ht="21.75" customHeight="1">
      <c r="A39" s="294"/>
      <c r="B39" s="294"/>
      <c r="C39" s="294"/>
      <c r="D39" s="294"/>
      <c r="E39" s="294"/>
      <c r="F39" s="294"/>
      <c r="G39" s="294"/>
    </row>
    <row r="40" ht="21.75" customHeight="1">
      <c r="A40" s="301"/>
      <c r="B40" s="301"/>
      <c r="C40" s="301"/>
      <c r="D40" s="301"/>
      <c r="E40" s="301"/>
      <c r="F40" s="301"/>
      <c r="G40" s="301"/>
    </row>
    <row r="41" ht="21.75" customHeight="1">
      <c r="A41" s="294"/>
      <c r="B41" s="294"/>
      <c r="C41" s="294"/>
      <c r="D41" s="294"/>
      <c r="E41" s="294"/>
      <c r="F41" s="294"/>
      <c r="G41" s="294"/>
    </row>
    <row r="42" ht="21.75" customHeight="1">
      <c r="A42" s="301"/>
      <c r="B42" s="301"/>
      <c r="C42" s="301"/>
      <c r="D42" s="301"/>
      <c r="E42" s="301"/>
      <c r="F42" s="301"/>
      <c r="G42" s="301"/>
    </row>
    <row r="43" ht="21.75" customHeight="1">
      <c r="A43" s="294"/>
      <c r="B43" s="294"/>
      <c r="C43" s="294"/>
      <c r="D43" s="294"/>
      <c r="E43" s="294"/>
      <c r="F43" s="294"/>
      <c r="G43" s="294"/>
    </row>
    <row r="44" ht="21.75" customHeight="1">
      <c r="A44" s="301"/>
      <c r="B44" s="301"/>
      <c r="C44" s="301"/>
      <c r="D44" s="301"/>
      <c r="E44" s="301"/>
      <c r="F44" s="301"/>
      <c r="G44" s="301"/>
    </row>
    <row r="45" ht="21.75" customHeight="1">
      <c r="A45" s="294"/>
      <c r="B45" s="294"/>
      <c r="C45" s="294"/>
      <c r="D45" s="294"/>
      <c r="E45" s="294"/>
      <c r="F45" s="294"/>
      <c r="G45" s="294"/>
    </row>
    <row r="46" ht="21.75" customHeight="1">
      <c r="A46" s="301"/>
      <c r="B46" s="301"/>
      <c r="C46" s="301"/>
      <c r="D46" s="301"/>
      <c r="E46" s="301"/>
      <c r="F46" s="301"/>
      <c r="G46" s="301"/>
    </row>
    <row r="47" ht="21.75" customHeight="1">
      <c r="A47" s="294"/>
      <c r="B47" s="294"/>
      <c r="C47" s="294"/>
      <c r="D47" s="294"/>
      <c r="E47" s="294"/>
      <c r="F47" s="294"/>
      <c r="G47" s="294"/>
    </row>
    <row r="48" ht="21.75" customHeight="1">
      <c r="A48" s="301"/>
      <c r="B48" s="301"/>
      <c r="C48" s="301"/>
      <c r="D48" s="301"/>
      <c r="E48" s="301"/>
      <c r="F48" s="301"/>
      <c r="G48" s="301"/>
    </row>
    <row r="49" ht="21.75" customHeight="1">
      <c r="A49" s="294"/>
      <c r="B49" s="294"/>
      <c r="C49" s="294"/>
      <c r="D49" s="294"/>
      <c r="E49" s="294"/>
      <c r="F49" s="294"/>
      <c r="G49" s="294"/>
    </row>
    <row r="50" ht="21.75" customHeight="1">
      <c r="A50" s="301"/>
      <c r="B50" s="301"/>
      <c r="C50" s="301"/>
      <c r="D50" s="301"/>
      <c r="E50" s="301"/>
      <c r="F50" s="301"/>
      <c r="G50" s="301"/>
    </row>
    <row r="51" ht="21.75" customHeight="1">
      <c r="A51" s="294"/>
      <c r="B51" s="294"/>
      <c r="C51" s="294"/>
      <c r="D51" s="294"/>
      <c r="E51" s="294"/>
      <c r="F51" s="294"/>
      <c r="G51" s="294"/>
    </row>
    <row r="52" ht="21.75" customHeight="1">
      <c r="A52" s="301"/>
      <c r="B52" s="301"/>
      <c r="C52" s="301"/>
      <c r="D52" s="301"/>
      <c r="E52" s="301"/>
      <c r="F52" s="301"/>
      <c r="G52" s="301"/>
    </row>
    <row r="53" ht="21.75" customHeight="1">
      <c r="A53" s="294"/>
      <c r="B53" s="294"/>
      <c r="C53" s="294"/>
      <c r="D53" s="294"/>
      <c r="E53" s="294"/>
      <c r="F53" s="294"/>
      <c r="G53" s="294"/>
    </row>
    <row r="54" ht="21.75" customHeight="1">
      <c r="A54" s="301"/>
      <c r="B54" s="301"/>
      <c r="C54" s="301"/>
      <c r="D54" s="301"/>
      <c r="E54" s="301"/>
      <c r="F54" s="301"/>
      <c r="G54" s="301"/>
    </row>
    <row r="55" ht="21.75" customHeight="1">
      <c r="A55" s="294"/>
      <c r="B55" s="294"/>
      <c r="C55" s="294"/>
      <c r="D55" s="294"/>
      <c r="E55" s="294"/>
      <c r="F55" s="294"/>
      <c r="G55" s="294"/>
    </row>
    <row r="56" ht="21.75" customHeight="1">
      <c r="A56" s="301"/>
      <c r="B56" s="301"/>
      <c r="C56" s="301"/>
      <c r="D56" s="301"/>
      <c r="E56" s="301"/>
      <c r="F56" s="301"/>
      <c r="G56" s="301"/>
    </row>
    <row r="57" ht="21.75" customHeight="1">
      <c r="A57" s="294"/>
      <c r="B57" s="294"/>
      <c r="C57" s="294"/>
      <c r="D57" s="294"/>
      <c r="E57" s="294"/>
      <c r="F57" s="294"/>
      <c r="G57" s="294"/>
    </row>
    <row r="58" ht="21.75" customHeight="1">
      <c r="A58" s="301"/>
      <c r="B58" s="301"/>
      <c r="C58" s="301"/>
      <c r="D58" s="301"/>
      <c r="E58" s="301"/>
      <c r="F58" s="301"/>
      <c r="G58" s="301"/>
    </row>
    <row r="59" ht="21.75" customHeight="1">
      <c r="A59" s="294"/>
      <c r="B59" s="294"/>
      <c r="C59" s="294"/>
      <c r="D59" s="294"/>
      <c r="E59" s="294"/>
      <c r="F59" s="294"/>
      <c r="G59" s="294"/>
    </row>
    <row r="60" ht="21.75" customHeight="1">
      <c r="A60" s="301"/>
      <c r="B60" s="301"/>
      <c r="C60" s="301"/>
      <c r="D60" s="301"/>
      <c r="E60" s="301"/>
      <c r="F60" s="301"/>
      <c r="G60" s="301"/>
    </row>
    <row r="61" ht="21.75" customHeight="1">
      <c r="A61" s="294"/>
      <c r="B61" s="294"/>
      <c r="C61" s="294"/>
      <c r="D61" s="294"/>
      <c r="E61" s="294"/>
      <c r="F61" s="294"/>
      <c r="G61" s="294"/>
    </row>
    <row r="62" ht="21.75" customHeight="1">
      <c r="A62" s="301"/>
      <c r="B62" s="301"/>
      <c r="C62" s="301"/>
      <c r="D62" s="301"/>
      <c r="E62" s="301"/>
      <c r="F62" s="301"/>
      <c r="G62" s="301"/>
    </row>
    <row r="63" ht="21.75" customHeight="1">
      <c r="A63" s="294"/>
      <c r="B63" s="294"/>
      <c r="C63" s="294"/>
      <c r="D63" s="294"/>
      <c r="E63" s="294"/>
      <c r="F63" s="294"/>
      <c r="G63" s="294"/>
    </row>
    <row r="64" ht="21.75" customHeight="1">
      <c r="A64" s="301"/>
      <c r="B64" s="301"/>
      <c r="C64" s="301"/>
      <c r="D64" s="301"/>
      <c r="E64" s="301"/>
      <c r="F64" s="301"/>
      <c r="G64" s="301"/>
    </row>
    <row r="65" ht="21.75" customHeight="1">
      <c r="A65" s="294"/>
      <c r="B65" s="294"/>
      <c r="C65" s="294"/>
      <c r="D65" s="294"/>
      <c r="E65" s="294"/>
      <c r="F65" s="294"/>
      <c r="G65" s="294"/>
    </row>
    <row r="66" ht="21.75" customHeight="1">
      <c r="A66" s="301"/>
      <c r="B66" s="301"/>
      <c r="C66" s="301"/>
      <c r="D66" s="301"/>
      <c r="E66" s="301"/>
      <c r="F66" s="301"/>
      <c r="G66" s="301"/>
    </row>
    <row r="67" ht="21.75" customHeight="1">
      <c r="A67" s="294"/>
      <c r="B67" s="294"/>
      <c r="C67" s="294"/>
      <c r="D67" s="294"/>
      <c r="E67" s="294"/>
      <c r="F67" s="294"/>
      <c r="G67" s="294"/>
    </row>
    <row r="68" ht="21.75" customHeight="1">
      <c r="A68" s="301"/>
      <c r="B68" s="301"/>
      <c r="C68" s="301"/>
      <c r="D68" s="301"/>
      <c r="E68" s="301"/>
      <c r="F68" s="301"/>
      <c r="G68" s="301"/>
    </row>
    <row r="69" ht="21.75" customHeight="1">
      <c r="A69" s="294"/>
      <c r="B69" s="294"/>
      <c r="C69" s="294"/>
      <c r="D69" s="294"/>
      <c r="E69" s="294"/>
      <c r="F69" s="294"/>
      <c r="G69" s="294"/>
    </row>
    <row r="70" ht="21.75" customHeight="1">
      <c r="A70" s="301"/>
      <c r="B70" s="301"/>
      <c r="C70" s="301"/>
      <c r="D70" s="301"/>
      <c r="E70" s="301"/>
      <c r="F70" s="301"/>
      <c r="G70" s="301"/>
    </row>
    <row r="71" ht="21.75" customHeight="1">
      <c r="A71" s="294"/>
      <c r="B71" s="294"/>
      <c r="C71" s="294"/>
      <c r="D71" s="294"/>
      <c r="E71" s="294"/>
      <c r="F71" s="294"/>
      <c r="G71" s="294"/>
    </row>
    <row r="72" ht="21.75" customHeight="1">
      <c r="A72" s="301"/>
      <c r="B72" s="301"/>
      <c r="C72" s="301"/>
      <c r="D72" s="301"/>
      <c r="E72" s="301"/>
      <c r="F72" s="301"/>
      <c r="G72" s="301"/>
    </row>
    <row r="73" ht="21.75" customHeight="1">
      <c r="A73" s="294"/>
      <c r="B73" s="294"/>
      <c r="C73" s="294"/>
      <c r="D73" s="294"/>
      <c r="E73" s="294"/>
      <c r="F73" s="294"/>
      <c r="G73" s="294"/>
    </row>
    <row r="74" ht="21.75" customHeight="1">
      <c r="A74" s="301"/>
      <c r="B74" s="301"/>
      <c r="C74" s="301"/>
      <c r="D74" s="301"/>
      <c r="E74" s="301"/>
      <c r="F74" s="301"/>
      <c r="G74" s="301"/>
    </row>
    <row r="75" ht="21.75" customHeight="1">
      <c r="A75" s="294"/>
      <c r="B75" s="294"/>
      <c r="C75" s="294"/>
      <c r="D75" s="294"/>
      <c r="E75" s="294"/>
      <c r="F75" s="294"/>
      <c r="G75" s="294"/>
    </row>
    <row r="76" ht="21.75" customHeight="1">
      <c r="A76" s="301"/>
      <c r="B76" s="301"/>
      <c r="C76" s="301"/>
      <c r="D76" s="301"/>
      <c r="E76" s="301"/>
      <c r="F76" s="301"/>
      <c r="G76" s="301"/>
    </row>
    <row r="77" ht="21.75" customHeight="1">
      <c r="A77" s="294"/>
      <c r="B77" s="294"/>
      <c r="C77" s="294"/>
      <c r="D77" s="294"/>
      <c r="E77" s="294"/>
      <c r="F77" s="294"/>
      <c r="G77" s="294"/>
    </row>
    <row r="78" ht="21.75" customHeight="1">
      <c r="A78" s="301"/>
      <c r="B78" s="301"/>
      <c r="C78" s="301"/>
      <c r="D78" s="301"/>
      <c r="E78" s="301"/>
      <c r="F78" s="301"/>
      <c r="G78" s="301"/>
    </row>
    <row r="79" ht="21.75" customHeight="1">
      <c r="A79" s="294"/>
      <c r="B79" s="294"/>
      <c r="C79" s="294"/>
      <c r="D79" s="294"/>
      <c r="E79" s="294"/>
      <c r="F79" s="294"/>
      <c r="G79" s="294"/>
    </row>
    <row r="80" ht="21.75" customHeight="1">
      <c r="A80" s="301"/>
      <c r="B80" s="301"/>
      <c r="C80" s="301"/>
      <c r="D80" s="301"/>
      <c r="E80" s="301"/>
      <c r="F80" s="301"/>
      <c r="G80" s="301"/>
    </row>
    <row r="81" ht="21.75" customHeight="1">
      <c r="A81" s="294"/>
      <c r="B81" s="294"/>
      <c r="C81" s="294"/>
      <c r="D81" s="294"/>
      <c r="E81" s="294"/>
      <c r="F81" s="294"/>
      <c r="G81" s="294"/>
    </row>
    <row r="82" ht="21.75" customHeight="1">
      <c r="A82" s="301"/>
      <c r="B82" s="301"/>
      <c r="C82" s="301"/>
      <c r="D82" s="301"/>
      <c r="E82" s="301"/>
      <c r="F82" s="301"/>
      <c r="G82" s="301"/>
    </row>
    <row r="83" ht="21.75" customHeight="1">
      <c r="A83" s="294"/>
      <c r="B83" s="294"/>
      <c r="C83" s="294"/>
      <c r="D83" s="294"/>
      <c r="E83" s="294"/>
      <c r="F83" s="294"/>
      <c r="G83" s="294"/>
    </row>
    <row r="84" ht="21.75" customHeight="1">
      <c r="A84" s="301"/>
      <c r="B84" s="301"/>
      <c r="C84" s="301"/>
      <c r="D84" s="301"/>
      <c r="E84" s="301"/>
      <c r="F84" s="301"/>
      <c r="G84" s="301"/>
    </row>
    <row r="85" ht="21.75" customHeight="1">
      <c r="A85" s="294"/>
      <c r="B85" s="294"/>
      <c r="C85" s="294"/>
      <c r="D85" s="294"/>
      <c r="E85" s="294"/>
      <c r="F85" s="294"/>
      <c r="G85" s="294"/>
    </row>
    <row r="86" ht="21.75" customHeight="1">
      <c r="A86" s="301"/>
      <c r="B86" s="301"/>
      <c r="C86" s="301"/>
      <c r="D86" s="301"/>
      <c r="E86" s="301"/>
      <c r="F86" s="301"/>
      <c r="G86" s="301"/>
    </row>
    <row r="87" ht="21.75" customHeight="1">
      <c r="A87" s="294"/>
      <c r="B87" s="294"/>
      <c r="C87" s="294"/>
      <c r="D87" s="294"/>
      <c r="E87" s="294"/>
      <c r="F87" s="294"/>
      <c r="G87" s="294"/>
    </row>
    <row r="88" ht="21.75" customHeight="1">
      <c r="A88" s="301"/>
      <c r="B88" s="301"/>
      <c r="C88" s="301"/>
      <c r="D88" s="301"/>
      <c r="E88" s="301"/>
      <c r="F88" s="301"/>
      <c r="G88" s="301"/>
    </row>
    <row r="89" ht="21.75" customHeight="1">
      <c r="A89" s="294"/>
      <c r="B89" s="294"/>
      <c r="C89" s="294"/>
      <c r="D89" s="294"/>
      <c r="E89" s="294"/>
      <c r="F89" s="294"/>
      <c r="G89" s="294"/>
    </row>
    <row r="90" ht="21.75" customHeight="1">
      <c r="A90" s="301"/>
      <c r="B90" s="301"/>
      <c r="C90" s="301"/>
      <c r="D90" s="301"/>
      <c r="E90" s="301"/>
      <c r="F90" s="301"/>
      <c r="G90" s="301"/>
    </row>
    <row r="91" ht="21.75" customHeight="1">
      <c r="A91" s="294"/>
      <c r="B91" s="294"/>
      <c r="C91" s="294"/>
      <c r="D91" s="294"/>
      <c r="E91" s="294"/>
      <c r="F91" s="294"/>
      <c r="G91" s="294"/>
    </row>
    <row r="92" ht="21.75" customHeight="1">
      <c r="A92" s="301"/>
      <c r="B92" s="301"/>
      <c r="C92" s="301"/>
      <c r="D92" s="301"/>
      <c r="E92" s="301"/>
      <c r="F92" s="301"/>
      <c r="G92" s="301"/>
    </row>
    <row r="93" ht="21.75" customHeight="1">
      <c r="A93" s="294"/>
      <c r="B93" s="294"/>
      <c r="C93" s="294"/>
      <c r="D93" s="294"/>
      <c r="E93" s="294"/>
      <c r="F93" s="294"/>
      <c r="G93" s="294"/>
    </row>
    <row r="94" ht="21.75" customHeight="1">
      <c r="A94" s="301"/>
      <c r="B94" s="301"/>
      <c r="C94" s="301"/>
      <c r="D94" s="301"/>
      <c r="E94" s="301"/>
      <c r="F94" s="301"/>
      <c r="G94" s="301"/>
    </row>
    <row r="95" ht="21.75" customHeight="1">
      <c r="A95" s="294"/>
      <c r="B95" s="294"/>
      <c r="C95" s="294"/>
      <c r="D95" s="294"/>
      <c r="E95" s="294"/>
      <c r="F95" s="294"/>
      <c r="G95" s="294"/>
    </row>
    <row r="96" ht="21.75" customHeight="1">
      <c r="A96" s="301"/>
      <c r="B96" s="301"/>
      <c r="C96" s="301"/>
      <c r="D96" s="301"/>
      <c r="E96" s="301"/>
      <c r="F96" s="301"/>
      <c r="G96" s="301"/>
    </row>
    <row r="97" ht="21.75" customHeight="1">
      <c r="A97" s="294"/>
      <c r="B97" s="294"/>
      <c r="C97" s="294"/>
      <c r="D97" s="294"/>
      <c r="E97" s="294"/>
      <c r="F97" s="294"/>
      <c r="G97" s="294"/>
    </row>
    <row r="98" ht="21.75" customHeight="1">
      <c r="A98" s="301"/>
      <c r="B98" s="301"/>
      <c r="C98" s="301"/>
      <c r="D98" s="301"/>
      <c r="E98" s="301"/>
      <c r="F98" s="301"/>
      <c r="G98" s="301"/>
    </row>
    <row r="99" ht="21.75" customHeight="1">
      <c r="A99" s="294"/>
      <c r="B99" s="294"/>
      <c r="C99" s="294"/>
      <c r="D99" s="294"/>
      <c r="E99" s="294"/>
      <c r="F99" s="294"/>
      <c r="G99" s="294"/>
    </row>
    <row r="100" ht="21.75" customHeight="1">
      <c r="A100" s="301"/>
      <c r="B100" s="301"/>
      <c r="C100" s="301"/>
      <c r="D100" s="301"/>
      <c r="E100" s="301"/>
      <c r="F100" s="301"/>
      <c r="G100" s="301"/>
    </row>
    <row r="101" ht="21.75" customHeight="1">
      <c r="A101" s="294"/>
      <c r="B101" s="294"/>
      <c r="C101" s="294"/>
      <c r="D101" s="294"/>
      <c r="E101" s="294"/>
      <c r="F101" s="294"/>
      <c r="G101" s="294"/>
    </row>
    <row r="102" ht="21.75" customHeight="1">
      <c r="A102" s="301"/>
      <c r="B102" s="301"/>
      <c r="C102" s="301"/>
      <c r="D102" s="301"/>
      <c r="E102" s="301"/>
      <c r="F102" s="301"/>
      <c r="G102" s="301"/>
    </row>
    <row r="103" ht="21.75" customHeight="1">
      <c r="A103" s="294"/>
      <c r="B103" s="294"/>
      <c r="C103" s="294"/>
      <c r="D103" s="294"/>
      <c r="E103" s="294"/>
      <c r="F103" s="294"/>
      <c r="G103" s="294"/>
    </row>
    <row r="104" ht="21.75" customHeight="1">
      <c r="A104" s="301"/>
      <c r="B104" s="301"/>
      <c r="C104" s="301"/>
      <c r="D104" s="301"/>
      <c r="E104" s="301"/>
      <c r="F104" s="301"/>
      <c r="G104" s="301"/>
    </row>
    <row r="105" ht="21.75" customHeight="1">
      <c r="A105" s="294"/>
      <c r="B105" s="294"/>
      <c r="C105" s="294"/>
      <c r="D105" s="294"/>
      <c r="E105" s="294"/>
      <c r="F105" s="294"/>
      <c r="G105" s="294"/>
    </row>
    <row r="106" ht="21.75" customHeight="1">
      <c r="A106" s="301"/>
      <c r="B106" s="301"/>
      <c r="C106" s="301"/>
      <c r="D106" s="301"/>
      <c r="E106" s="301"/>
      <c r="F106" s="301"/>
      <c r="G106" s="301"/>
    </row>
    <row r="107" ht="21.75" customHeight="1">
      <c r="A107" s="294"/>
      <c r="B107" s="294"/>
      <c r="C107" s="294"/>
      <c r="D107" s="294"/>
      <c r="E107" s="294"/>
      <c r="F107" s="294"/>
      <c r="G107" s="294"/>
    </row>
    <row r="108" ht="21.75" customHeight="1">
      <c r="A108" s="301"/>
      <c r="B108" s="301"/>
      <c r="C108" s="301"/>
      <c r="D108" s="301"/>
      <c r="E108" s="301"/>
      <c r="F108" s="301"/>
      <c r="G108" s="301"/>
    </row>
    <row r="109" ht="21.75" customHeight="1">
      <c r="A109" s="294"/>
      <c r="B109" s="294"/>
      <c r="C109" s="294"/>
      <c r="D109" s="294"/>
      <c r="E109" s="294"/>
      <c r="F109" s="294"/>
      <c r="G109" s="294"/>
    </row>
    <row r="110" ht="21.75" customHeight="1">
      <c r="A110" s="301"/>
      <c r="B110" s="301"/>
      <c r="C110" s="301"/>
      <c r="D110" s="301"/>
      <c r="E110" s="301"/>
      <c r="F110" s="301"/>
      <c r="G110" s="301"/>
    </row>
    <row r="111" ht="21.75" customHeight="1">
      <c r="A111" s="294"/>
      <c r="B111" s="294"/>
      <c r="C111" s="294"/>
      <c r="D111" s="294"/>
      <c r="E111" s="294"/>
      <c r="F111" s="294"/>
      <c r="G111" s="294"/>
    </row>
    <row r="112" ht="21.75" customHeight="1">
      <c r="A112" s="301"/>
      <c r="B112" s="301"/>
      <c r="C112" s="301"/>
      <c r="D112" s="301"/>
      <c r="E112" s="301"/>
      <c r="F112" s="301"/>
      <c r="G112" s="301"/>
    </row>
    <row r="113" ht="21.75" customHeight="1">
      <c r="A113" s="294"/>
      <c r="B113" s="294"/>
      <c r="C113" s="294"/>
      <c r="D113" s="294"/>
      <c r="E113" s="294"/>
      <c r="F113" s="294"/>
      <c r="G113" s="294"/>
    </row>
    <row r="114" ht="21.75" customHeight="1">
      <c r="A114" s="301"/>
      <c r="B114" s="301"/>
      <c r="C114" s="301"/>
      <c r="D114" s="301"/>
      <c r="E114" s="301"/>
      <c r="F114" s="301"/>
      <c r="G114" s="301"/>
    </row>
    <row r="115" ht="21.75" customHeight="1">
      <c r="A115" s="294"/>
      <c r="B115" s="294"/>
      <c r="C115" s="294"/>
      <c r="D115" s="294"/>
      <c r="E115" s="294"/>
      <c r="F115" s="294"/>
      <c r="G115" s="294"/>
    </row>
    <row r="116" ht="21.75" customHeight="1">
      <c r="A116" s="301"/>
      <c r="B116" s="301"/>
      <c r="C116" s="301"/>
      <c r="D116" s="301"/>
      <c r="E116" s="301"/>
      <c r="F116" s="301"/>
      <c r="G116" s="301"/>
    </row>
    <row r="117" ht="21.75" customHeight="1">
      <c r="A117" s="294"/>
      <c r="B117" s="294"/>
      <c r="C117" s="294"/>
      <c r="D117" s="294"/>
      <c r="E117" s="294"/>
      <c r="F117" s="294"/>
      <c r="G117" s="294"/>
    </row>
    <row r="118" ht="21.75" customHeight="1">
      <c r="A118" s="301"/>
      <c r="B118" s="301"/>
      <c r="C118" s="301"/>
      <c r="D118" s="301"/>
      <c r="E118" s="301"/>
      <c r="F118" s="301"/>
      <c r="G118" s="301"/>
    </row>
    <row r="119" ht="21.75" customHeight="1">
      <c r="A119" s="294"/>
      <c r="B119" s="294"/>
      <c r="C119" s="294"/>
      <c r="D119" s="294"/>
      <c r="E119" s="294"/>
      <c r="F119" s="294"/>
      <c r="G119" s="294"/>
    </row>
    <row r="120" ht="21.75" customHeight="1">
      <c r="A120" s="301"/>
      <c r="B120" s="301"/>
      <c r="C120" s="301"/>
      <c r="D120" s="301"/>
      <c r="E120" s="301"/>
      <c r="F120" s="301"/>
      <c r="G120" s="301"/>
    </row>
    <row r="121" ht="21.75" customHeight="1">
      <c r="A121" s="294"/>
      <c r="B121" s="294"/>
      <c r="C121" s="294"/>
      <c r="D121" s="294"/>
      <c r="E121" s="294"/>
      <c r="F121" s="294"/>
      <c r="G121" s="294"/>
    </row>
    <row r="122" ht="21.75" customHeight="1">
      <c r="A122" s="301"/>
      <c r="B122" s="301"/>
      <c r="C122" s="301"/>
      <c r="D122" s="301"/>
      <c r="E122" s="301"/>
      <c r="F122" s="301"/>
      <c r="G122" s="301"/>
    </row>
    <row r="123" ht="21.75" customHeight="1">
      <c r="A123" s="294"/>
      <c r="B123" s="294"/>
      <c r="C123" s="294"/>
      <c r="D123" s="294"/>
      <c r="E123" s="294"/>
      <c r="F123" s="294"/>
      <c r="G123" s="294"/>
    </row>
    <row r="124" ht="21.75" customHeight="1">
      <c r="A124" s="301"/>
      <c r="B124" s="301"/>
      <c r="C124" s="301"/>
      <c r="D124" s="301"/>
      <c r="E124" s="301"/>
      <c r="F124" s="301"/>
      <c r="G124" s="301"/>
    </row>
    <row r="125" ht="21.75" customHeight="1">
      <c r="A125" s="294"/>
      <c r="B125" s="294"/>
      <c r="C125" s="294"/>
      <c r="D125" s="294"/>
      <c r="E125" s="294"/>
      <c r="F125" s="294"/>
      <c r="G125" s="294"/>
    </row>
    <row r="126" ht="21.75" customHeight="1">
      <c r="A126" s="301"/>
      <c r="B126" s="301"/>
      <c r="C126" s="301"/>
      <c r="D126" s="301"/>
      <c r="E126" s="301"/>
      <c r="F126" s="301"/>
      <c r="G126" s="301"/>
    </row>
    <row r="127" ht="21.75" customHeight="1">
      <c r="A127" s="294"/>
      <c r="B127" s="294"/>
      <c r="C127" s="294"/>
      <c r="D127" s="294"/>
      <c r="E127" s="294"/>
      <c r="F127" s="294"/>
      <c r="G127" s="294"/>
    </row>
    <row r="128" ht="21.75" customHeight="1">
      <c r="A128" s="301"/>
      <c r="B128" s="301"/>
      <c r="C128" s="301"/>
      <c r="D128" s="301"/>
      <c r="E128" s="301"/>
      <c r="F128" s="301"/>
      <c r="G128" s="301"/>
    </row>
    <row r="129" ht="21.75" customHeight="1">
      <c r="A129" s="294"/>
      <c r="B129" s="294"/>
      <c r="C129" s="294"/>
      <c r="D129" s="294"/>
      <c r="E129" s="294"/>
      <c r="F129" s="294"/>
      <c r="G129" s="294"/>
    </row>
    <row r="130" ht="21.75" customHeight="1">
      <c r="A130" s="301"/>
      <c r="B130" s="301"/>
      <c r="C130" s="301"/>
      <c r="D130" s="301"/>
      <c r="E130" s="301"/>
      <c r="F130" s="301"/>
      <c r="G130" s="301"/>
    </row>
    <row r="131" ht="21.75" customHeight="1">
      <c r="A131" s="294"/>
      <c r="B131" s="294"/>
      <c r="C131" s="294"/>
      <c r="D131" s="294"/>
      <c r="E131" s="294"/>
      <c r="F131" s="294"/>
      <c r="G131" s="294"/>
    </row>
    <row r="132" ht="21.75" customHeight="1">
      <c r="A132" s="301"/>
      <c r="B132" s="301"/>
      <c r="C132" s="301"/>
      <c r="D132" s="301"/>
      <c r="E132" s="301"/>
      <c r="F132" s="301"/>
      <c r="G132" s="301"/>
    </row>
    <row r="133" ht="21.75" customHeight="1">
      <c r="A133" s="294"/>
      <c r="B133" s="294"/>
      <c r="C133" s="294"/>
      <c r="D133" s="294"/>
      <c r="E133" s="294"/>
      <c r="F133" s="294"/>
      <c r="G133" s="294"/>
    </row>
    <row r="134" ht="21.75" customHeight="1">
      <c r="A134" s="301"/>
      <c r="B134" s="301"/>
      <c r="C134" s="301"/>
      <c r="D134" s="301"/>
      <c r="E134" s="301"/>
      <c r="F134" s="301"/>
      <c r="G134" s="301"/>
    </row>
    <row r="135" ht="21.75" customHeight="1">
      <c r="A135" s="294"/>
      <c r="B135" s="294"/>
      <c r="C135" s="294"/>
      <c r="D135" s="294"/>
      <c r="E135" s="294"/>
      <c r="F135" s="294"/>
      <c r="G135" s="294"/>
    </row>
    <row r="136" ht="21.75" customHeight="1">
      <c r="A136" s="301"/>
      <c r="B136" s="301"/>
      <c r="C136" s="301"/>
      <c r="D136" s="301"/>
      <c r="E136" s="301"/>
      <c r="F136" s="301"/>
      <c r="G136" s="301"/>
    </row>
    <row r="137" ht="21.75" customHeight="1">
      <c r="A137" s="294"/>
      <c r="B137" s="294"/>
      <c r="C137" s="294"/>
      <c r="D137" s="294"/>
      <c r="E137" s="294"/>
      <c r="F137" s="294"/>
      <c r="G137" s="294"/>
    </row>
    <row r="138" ht="21.75" customHeight="1">
      <c r="A138" s="301"/>
      <c r="B138" s="301"/>
      <c r="C138" s="301"/>
      <c r="D138" s="301"/>
      <c r="E138" s="301"/>
      <c r="F138" s="301"/>
      <c r="G138" s="301"/>
    </row>
    <row r="139" ht="21.75" customHeight="1">
      <c r="A139" s="294"/>
      <c r="B139" s="294"/>
      <c r="C139" s="294"/>
      <c r="D139" s="294"/>
      <c r="E139" s="294"/>
      <c r="F139" s="294"/>
      <c r="G139" s="294"/>
    </row>
    <row r="140" ht="21.75" customHeight="1">
      <c r="A140" s="301"/>
      <c r="B140" s="301"/>
      <c r="C140" s="301"/>
      <c r="D140" s="301"/>
      <c r="E140" s="301"/>
      <c r="F140" s="301"/>
      <c r="G140" s="301"/>
    </row>
    <row r="141" ht="21.75" customHeight="1">
      <c r="A141" s="294"/>
      <c r="B141" s="294"/>
      <c r="C141" s="294"/>
      <c r="D141" s="294"/>
      <c r="E141" s="294"/>
      <c r="F141" s="294"/>
      <c r="G141" s="294"/>
    </row>
    <row r="142" ht="21.75" customHeight="1">
      <c r="A142" s="301"/>
      <c r="B142" s="301"/>
      <c r="C142" s="301"/>
      <c r="D142" s="301"/>
      <c r="E142" s="301"/>
      <c r="F142" s="301"/>
      <c r="G142" s="301"/>
    </row>
    <row r="143" ht="21.75" customHeight="1">
      <c r="A143" s="294"/>
      <c r="B143" s="294"/>
      <c r="C143" s="294"/>
      <c r="D143" s="294"/>
      <c r="E143" s="294"/>
      <c r="F143" s="294"/>
      <c r="G143" s="294"/>
    </row>
    <row r="144" ht="21.75" customHeight="1">
      <c r="A144" s="301"/>
      <c r="B144" s="301"/>
      <c r="C144" s="301"/>
      <c r="D144" s="301"/>
      <c r="E144" s="301"/>
      <c r="F144" s="301"/>
      <c r="G144" s="301"/>
    </row>
    <row r="145" ht="21.75" customHeight="1">
      <c r="A145" s="294"/>
      <c r="B145" s="294"/>
      <c r="C145" s="294"/>
      <c r="D145" s="294"/>
      <c r="E145" s="294"/>
      <c r="F145" s="294"/>
      <c r="G145" s="294"/>
    </row>
    <row r="146" ht="21.75" customHeight="1">
      <c r="A146" s="301"/>
      <c r="B146" s="301"/>
      <c r="C146" s="301"/>
      <c r="D146" s="301"/>
      <c r="E146" s="301"/>
      <c r="F146" s="301"/>
      <c r="G146" s="301"/>
    </row>
    <row r="147" ht="21.75" customHeight="1">
      <c r="A147" s="294"/>
      <c r="B147" s="294"/>
      <c r="C147" s="294"/>
      <c r="D147" s="294"/>
      <c r="E147" s="294"/>
      <c r="F147" s="294"/>
      <c r="G147" s="294"/>
    </row>
    <row r="148" ht="21.75" customHeight="1">
      <c r="A148" s="301"/>
      <c r="B148" s="301"/>
      <c r="C148" s="301"/>
      <c r="D148" s="301"/>
      <c r="E148" s="301"/>
      <c r="F148" s="301"/>
      <c r="G148" s="301"/>
    </row>
    <row r="149" ht="21.75" customHeight="1">
      <c r="A149" s="294"/>
      <c r="B149" s="294"/>
      <c r="C149" s="294"/>
      <c r="D149" s="294"/>
      <c r="E149" s="294"/>
      <c r="F149" s="294"/>
      <c r="G149" s="294"/>
    </row>
    <row r="150" ht="21.75" customHeight="1">
      <c r="A150" s="301"/>
      <c r="B150" s="301"/>
      <c r="C150" s="301"/>
      <c r="D150" s="301"/>
      <c r="E150" s="301"/>
      <c r="F150" s="301"/>
      <c r="G150" s="301"/>
    </row>
    <row r="151" ht="21.75" customHeight="1">
      <c r="A151" s="294"/>
      <c r="B151" s="294"/>
      <c r="C151" s="294"/>
      <c r="D151" s="294"/>
      <c r="E151" s="294"/>
      <c r="F151" s="294"/>
      <c r="G151" s="294"/>
    </row>
    <row r="152" ht="21.75" customHeight="1">
      <c r="A152" s="301"/>
      <c r="B152" s="301"/>
      <c r="C152" s="301"/>
      <c r="D152" s="301"/>
      <c r="E152" s="301"/>
      <c r="F152" s="301"/>
      <c r="G152" s="301"/>
    </row>
    <row r="153" ht="21.75" customHeight="1">
      <c r="A153" s="294"/>
      <c r="B153" s="294"/>
      <c r="C153" s="294"/>
      <c r="D153" s="294"/>
      <c r="E153" s="294"/>
      <c r="F153" s="294"/>
      <c r="G153" s="294"/>
    </row>
    <row r="154" ht="21.75" customHeight="1">
      <c r="A154" s="301"/>
      <c r="B154" s="301"/>
      <c r="C154" s="301"/>
      <c r="D154" s="301"/>
      <c r="E154" s="301"/>
      <c r="F154" s="301"/>
      <c r="G154" s="301"/>
    </row>
    <row r="155" ht="21.75" customHeight="1">
      <c r="A155" s="294"/>
      <c r="B155" s="294"/>
      <c r="C155" s="294"/>
      <c r="D155" s="294"/>
      <c r="E155" s="294"/>
      <c r="F155" s="294"/>
      <c r="G155" s="294"/>
    </row>
    <row r="156" ht="21.75" customHeight="1">
      <c r="A156" s="301"/>
      <c r="B156" s="301"/>
      <c r="C156" s="301"/>
      <c r="D156" s="301"/>
      <c r="E156" s="301"/>
      <c r="F156" s="301"/>
      <c r="G156" s="301"/>
    </row>
    <row r="157" ht="21.75" customHeight="1">
      <c r="A157" s="294"/>
      <c r="B157" s="294"/>
      <c r="C157" s="294"/>
      <c r="D157" s="294"/>
      <c r="E157" s="294"/>
      <c r="F157" s="294"/>
      <c r="G157" s="294"/>
    </row>
    <row r="158" ht="21.75" customHeight="1">
      <c r="A158" s="301"/>
      <c r="B158" s="301"/>
      <c r="C158" s="301"/>
      <c r="D158" s="301"/>
      <c r="E158" s="301"/>
      <c r="F158" s="301"/>
      <c r="G158" s="301"/>
    </row>
    <row r="159" ht="21.75" customHeight="1">
      <c r="A159" s="294"/>
      <c r="B159" s="294"/>
      <c r="C159" s="294"/>
      <c r="D159" s="294"/>
      <c r="E159" s="294"/>
      <c r="F159" s="294"/>
      <c r="G159" s="294"/>
    </row>
    <row r="160" ht="21.75" customHeight="1">
      <c r="A160" s="301"/>
      <c r="B160" s="301"/>
      <c r="C160" s="301"/>
      <c r="D160" s="301"/>
      <c r="E160" s="301"/>
      <c r="F160" s="301"/>
      <c r="G160" s="301"/>
    </row>
    <row r="161" ht="21.75" customHeight="1">
      <c r="A161" s="294"/>
      <c r="B161" s="294"/>
      <c r="C161" s="294"/>
      <c r="D161" s="294"/>
      <c r="E161" s="294"/>
      <c r="F161" s="294"/>
      <c r="G161" s="294"/>
    </row>
    <row r="162" ht="21.75" customHeight="1">
      <c r="A162" s="301"/>
      <c r="B162" s="301"/>
      <c r="C162" s="301"/>
      <c r="D162" s="301"/>
      <c r="E162" s="301"/>
      <c r="F162" s="301"/>
      <c r="G162" s="301"/>
    </row>
    <row r="163" ht="21.75" customHeight="1">
      <c r="A163" s="294"/>
      <c r="B163" s="294"/>
      <c r="C163" s="294"/>
      <c r="D163" s="294"/>
      <c r="E163" s="294"/>
      <c r="F163" s="294"/>
      <c r="G163" s="294"/>
    </row>
    <row r="164" ht="21.75" customHeight="1">
      <c r="A164" s="301"/>
      <c r="B164" s="301"/>
      <c r="C164" s="301"/>
      <c r="D164" s="301"/>
      <c r="E164" s="301"/>
      <c r="F164" s="301"/>
      <c r="G164" s="301"/>
    </row>
    <row r="165" ht="21.75" customHeight="1">
      <c r="A165" s="294"/>
      <c r="B165" s="294"/>
      <c r="C165" s="294"/>
      <c r="D165" s="294"/>
      <c r="E165" s="294"/>
      <c r="F165" s="294"/>
      <c r="G165" s="294"/>
    </row>
    <row r="166" ht="21.75" customHeight="1">
      <c r="A166" s="301"/>
      <c r="B166" s="301"/>
      <c r="C166" s="301"/>
      <c r="D166" s="301"/>
      <c r="E166" s="301"/>
      <c r="F166" s="301"/>
      <c r="G166" s="301"/>
    </row>
    <row r="167" ht="21.75" customHeight="1">
      <c r="A167" s="294"/>
      <c r="B167" s="294"/>
      <c r="C167" s="294"/>
      <c r="D167" s="294"/>
      <c r="E167" s="294"/>
      <c r="F167" s="294"/>
      <c r="G167" s="294"/>
    </row>
    <row r="168" ht="21.75" customHeight="1">
      <c r="A168" s="301"/>
      <c r="B168" s="301"/>
      <c r="C168" s="301"/>
      <c r="D168" s="301"/>
      <c r="E168" s="301"/>
      <c r="F168" s="301"/>
      <c r="G168" s="301"/>
    </row>
    <row r="169" ht="21.75" customHeight="1">
      <c r="A169" s="294"/>
      <c r="B169" s="294"/>
      <c r="C169" s="294"/>
      <c r="D169" s="294"/>
      <c r="E169" s="294"/>
      <c r="F169" s="294"/>
      <c r="G169" s="294"/>
    </row>
    <row r="170" ht="21.75" customHeight="1">
      <c r="A170" s="301"/>
      <c r="B170" s="301"/>
      <c r="C170" s="301"/>
      <c r="D170" s="301"/>
      <c r="E170" s="301"/>
      <c r="F170" s="301"/>
      <c r="G170" s="301"/>
    </row>
    <row r="171" ht="21.75" customHeight="1">
      <c r="A171" s="294"/>
      <c r="B171" s="294"/>
      <c r="C171" s="294"/>
      <c r="D171" s="294"/>
      <c r="E171" s="294"/>
      <c r="F171" s="294"/>
      <c r="G171" s="294"/>
    </row>
    <row r="172" ht="21.75" customHeight="1">
      <c r="A172" s="301"/>
      <c r="B172" s="301"/>
      <c r="C172" s="301"/>
      <c r="D172" s="301"/>
      <c r="E172" s="301"/>
      <c r="F172" s="301"/>
      <c r="G172" s="301"/>
    </row>
    <row r="173" ht="21.75" customHeight="1">
      <c r="A173" s="294"/>
      <c r="B173" s="294"/>
      <c r="C173" s="294"/>
      <c r="D173" s="294"/>
      <c r="E173" s="294"/>
      <c r="F173" s="294"/>
      <c r="G173" s="294"/>
    </row>
    <row r="174" ht="21.75" customHeight="1">
      <c r="A174" s="301"/>
      <c r="B174" s="301"/>
      <c r="C174" s="301"/>
      <c r="D174" s="301"/>
      <c r="E174" s="301"/>
      <c r="F174" s="301"/>
      <c r="G174" s="301"/>
    </row>
    <row r="175" ht="21.75" customHeight="1">
      <c r="A175" s="294"/>
      <c r="B175" s="294"/>
      <c r="C175" s="294"/>
      <c r="D175" s="294"/>
      <c r="E175" s="294"/>
      <c r="F175" s="294"/>
      <c r="G175" s="294"/>
    </row>
    <row r="176" ht="21.75" customHeight="1">
      <c r="A176" s="301"/>
      <c r="B176" s="301"/>
      <c r="C176" s="301"/>
      <c r="D176" s="301"/>
      <c r="E176" s="301"/>
      <c r="F176" s="301"/>
      <c r="G176" s="301"/>
    </row>
    <row r="177" ht="21.75" customHeight="1">
      <c r="A177" s="294"/>
      <c r="B177" s="294"/>
      <c r="C177" s="294"/>
      <c r="D177" s="294"/>
      <c r="E177" s="294"/>
      <c r="F177" s="294"/>
      <c r="G177" s="294"/>
    </row>
    <row r="178" ht="21.75" customHeight="1">
      <c r="A178" s="301"/>
      <c r="B178" s="301"/>
      <c r="C178" s="301"/>
      <c r="D178" s="301"/>
      <c r="E178" s="301"/>
      <c r="F178" s="301"/>
      <c r="G178" s="301"/>
    </row>
    <row r="179" ht="21.75" customHeight="1">
      <c r="A179" s="294"/>
      <c r="B179" s="294"/>
      <c r="C179" s="294"/>
      <c r="D179" s="294"/>
      <c r="E179" s="294"/>
      <c r="F179" s="294"/>
      <c r="G179" s="294"/>
    </row>
    <row r="180" ht="21.75" customHeight="1">
      <c r="A180" s="301"/>
      <c r="B180" s="301"/>
      <c r="C180" s="301"/>
      <c r="D180" s="301"/>
      <c r="E180" s="301"/>
      <c r="F180" s="301"/>
      <c r="G180" s="301"/>
    </row>
    <row r="181" ht="21.75" customHeight="1">
      <c r="A181" s="294"/>
      <c r="B181" s="294"/>
      <c r="C181" s="294"/>
      <c r="D181" s="294"/>
      <c r="E181" s="294"/>
      <c r="F181" s="294"/>
      <c r="G181" s="294"/>
    </row>
    <row r="182" ht="21.75" customHeight="1">
      <c r="A182" s="301"/>
      <c r="B182" s="301"/>
      <c r="C182" s="301"/>
      <c r="D182" s="301"/>
      <c r="E182" s="301"/>
      <c r="F182" s="301"/>
      <c r="G182" s="301"/>
    </row>
    <row r="183" ht="21.75" customHeight="1">
      <c r="A183" s="294"/>
      <c r="B183" s="294"/>
      <c r="C183" s="294"/>
      <c r="D183" s="294"/>
      <c r="E183" s="294"/>
      <c r="F183" s="294"/>
      <c r="G183" s="294"/>
    </row>
    <row r="184" ht="21.75" customHeight="1">
      <c r="A184" s="301"/>
      <c r="B184" s="301"/>
      <c r="C184" s="301"/>
      <c r="D184" s="301"/>
      <c r="E184" s="301"/>
      <c r="F184" s="301"/>
      <c r="G184" s="301"/>
    </row>
    <row r="185" ht="21.75" customHeight="1">
      <c r="A185" s="294"/>
      <c r="B185" s="294"/>
      <c r="C185" s="294"/>
      <c r="D185" s="294"/>
      <c r="E185" s="294"/>
      <c r="F185" s="294"/>
      <c r="G185" s="294"/>
    </row>
    <row r="186" ht="21.75" customHeight="1">
      <c r="A186" s="301"/>
      <c r="B186" s="301"/>
      <c r="C186" s="301"/>
      <c r="D186" s="301"/>
      <c r="E186" s="301"/>
      <c r="F186" s="301"/>
      <c r="G186" s="301"/>
    </row>
    <row r="187" ht="21.75" customHeight="1">
      <c r="A187" s="294"/>
      <c r="B187" s="294"/>
      <c r="C187" s="294"/>
      <c r="D187" s="294"/>
      <c r="E187" s="294"/>
      <c r="F187" s="294"/>
      <c r="G187" s="294"/>
    </row>
    <row r="188" ht="21.75" customHeight="1">
      <c r="A188" s="301"/>
      <c r="B188" s="301"/>
      <c r="C188" s="301"/>
      <c r="D188" s="301"/>
      <c r="E188" s="301"/>
      <c r="F188" s="301"/>
      <c r="G188" s="301"/>
    </row>
    <row r="189" ht="21.75" customHeight="1">
      <c r="A189" s="294"/>
      <c r="B189" s="294"/>
      <c r="C189" s="294"/>
      <c r="D189" s="294"/>
      <c r="E189" s="294"/>
      <c r="F189" s="294"/>
      <c r="G189" s="294"/>
    </row>
    <row r="190" ht="21.75" customHeight="1">
      <c r="A190" s="301"/>
      <c r="B190" s="301"/>
      <c r="C190" s="301"/>
      <c r="D190" s="301"/>
      <c r="E190" s="301"/>
      <c r="F190" s="301"/>
      <c r="G190" s="301"/>
    </row>
    <row r="191" ht="21.75" customHeight="1">
      <c r="A191" s="294"/>
      <c r="B191" s="294"/>
      <c r="C191" s="294"/>
      <c r="D191" s="294"/>
      <c r="E191" s="294"/>
      <c r="F191" s="294"/>
      <c r="G191" s="294"/>
    </row>
    <row r="192" ht="21.75" customHeight="1">
      <c r="A192" s="301"/>
      <c r="B192" s="301"/>
      <c r="C192" s="301"/>
      <c r="D192" s="301"/>
      <c r="E192" s="301"/>
      <c r="F192" s="301"/>
      <c r="G192" s="301"/>
    </row>
    <row r="193" ht="21.75" customHeight="1">
      <c r="A193" s="294"/>
      <c r="B193" s="294"/>
      <c r="C193" s="294"/>
      <c r="D193" s="294"/>
      <c r="E193" s="294"/>
      <c r="F193" s="294"/>
      <c r="G193" s="294"/>
    </row>
    <row r="194" ht="21.75" customHeight="1">
      <c r="A194" s="301"/>
      <c r="B194" s="301"/>
      <c r="C194" s="301"/>
      <c r="D194" s="301"/>
      <c r="E194" s="301"/>
      <c r="F194" s="301"/>
      <c r="G194" s="301"/>
    </row>
    <row r="195" ht="21.75" customHeight="1">
      <c r="A195" s="294"/>
      <c r="B195" s="294"/>
      <c r="C195" s="294"/>
      <c r="D195" s="294"/>
      <c r="E195" s="294"/>
      <c r="F195" s="294"/>
      <c r="G195" s="294"/>
    </row>
    <row r="196" ht="21.75" customHeight="1">
      <c r="A196" s="301"/>
      <c r="B196" s="301"/>
      <c r="C196" s="301"/>
      <c r="D196" s="301"/>
      <c r="E196" s="301"/>
      <c r="F196" s="301"/>
      <c r="G196" s="301"/>
    </row>
    <row r="197" ht="21.75" customHeight="1">
      <c r="A197" s="294"/>
      <c r="B197" s="294"/>
      <c r="C197" s="294"/>
      <c r="D197" s="294"/>
      <c r="E197" s="294"/>
      <c r="F197" s="294"/>
      <c r="G197" s="294"/>
    </row>
    <row r="198" ht="21.75" customHeight="1">
      <c r="A198" s="301"/>
      <c r="B198" s="301"/>
      <c r="C198" s="301"/>
      <c r="D198" s="301"/>
      <c r="E198" s="301"/>
      <c r="F198" s="301"/>
      <c r="G198" s="301"/>
    </row>
    <row r="199" ht="21.75" customHeight="1">
      <c r="A199" s="294"/>
      <c r="B199" s="294"/>
      <c r="C199" s="294"/>
      <c r="D199" s="294"/>
      <c r="E199" s="294"/>
      <c r="F199" s="294"/>
      <c r="G199" s="294"/>
    </row>
    <row r="200" ht="21.75" customHeight="1">
      <c r="A200" s="301"/>
      <c r="B200" s="301"/>
      <c r="C200" s="301"/>
      <c r="D200" s="301"/>
      <c r="E200" s="301"/>
      <c r="F200" s="301"/>
      <c r="G200" s="301"/>
    </row>
    <row r="201" ht="21.75" customHeight="1">
      <c r="A201" s="294"/>
      <c r="B201" s="294"/>
      <c r="C201" s="294"/>
      <c r="D201" s="294"/>
      <c r="E201" s="294"/>
      <c r="F201" s="294"/>
      <c r="G201" s="294"/>
    </row>
    <row r="202" ht="21.75" customHeight="1">
      <c r="A202" s="301"/>
      <c r="B202" s="301"/>
      <c r="C202" s="301"/>
      <c r="D202" s="301"/>
      <c r="E202" s="301"/>
      <c r="F202" s="301"/>
      <c r="G202" s="301"/>
    </row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2:$G$202"/>
  <mergeCells count="1">
    <mergeCell ref="A1:G1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</hyperlinks>
  <printOptions/>
  <pageMargins bottom="1.0" footer="0.0" header="0.0" left="0.75" right="0.75" top="1.0"/>
  <pageSetup orientation="landscape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25"/>
    <col customWidth="1" min="2" max="2" width="12.25"/>
    <col customWidth="1" min="3" max="3" width="22.75"/>
    <col customWidth="1" min="4" max="4" width="19.25"/>
    <col customWidth="1" min="5" max="5" width="17.5"/>
    <col customWidth="1" min="6" max="6" width="19.25"/>
    <col customWidth="1" min="7" max="7" width="33.25"/>
    <col customWidth="1" min="8" max="8" width="28.0"/>
    <col customWidth="1" min="9" max="26" width="7.63"/>
  </cols>
  <sheetData>
    <row r="1" ht="30.0" customHeight="1">
      <c r="A1" s="306" t="s">
        <v>557</v>
      </c>
      <c r="B1" s="288"/>
      <c r="C1" s="288"/>
      <c r="D1" s="288"/>
      <c r="E1" s="288"/>
      <c r="F1" s="288"/>
      <c r="G1" s="288"/>
      <c r="H1" s="289"/>
    </row>
    <row r="2" ht="39.75" customHeight="1">
      <c r="A2" s="307" t="s">
        <v>523</v>
      </c>
      <c r="B2" s="307" t="s">
        <v>558</v>
      </c>
      <c r="C2" s="307" t="s">
        <v>559</v>
      </c>
      <c r="D2" s="307" t="s">
        <v>560</v>
      </c>
      <c r="E2" s="307" t="s">
        <v>561</v>
      </c>
      <c r="F2" s="307" t="s">
        <v>562</v>
      </c>
      <c r="G2" s="307" t="s">
        <v>563</v>
      </c>
      <c r="H2" s="307" t="s">
        <v>564</v>
      </c>
    </row>
    <row r="3" ht="27.0" customHeight="1">
      <c r="A3" s="308" t="s">
        <v>565</v>
      </c>
      <c r="B3" s="309">
        <v>46176.0</v>
      </c>
      <c r="C3" s="310" t="s">
        <v>566</v>
      </c>
      <c r="D3" s="310" t="s">
        <v>567</v>
      </c>
      <c r="E3" s="310" t="s">
        <v>77</v>
      </c>
      <c r="F3" s="310" t="s">
        <v>77</v>
      </c>
      <c r="G3" s="310" t="s">
        <v>77</v>
      </c>
      <c r="H3" s="310" t="s">
        <v>568</v>
      </c>
    </row>
    <row r="4" ht="39.75" customHeight="1">
      <c r="A4" s="305" t="s">
        <v>569</v>
      </c>
      <c r="B4" s="296">
        <v>46175.0</v>
      </c>
      <c r="C4" s="302" t="s">
        <v>570</v>
      </c>
      <c r="D4" s="302" t="s">
        <v>571</v>
      </c>
      <c r="E4" s="302" t="s">
        <v>77</v>
      </c>
      <c r="F4" s="302" t="s">
        <v>77</v>
      </c>
      <c r="G4" s="302" t="s">
        <v>77</v>
      </c>
      <c r="H4" s="302" t="s">
        <v>572</v>
      </c>
    </row>
    <row r="5" ht="42.0" customHeight="1">
      <c r="A5" s="308" t="s">
        <v>573</v>
      </c>
      <c r="B5" s="309">
        <v>46168.0</v>
      </c>
      <c r="C5" s="310" t="s">
        <v>574</v>
      </c>
      <c r="D5" s="310" t="s">
        <v>575</v>
      </c>
      <c r="E5" s="310" t="s">
        <v>576</v>
      </c>
      <c r="F5" s="310" t="s">
        <v>77</v>
      </c>
      <c r="G5" s="310" t="s">
        <v>577</v>
      </c>
      <c r="H5" s="310" t="s">
        <v>578</v>
      </c>
    </row>
    <row r="6" ht="53.25" customHeight="1">
      <c r="A6" s="305" t="s">
        <v>579</v>
      </c>
      <c r="B6" s="296">
        <v>46175.0</v>
      </c>
      <c r="C6" s="302" t="s">
        <v>580</v>
      </c>
      <c r="D6" s="302" t="s">
        <v>581</v>
      </c>
      <c r="E6" s="302" t="s">
        <v>77</v>
      </c>
      <c r="F6" s="302" t="s">
        <v>77</v>
      </c>
      <c r="G6" s="302" t="s">
        <v>77</v>
      </c>
      <c r="H6" s="302" t="s">
        <v>582</v>
      </c>
    </row>
    <row r="7" ht="43.5" customHeight="1">
      <c r="A7" s="308" t="s">
        <v>583</v>
      </c>
      <c r="B7" s="309">
        <v>46172.0</v>
      </c>
      <c r="C7" s="310" t="s">
        <v>574</v>
      </c>
      <c r="D7" s="310" t="s">
        <v>575</v>
      </c>
      <c r="E7" s="310" t="s">
        <v>77</v>
      </c>
      <c r="F7" s="310" t="s">
        <v>77</v>
      </c>
      <c r="G7" s="310" t="s">
        <v>77</v>
      </c>
      <c r="H7" s="310" t="s">
        <v>584</v>
      </c>
    </row>
    <row r="8" ht="33.0" customHeight="1">
      <c r="A8" s="305" t="s">
        <v>585</v>
      </c>
      <c r="B8" s="296">
        <v>46171.0</v>
      </c>
      <c r="C8" s="302" t="s">
        <v>586</v>
      </c>
      <c r="D8" s="302" t="s">
        <v>587</v>
      </c>
      <c r="E8" s="302" t="s">
        <v>77</v>
      </c>
      <c r="F8" s="302" t="s">
        <v>77</v>
      </c>
      <c r="G8" s="302" t="s">
        <v>77</v>
      </c>
      <c r="H8" s="302" t="s">
        <v>588</v>
      </c>
    </row>
    <row r="9" ht="54.75" customHeight="1">
      <c r="A9" s="308" t="s">
        <v>589</v>
      </c>
      <c r="B9" s="309">
        <v>46170.0</v>
      </c>
      <c r="C9" s="310" t="s">
        <v>590</v>
      </c>
      <c r="D9" s="311"/>
      <c r="E9" s="310" t="s">
        <v>77</v>
      </c>
      <c r="F9" s="310" t="s">
        <v>77</v>
      </c>
      <c r="G9" s="310" t="s">
        <v>591</v>
      </c>
      <c r="H9" s="310" t="s">
        <v>592</v>
      </c>
    </row>
    <row r="10" ht="65.25" customHeight="1">
      <c r="A10" s="305" t="s">
        <v>593</v>
      </c>
      <c r="B10" s="296">
        <v>46175.0</v>
      </c>
      <c r="C10" s="302" t="s">
        <v>94</v>
      </c>
      <c r="D10" s="302" t="s">
        <v>594</v>
      </c>
      <c r="E10" s="302" t="s">
        <v>77</v>
      </c>
      <c r="F10" s="302" t="s">
        <v>77</v>
      </c>
      <c r="G10" s="302" t="s">
        <v>595</v>
      </c>
      <c r="H10" s="302" t="s">
        <v>596</v>
      </c>
    </row>
    <row r="11" ht="29.25" customHeight="1">
      <c r="A11" s="308" t="s">
        <v>597</v>
      </c>
      <c r="B11" s="309">
        <v>46177.0</v>
      </c>
      <c r="C11" s="310" t="s">
        <v>598</v>
      </c>
      <c r="D11" s="310" t="s">
        <v>77</v>
      </c>
      <c r="E11" s="310" t="s">
        <v>77</v>
      </c>
      <c r="F11" s="310" t="s">
        <v>77</v>
      </c>
      <c r="G11" s="310" t="s">
        <v>77</v>
      </c>
      <c r="H11" s="310" t="s">
        <v>599</v>
      </c>
    </row>
    <row r="12" ht="39.0" customHeight="1">
      <c r="A12" s="305" t="s">
        <v>600</v>
      </c>
      <c r="B12" s="296">
        <v>46178.0</v>
      </c>
      <c r="C12" s="302" t="s">
        <v>601</v>
      </c>
      <c r="D12" s="302" t="s">
        <v>602</v>
      </c>
      <c r="E12" s="302" t="s">
        <v>603</v>
      </c>
      <c r="F12" s="302" t="s">
        <v>77</v>
      </c>
      <c r="G12" s="302" t="s">
        <v>604</v>
      </c>
      <c r="H12" s="302" t="s">
        <v>605</v>
      </c>
    </row>
    <row r="13" ht="99.0" customHeight="1">
      <c r="A13" s="312" t="s">
        <v>606</v>
      </c>
      <c r="B13" s="309">
        <v>46181.0</v>
      </c>
      <c r="C13" s="310" t="s">
        <v>106</v>
      </c>
      <c r="D13" s="310" t="s">
        <v>607</v>
      </c>
      <c r="E13" s="310" t="s">
        <v>77</v>
      </c>
      <c r="F13" s="310" t="s">
        <v>77</v>
      </c>
      <c r="G13" s="310" t="s">
        <v>77</v>
      </c>
      <c r="H13" s="310" t="s">
        <v>608</v>
      </c>
    </row>
    <row r="14" ht="36.75" customHeight="1">
      <c r="A14" s="295" t="s">
        <v>609</v>
      </c>
      <c r="B14" s="296">
        <v>46181.0</v>
      </c>
      <c r="C14" s="302" t="s">
        <v>610</v>
      </c>
      <c r="D14" s="302" t="s">
        <v>575</v>
      </c>
      <c r="E14" s="302" t="s">
        <v>77</v>
      </c>
      <c r="F14" s="302" t="s">
        <v>77</v>
      </c>
      <c r="G14" s="302" t="s">
        <v>611</v>
      </c>
      <c r="H14" s="302" t="s">
        <v>612</v>
      </c>
    </row>
    <row r="15" ht="39.75" customHeight="1">
      <c r="A15" s="312" t="s">
        <v>613</v>
      </c>
      <c r="B15" s="309">
        <v>46188.0</v>
      </c>
      <c r="C15" s="310" t="s">
        <v>106</v>
      </c>
      <c r="D15" s="310" t="s">
        <v>552</v>
      </c>
      <c r="E15" s="310" t="s">
        <v>614</v>
      </c>
      <c r="F15" s="311"/>
      <c r="G15" s="310" t="s">
        <v>615</v>
      </c>
      <c r="H15" s="310" t="s">
        <v>616</v>
      </c>
    </row>
    <row r="16" ht="34.5" customHeight="1">
      <c r="A16" s="295" t="s">
        <v>617</v>
      </c>
      <c r="B16" s="296">
        <v>46189.0</v>
      </c>
      <c r="C16" s="310" t="s">
        <v>106</v>
      </c>
      <c r="D16" s="310" t="s">
        <v>552</v>
      </c>
      <c r="E16" s="302" t="s">
        <v>77</v>
      </c>
      <c r="F16" s="302" t="s">
        <v>618</v>
      </c>
      <c r="G16" s="302" t="s">
        <v>618</v>
      </c>
      <c r="H16" s="301"/>
    </row>
    <row r="17" ht="21.75" customHeight="1">
      <c r="A17" s="312" t="s">
        <v>619</v>
      </c>
      <c r="B17" s="296">
        <v>46186.0</v>
      </c>
      <c r="C17" s="310" t="s">
        <v>620</v>
      </c>
      <c r="D17" s="310" t="s">
        <v>77</v>
      </c>
      <c r="E17" s="310" t="s">
        <v>77</v>
      </c>
      <c r="F17" s="311"/>
      <c r="G17" s="313" t="s">
        <v>621</v>
      </c>
      <c r="H17" s="311"/>
    </row>
    <row r="18" ht="48.0" customHeight="1">
      <c r="A18" s="305" t="s">
        <v>622</v>
      </c>
      <c r="B18" s="296">
        <v>46185.0</v>
      </c>
      <c r="C18" s="302" t="s">
        <v>623</v>
      </c>
      <c r="D18" s="302" t="s">
        <v>624</v>
      </c>
      <c r="E18" s="302" t="s">
        <v>77</v>
      </c>
      <c r="F18" s="302" t="s">
        <v>77</v>
      </c>
      <c r="G18" s="302" t="s">
        <v>625</v>
      </c>
      <c r="H18" s="302" t="s">
        <v>626</v>
      </c>
    </row>
    <row r="19" ht="60.0" customHeight="1">
      <c r="A19" s="312" t="s">
        <v>627</v>
      </c>
      <c r="B19" s="309">
        <v>46189.0</v>
      </c>
      <c r="C19" s="310" t="s">
        <v>628</v>
      </c>
      <c r="D19" s="310" t="s">
        <v>587</v>
      </c>
      <c r="E19" s="310" t="s">
        <v>629</v>
      </c>
      <c r="F19" s="310" t="s">
        <v>77</v>
      </c>
      <c r="G19" s="310" t="s">
        <v>630</v>
      </c>
      <c r="H19" s="310" t="s">
        <v>631</v>
      </c>
    </row>
    <row r="20" ht="54.0" customHeight="1">
      <c r="A20" s="305" t="s">
        <v>632</v>
      </c>
      <c r="B20" s="296">
        <v>46189.0</v>
      </c>
      <c r="C20" s="310" t="s">
        <v>106</v>
      </c>
      <c r="D20" s="310" t="s">
        <v>552</v>
      </c>
      <c r="E20" s="302" t="s">
        <v>77</v>
      </c>
      <c r="F20" s="302" t="s">
        <v>77</v>
      </c>
      <c r="G20" s="302" t="s">
        <v>77</v>
      </c>
      <c r="H20" s="302" t="s">
        <v>626</v>
      </c>
    </row>
    <row r="21" ht="21.75" customHeight="1">
      <c r="A21" s="312" t="s">
        <v>633</v>
      </c>
      <c r="B21" s="309">
        <v>46192.0</v>
      </c>
      <c r="C21" s="310" t="s">
        <v>634</v>
      </c>
      <c r="D21" s="310" t="s">
        <v>635</v>
      </c>
      <c r="E21" s="310" t="s">
        <v>77</v>
      </c>
      <c r="F21" s="310" t="s">
        <v>77</v>
      </c>
      <c r="G21" s="310" t="s">
        <v>77</v>
      </c>
      <c r="H21" s="310" t="s">
        <v>636</v>
      </c>
    </row>
    <row r="22" ht="21.75" customHeight="1">
      <c r="A22" s="295" t="s">
        <v>637</v>
      </c>
      <c r="B22" s="296">
        <v>46194.0</v>
      </c>
      <c r="C22" s="302" t="s">
        <v>638</v>
      </c>
      <c r="D22" s="302" t="s">
        <v>587</v>
      </c>
      <c r="E22" s="302" t="s">
        <v>77</v>
      </c>
      <c r="F22" s="302" t="s">
        <v>77</v>
      </c>
      <c r="G22" s="302" t="s">
        <v>77</v>
      </c>
      <c r="H22" s="302" t="s">
        <v>639</v>
      </c>
    </row>
    <row r="23" ht="21.75" customHeight="1">
      <c r="A23" s="312" t="s">
        <v>640</v>
      </c>
      <c r="B23" s="309">
        <v>46195.0</v>
      </c>
      <c r="C23" s="302" t="s">
        <v>623</v>
      </c>
      <c r="D23" s="310" t="s">
        <v>567</v>
      </c>
      <c r="E23" s="310" t="s">
        <v>77</v>
      </c>
      <c r="F23" s="310" t="s">
        <v>77</v>
      </c>
      <c r="G23" s="310" t="s">
        <v>77</v>
      </c>
      <c r="H23" s="310" t="s">
        <v>639</v>
      </c>
    </row>
    <row r="24" ht="21.75" customHeight="1">
      <c r="A24" s="295" t="s">
        <v>641</v>
      </c>
      <c r="B24" s="296">
        <v>46196.0</v>
      </c>
      <c r="C24" s="302" t="s">
        <v>642</v>
      </c>
      <c r="D24" s="302" t="s">
        <v>643</v>
      </c>
      <c r="E24" s="302" t="s">
        <v>644</v>
      </c>
      <c r="F24" s="314" t="s">
        <v>645</v>
      </c>
      <c r="G24" s="301"/>
      <c r="H24" s="302" t="s">
        <v>646</v>
      </c>
    </row>
    <row r="25" ht="33.75" customHeight="1">
      <c r="A25" s="315" t="s">
        <v>647</v>
      </c>
      <c r="B25" s="309">
        <v>46197.0</v>
      </c>
      <c r="C25" s="313" t="s">
        <v>648</v>
      </c>
      <c r="D25" s="310" t="s">
        <v>649</v>
      </c>
      <c r="E25" s="310" t="s">
        <v>77</v>
      </c>
      <c r="F25" s="310" t="s">
        <v>77</v>
      </c>
      <c r="G25" s="310" t="s">
        <v>77</v>
      </c>
      <c r="H25" s="310" t="s">
        <v>650</v>
      </c>
    </row>
    <row r="26" ht="33.75" customHeight="1">
      <c r="A26" s="295" t="s">
        <v>651</v>
      </c>
      <c r="B26" s="296">
        <v>46197.0</v>
      </c>
      <c r="C26" s="302" t="s">
        <v>610</v>
      </c>
      <c r="D26" s="302" t="s">
        <v>575</v>
      </c>
      <c r="E26" s="302" t="s">
        <v>77</v>
      </c>
      <c r="F26" s="302" t="s">
        <v>77</v>
      </c>
      <c r="G26" s="302" t="s">
        <v>77</v>
      </c>
      <c r="H26" s="302" t="s">
        <v>650</v>
      </c>
    </row>
    <row r="27" ht="21.75" customHeight="1">
      <c r="A27" s="311"/>
      <c r="B27" s="311"/>
      <c r="C27" s="311"/>
      <c r="D27" s="311"/>
      <c r="E27" s="311"/>
      <c r="F27" s="311"/>
      <c r="G27" s="311"/>
      <c r="H27" s="311"/>
    </row>
    <row r="28" ht="21.75" customHeight="1">
      <c r="A28" s="301"/>
      <c r="B28" s="301"/>
      <c r="C28" s="301"/>
      <c r="D28" s="301"/>
      <c r="E28" s="301"/>
      <c r="F28" s="301"/>
      <c r="G28" s="301"/>
      <c r="H28" s="301"/>
    </row>
    <row r="29" ht="21.75" customHeight="1">
      <c r="A29" s="311"/>
      <c r="B29" s="311"/>
      <c r="C29" s="311"/>
      <c r="D29" s="311"/>
      <c r="E29" s="311"/>
      <c r="F29" s="311"/>
      <c r="G29" s="311"/>
      <c r="H29" s="311"/>
    </row>
    <row r="30" ht="21.75" customHeight="1">
      <c r="A30" s="301"/>
      <c r="B30" s="301"/>
      <c r="C30" s="301"/>
      <c r="D30" s="301"/>
      <c r="E30" s="301"/>
      <c r="F30" s="301"/>
      <c r="G30" s="301"/>
      <c r="H30" s="301"/>
    </row>
    <row r="31" ht="21.75" customHeight="1">
      <c r="A31" s="311"/>
      <c r="B31" s="311"/>
      <c r="C31" s="311"/>
      <c r="D31" s="311"/>
      <c r="E31" s="311"/>
      <c r="F31" s="311"/>
      <c r="G31" s="311"/>
      <c r="H31" s="311"/>
    </row>
    <row r="32" ht="21.75" customHeight="1">
      <c r="A32" s="301"/>
      <c r="B32" s="301"/>
      <c r="C32" s="301"/>
      <c r="D32" s="301"/>
      <c r="E32" s="301"/>
      <c r="F32" s="301"/>
      <c r="G32" s="301"/>
      <c r="H32" s="301"/>
    </row>
    <row r="33" ht="21.75" customHeight="1">
      <c r="A33" s="311"/>
      <c r="B33" s="311"/>
      <c r="C33" s="311"/>
      <c r="D33" s="311"/>
      <c r="E33" s="311"/>
      <c r="F33" s="311"/>
      <c r="G33" s="311"/>
      <c r="H33" s="311"/>
    </row>
    <row r="34" ht="21.75" customHeight="1">
      <c r="A34" s="301"/>
      <c r="B34" s="301"/>
      <c r="C34" s="301"/>
      <c r="D34" s="301"/>
      <c r="E34" s="301"/>
      <c r="F34" s="301"/>
      <c r="G34" s="301"/>
      <c r="H34" s="301"/>
    </row>
    <row r="35" ht="21.75" customHeight="1">
      <c r="A35" s="311"/>
      <c r="B35" s="311"/>
      <c r="C35" s="311"/>
      <c r="D35" s="311"/>
      <c r="E35" s="311"/>
      <c r="F35" s="311"/>
      <c r="G35" s="311"/>
      <c r="H35" s="311"/>
    </row>
    <row r="36" ht="21.75" customHeight="1">
      <c r="A36" s="301"/>
      <c r="B36" s="301"/>
      <c r="C36" s="301"/>
      <c r="D36" s="301"/>
      <c r="E36" s="301"/>
      <c r="F36" s="301"/>
      <c r="G36" s="301"/>
      <c r="H36" s="301"/>
    </row>
    <row r="37" ht="21.75" customHeight="1">
      <c r="A37" s="311"/>
      <c r="B37" s="311"/>
      <c r="C37" s="311"/>
      <c r="D37" s="311"/>
      <c r="E37" s="311"/>
      <c r="F37" s="311"/>
      <c r="G37" s="311"/>
      <c r="H37" s="311"/>
    </row>
    <row r="38" ht="21.75" customHeight="1">
      <c r="A38" s="301"/>
      <c r="B38" s="301"/>
      <c r="C38" s="301"/>
      <c r="D38" s="301"/>
      <c r="E38" s="301"/>
      <c r="F38" s="301"/>
      <c r="G38" s="301"/>
      <c r="H38" s="301"/>
    </row>
    <row r="39" ht="21.75" customHeight="1">
      <c r="A39" s="311"/>
      <c r="B39" s="311"/>
      <c r="C39" s="311"/>
      <c r="D39" s="311"/>
      <c r="E39" s="311"/>
      <c r="F39" s="311"/>
      <c r="G39" s="311"/>
      <c r="H39" s="311"/>
    </row>
    <row r="40" ht="21.75" customHeight="1">
      <c r="A40" s="301"/>
      <c r="B40" s="301"/>
      <c r="C40" s="301"/>
      <c r="D40" s="301"/>
      <c r="E40" s="301"/>
      <c r="F40" s="301"/>
      <c r="G40" s="301"/>
      <c r="H40" s="301"/>
    </row>
    <row r="41" ht="21.75" customHeight="1">
      <c r="A41" s="311"/>
      <c r="B41" s="311"/>
      <c r="C41" s="311"/>
      <c r="D41" s="311"/>
      <c r="E41" s="311"/>
      <c r="F41" s="311"/>
      <c r="G41" s="311"/>
      <c r="H41" s="311"/>
    </row>
    <row r="42" ht="21.75" customHeight="1">
      <c r="A42" s="301"/>
      <c r="B42" s="301"/>
      <c r="C42" s="301"/>
      <c r="D42" s="301"/>
      <c r="E42" s="301"/>
      <c r="F42" s="301"/>
      <c r="G42" s="301"/>
      <c r="H42" s="301"/>
    </row>
    <row r="43" ht="21.75" customHeight="1">
      <c r="A43" s="311"/>
      <c r="B43" s="311"/>
      <c r="C43" s="311"/>
      <c r="D43" s="311"/>
      <c r="E43" s="311"/>
      <c r="F43" s="311"/>
      <c r="G43" s="311"/>
      <c r="H43" s="311"/>
    </row>
    <row r="44" ht="21.75" customHeight="1">
      <c r="A44" s="301"/>
      <c r="B44" s="301"/>
      <c r="C44" s="301"/>
      <c r="D44" s="301"/>
      <c r="E44" s="301"/>
      <c r="F44" s="301"/>
      <c r="G44" s="301"/>
      <c r="H44" s="301"/>
    </row>
    <row r="45" ht="21.75" customHeight="1">
      <c r="A45" s="311"/>
      <c r="B45" s="311"/>
      <c r="C45" s="311"/>
      <c r="D45" s="311"/>
      <c r="E45" s="311"/>
      <c r="F45" s="311"/>
      <c r="G45" s="311"/>
      <c r="H45" s="311"/>
    </row>
    <row r="46" ht="21.75" customHeight="1">
      <c r="A46" s="301"/>
      <c r="B46" s="301"/>
      <c r="C46" s="301"/>
      <c r="D46" s="301"/>
      <c r="E46" s="301"/>
      <c r="F46" s="301"/>
      <c r="G46" s="301"/>
      <c r="H46" s="301"/>
    </row>
    <row r="47" ht="21.75" customHeight="1">
      <c r="A47" s="311"/>
      <c r="B47" s="311"/>
      <c r="C47" s="311"/>
      <c r="D47" s="311"/>
      <c r="E47" s="311"/>
      <c r="F47" s="311"/>
      <c r="G47" s="311"/>
      <c r="H47" s="311"/>
    </row>
    <row r="48" ht="21.75" customHeight="1">
      <c r="A48" s="301"/>
      <c r="B48" s="301"/>
      <c r="C48" s="301"/>
      <c r="D48" s="301"/>
      <c r="E48" s="301"/>
      <c r="F48" s="301"/>
      <c r="G48" s="301"/>
      <c r="H48" s="301"/>
    </row>
    <row r="49" ht="21.75" customHeight="1">
      <c r="A49" s="311"/>
      <c r="B49" s="311"/>
      <c r="C49" s="311"/>
      <c r="D49" s="311"/>
      <c r="E49" s="311"/>
      <c r="F49" s="311"/>
      <c r="G49" s="311"/>
      <c r="H49" s="311"/>
    </row>
    <row r="50" ht="21.75" customHeight="1">
      <c r="A50" s="301"/>
      <c r="B50" s="301"/>
      <c r="C50" s="301"/>
      <c r="D50" s="301"/>
      <c r="E50" s="301"/>
      <c r="F50" s="301"/>
      <c r="G50" s="301"/>
      <c r="H50" s="301"/>
    </row>
    <row r="51" ht="21.75" customHeight="1">
      <c r="A51" s="311"/>
      <c r="B51" s="311"/>
      <c r="C51" s="311"/>
      <c r="D51" s="311"/>
      <c r="E51" s="311"/>
      <c r="F51" s="311"/>
      <c r="G51" s="311"/>
      <c r="H51" s="311"/>
    </row>
    <row r="52" ht="21.75" customHeight="1">
      <c r="A52" s="301"/>
      <c r="B52" s="301"/>
      <c r="C52" s="301"/>
      <c r="D52" s="301"/>
      <c r="E52" s="301"/>
      <c r="F52" s="301"/>
      <c r="G52" s="301"/>
      <c r="H52" s="301"/>
    </row>
    <row r="53" ht="21.75" customHeight="1">
      <c r="A53" s="311"/>
      <c r="B53" s="311"/>
      <c r="C53" s="311"/>
      <c r="D53" s="311"/>
      <c r="E53" s="311"/>
      <c r="F53" s="311"/>
      <c r="G53" s="311"/>
      <c r="H53" s="311"/>
    </row>
    <row r="54" ht="21.75" customHeight="1">
      <c r="A54" s="301"/>
      <c r="B54" s="301"/>
      <c r="C54" s="301"/>
      <c r="D54" s="301"/>
      <c r="E54" s="301"/>
      <c r="F54" s="301"/>
      <c r="G54" s="301"/>
      <c r="H54" s="301"/>
    </row>
    <row r="55" ht="21.75" customHeight="1">
      <c r="A55" s="311"/>
      <c r="B55" s="311"/>
      <c r="C55" s="311"/>
      <c r="D55" s="311"/>
      <c r="E55" s="311"/>
      <c r="F55" s="311"/>
      <c r="G55" s="311"/>
      <c r="H55" s="311"/>
    </row>
    <row r="56" ht="21.75" customHeight="1">
      <c r="A56" s="301"/>
      <c r="B56" s="301"/>
      <c r="C56" s="301"/>
      <c r="D56" s="301"/>
      <c r="E56" s="301"/>
      <c r="F56" s="301"/>
      <c r="G56" s="301"/>
      <c r="H56" s="301"/>
    </row>
    <row r="57" ht="21.75" customHeight="1">
      <c r="A57" s="311"/>
      <c r="B57" s="311"/>
      <c r="C57" s="311"/>
      <c r="D57" s="311"/>
      <c r="E57" s="311"/>
      <c r="F57" s="311"/>
      <c r="G57" s="311"/>
      <c r="H57" s="311"/>
    </row>
    <row r="58" ht="21.75" customHeight="1">
      <c r="A58" s="301"/>
      <c r="B58" s="301"/>
      <c r="C58" s="301"/>
      <c r="D58" s="301"/>
      <c r="E58" s="301"/>
      <c r="F58" s="301"/>
      <c r="G58" s="301"/>
      <c r="H58" s="301"/>
    </row>
    <row r="59" ht="21.75" customHeight="1">
      <c r="A59" s="311"/>
      <c r="B59" s="311"/>
      <c r="C59" s="311"/>
      <c r="D59" s="311"/>
      <c r="E59" s="311"/>
      <c r="F59" s="311"/>
      <c r="G59" s="311"/>
      <c r="H59" s="311"/>
    </row>
    <row r="60" ht="21.75" customHeight="1">
      <c r="A60" s="301"/>
      <c r="B60" s="301"/>
      <c r="C60" s="301"/>
      <c r="D60" s="301"/>
      <c r="E60" s="301"/>
      <c r="F60" s="301"/>
      <c r="G60" s="301"/>
      <c r="H60" s="301"/>
    </row>
    <row r="61" ht="21.75" customHeight="1">
      <c r="A61" s="311"/>
      <c r="B61" s="311"/>
      <c r="C61" s="311"/>
      <c r="D61" s="311"/>
      <c r="E61" s="311"/>
      <c r="F61" s="311"/>
      <c r="G61" s="311"/>
      <c r="H61" s="311"/>
    </row>
    <row r="62" ht="21.75" customHeight="1">
      <c r="A62" s="301"/>
      <c r="B62" s="301"/>
      <c r="C62" s="301"/>
      <c r="D62" s="301"/>
      <c r="E62" s="301"/>
      <c r="F62" s="301"/>
      <c r="G62" s="301"/>
      <c r="H62" s="301"/>
    </row>
    <row r="63" ht="21.75" customHeight="1">
      <c r="A63" s="311"/>
      <c r="B63" s="311"/>
      <c r="C63" s="311"/>
      <c r="D63" s="311"/>
      <c r="E63" s="311"/>
      <c r="F63" s="311"/>
      <c r="G63" s="311"/>
      <c r="H63" s="311"/>
    </row>
    <row r="64" ht="21.75" customHeight="1">
      <c r="A64" s="301"/>
      <c r="B64" s="301"/>
      <c r="C64" s="301"/>
      <c r="D64" s="301"/>
      <c r="E64" s="301"/>
      <c r="F64" s="301"/>
      <c r="G64" s="301"/>
      <c r="H64" s="301"/>
    </row>
    <row r="65" ht="21.75" customHeight="1">
      <c r="A65" s="311"/>
      <c r="B65" s="311"/>
      <c r="C65" s="311"/>
      <c r="D65" s="311"/>
      <c r="E65" s="311"/>
      <c r="F65" s="311"/>
      <c r="G65" s="311"/>
      <c r="H65" s="311"/>
    </row>
    <row r="66" ht="21.75" customHeight="1">
      <c r="A66" s="301"/>
      <c r="B66" s="301"/>
      <c r="C66" s="301"/>
      <c r="D66" s="301"/>
      <c r="E66" s="301"/>
      <c r="F66" s="301"/>
      <c r="G66" s="301"/>
      <c r="H66" s="301"/>
    </row>
    <row r="67" ht="21.75" customHeight="1">
      <c r="A67" s="311"/>
      <c r="B67" s="311"/>
      <c r="C67" s="311"/>
      <c r="D67" s="311"/>
      <c r="E67" s="311"/>
      <c r="F67" s="311"/>
      <c r="G67" s="311"/>
      <c r="H67" s="311"/>
    </row>
    <row r="68" ht="21.75" customHeight="1">
      <c r="A68" s="301"/>
      <c r="B68" s="301"/>
      <c r="C68" s="301"/>
      <c r="D68" s="301"/>
      <c r="E68" s="301"/>
      <c r="F68" s="301"/>
      <c r="G68" s="301"/>
      <c r="H68" s="301"/>
    </row>
    <row r="69" ht="21.75" customHeight="1">
      <c r="A69" s="311"/>
      <c r="B69" s="311"/>
      <c r="C69" s="311"/>
      <c r="D69" s="311"/>
      <c r="E69" s="311"/>
      <c r="F69" s="311"/>
      <c r="G69" s="311"/>
      <c r="H69" s="311"/>
    </row>
    <row r="70" ht="21.75" customHeight="1">
      <c r="A70" s="301"/>
      <c r="B70" s="301"/>
      <c r="C70" s="301"/>
      <c r="D70" s="301"/>
      <c r="E70" s="301"/>
      <c r="F70" s="301"/>
      <c r="G70" s="301"/>
      <c r="H70" s="301"/>
    </row>
    <row r="71" ht="21.75" customHeight="1">
      <c r="A71" s="311"/>
      <c r="B71" s="311"/>
      <c r="C71" s="311"/>
      <c r="D71" s="311"/>
      <c r="E71" s="311"/>
      <c r="F71" s="311"/>
      <c r="G71" s="311"/>
      <c r="H71" s="311"/>
    </row>
    <row r="72" ht="21.75" customHeight="1">
      <c r="A72" s="301"/>
      <c r="B72" s="301"/>
      <c r="C72" s="301"/>
      <c r="D72" s="301"/>
      <c r="E72" s="301"/>
      <c r="F72" s="301"/>
      <c r="G72" s="301"/>
      <c r="H72" s="301"/>
    </row>
    <row r="73" ht="21.75" customHeight="1">
      <c r="A73" s="311"/>
      <c r="B73" s="311"/>
      <c r="C73" s="311"/>
      <c r="D73" s="311"/>
      <c r="E73" s="311"/>
      <c r="F73" s="311"/>
      <c r="G73" s="311"/>
      <c r="H73" s="311"/>
    </row>
    <row r="74" ht="21.75" customHeight="1">
      <c r="A74" s="301"/>
      <c r="B74" s="301"/>
      <c r="C74" s="301"/>
      <c r="D74" s="301"/>
      <c r="E74" s="301"/>
      <c r="F74" s="301"/>
      <c r="G74" s="301"/>
      <c r="H74" s="301"/>
    </row>
    <row r="75" ht="21.75" customHeight="1">
      <c r="A75" s="311"/>
      <c r="B75" s="311"/>
      <c r="C75" s="311"/>
      <c r="D75" s="311"/>
      <c r="E75" s="311"/>
      <c r="F75" s="311"/>
      <c r="G75" s="311"/>
      <c r="H75" s="311"/>
    </row>
    <row r="76" ht="21.75" customHeight="1">
      <c r="A76" s="301"/>
      <c r="B76" s="301"/>
      <c r="C76" s="301"/>
      <c r="D76" s="301"/>
      <c r="E76" s="301"/>
      <c r="F76" s="301"/>
      <c r="G76" s="301"/>
      <c r="H76" s="301"/>
    </row>
    <row r="77" ht="21.75" customHeight="1">
      <c r="A77" s="311"/>
      <c r="B77" s="311"/>
      <c r="C77" s="311"/>
      <c r="D77" s="311"/>
      <c r="E77" s="311"/>
      <c r="F77" s="311"/>
      <c r="G77" s="311"/>
      <c r="H77" s="311"/>
    </row>
    <row r="78" ht="21.75" customHeight="1">
      <c r="A78" s="301"/>
      <c r="B78" s="301"/>
      <c r="C78" s="301"/>
      <c r="D78" s="301"/>
      <c r="E78" s="301"/>
      <c r="F78" s="301"/>
      <c r="G78" s="301"/>
      <c r="H78" s="301"/>
    </row>
    <row r="79" ht="21.75" customHeight="1">
      <c r="A79" s="311"/>
      <c r="B79" s="311"/>
      <c r="C79" s="311"/>
      <c r="D79" s="311"/>
      <c r="E79" s="311"/>
      <c r="F79" s="311"/>
      <c r="G79" s="311"/>
      <c r="H79" s="311"/>
    </row>
    <row r="80" ht="21.75" customHeight="1">
      <c r="A80" s="301"/>
      <c r="B80" s="301"/>
      <c r="C80" s="301"/>
      <c r="D80" s="301"/>
      <c r="E80" s="301"/>
      <c r="F80" s="301"/>
      <c r="G80" s="301"/>
      <c r="H80" s="301"/>
    </row>
    <row r="81" ht="21.75" customHeight="1">
      <c r="A81" s="311"/>
      <c r="B81" s="311"/>
      <c r="C81" s="311"/>
      <c r="D81" s="311"/>
      <c r="E81" s="311"/>
      <c r="F81" s="311"/>
      <c r="G81" s="311"/>
      <c r="H81" s="311"/>
    </row>
    <row r="82" ht="21.75" customHeight="1">
      <c r="A82" s="301"/>
      <c r="B82" s="301"/>
      <c r="C82" s="301"/>
      <c r="D82" s="301"/>
      <c r="E82" s="301"/>
      <c r="F82" s="301"/>
      <c r="G82" s="301"/>
      <c r="H82" s="301"/>
    </row>
    <row r="83" ht="21.75" customHeight="1">
      <c r="A83" s="311"/>
      <c r="B83" s="311"/>
      <c r="C83" s="311"/>
      <c r="D83" s="311"/>
      <c r="E83" s="311"/>
      <c r="F83" s="311"/>
      <c r="G83" s="311"/>
      <c r="H83" s="311"/>
    </row>
    <row r="84" ht="21.75" customHeight="1">
      <c r="A84" s="301"/>
      <c r="B84" s="301"/>
      <c r="C84" s="301"/>
      <c r="D84" s="301"/>
      <c r="E84" s="301"/>
      <c r="F84" s="301"/>
      <c r="G84" s="301"/>
      <c r="H84" s="301"/>
    </row>
    <row r="85" ht="21.75" customHeight="1">
      <c r="A85" s="311"/>
      <c r="B85" s="311"/>
      <c r="C85" s="311"/>
      <c r="D85" s="311"/>
      <c r="E85" s="311"/>
      <c r="F85" s="311"/>
      <c r="G85" s="311"/>
      <c r="H85" s="311"/>
    </row>
    <row r="86" ht="21.75" customHeight="1">
      <c r="A86" s="301"/>
      <c r="B86" s="301"/>
      <c r="C86" s="301"/>
      <c r="D86" s="301"/>
      <c r="E86" s="301"/>
      <c r="F86" s="301"/>
      <c r="G86" s="301"/>
      <c r="H86" s="301"/>
    </row>
    <row r="87" ht="21.75" customHeight="1">
      <c r="A87" s="311"/>
      <c r="B87" s="311"/>
      <c r="C87" s="311"/>
      <c r="D87" s="311"/>
      <c r="E87" s="311"/>
      <c r="F87" s="311"/>
      <c r="G87" s="311"/>
      <c r="H87" s="311"/>
    </row>
    <row r="88" ht="21.75" customHeight="1">
      <c r="A88" s="301"/>
      <c r="B88" s="301"/>
      <c r="C88" s="301"/>
      <c r="D88" s="301"/>
      <c r="E88" s="301"/>
      <c r="F88" s="301"/>
      <c r="G88" s="301"/>
      <c r="H88" s="301"/>
    </row>
    <row r="89" ht="21.75" customHeight="1">
      <c r="A89" s="311"/>
      <c r="B89" s="311"/>
      <c r="C89" s="311"/>
      <c r="D89" s="311"/>
      <c r="E89" s="311"/>
      <c r="F89" s="311"/>
      <c r="G89" s="311"/>
      <c r="H89" s="311"/>
    </row>
    <row r="90" ht="21.75" customHeight="1">
      <c r="A90" s="301"/>
      <c r="B90" s="301"/>
      <c r="C90" s="301"/>
      <c r="D90" s="301"/>
      <c r="E90" s="301"/>
      <c r="F90" s="301"/>
      <c r="G90" s="301"/>
      <c r="H90" s="301"/>
    </row>
    <row r="91" ht="21.75" customHeight="1">
      <c r="A91" s="311"/>
      <c r="B91" s="311"/>
      <c r="C91" s="311"/>
      <c r="D91" s="311"/>
      <c r="E91" s="311"/>
      <c r="F91" s="311"/>
      <c r="G91" s="311"/>
      <c r="H91" s="311"/>
    </row>
    <row r="92" ht="21.75" customHeight="1">
      <c r="A92" s="301"/>
      <c r="B92" s="301"/>
      <c r="C92" s="301"/>
      <c r="D92" s="301"/>
      <c r="E92" s="301"/>
      <c r="F92" s="301"/>
      <c r="G92" s="301"/>
      <c r="H92" s="301"/>
    </row>
    <row r="93" ht="21.75" customHeight="1">
      <c r="A93" s="311"/>
      <c r="B93" s="311"/>
      <c r="C93" s="311"/>
      <c r="D93" s="311"/>
      <c r="E93" s="311"/>
      <c r="F93" s="311"/>
      <c r="G93" s="311"/>
      <c r="H93" s="311"/>
    </row>
    <row r="94" ht="21.75" customHeight="1">
      <c r="A94" s="301"/>
      <c r="B94" s="301"/>
      <c r="C94" s="301"/>
      <c r="D94" s="301"/>
      <c r="E94" s="301"/>
      <c r="F94" s="301"/>
      <c r="G94" s="301"/>
      <c r="H94" s="301"/>
    </row>
    <row r="95" ht="21.75" customHeight="1">
      <c r="A95" s="311"/>
      <c r="B95" s="311"/>
      <c r="C95" s="311"/>
      <c r="D95" s="311"/>
      <c r="E95" s="311"/>
      <c r="F95" s="311"/>
      <c r="G95" s="311"/>
      <c r="H95" s="311"/>
    </row>
    <row r="96" ht="21.75" customHeight="1">
      <c r="A96" s="301"/>
      <c r="B96" s="301"/>
      <c r="C96" s="301"/>
      <c r="D96" s="301"/>
      <c r="E96" s="301"/>
      <c r="F96" s="301"/>
      <c r="G96" s="301"/>
      <c r="H96" s="301"/>
    </row>
    <row r="97" ht="21.75" customHeight="1">
      <c r="A97" s="311"/>
      <c r="B97" s="311"/>
      <c r="C97" s="311"/>
      <c r="D97" s="311"/>
      <c r="E97" s="311"/>
      <c r="F97" s="311"/>
      <c r="G97" s="311"/>
      <c r="H97" s="311"/>
    </row>
    <row r="98" ht="21.75" customHeight="1">
      <c r="A98" s="301"/>
      <c r="B98" s="301"/>
      <c r="C98" s="301"/>
      <c r="D98" s="301"/>
      <c r="E98" s="301"/>
      <c r="F98" s="301"/>
      <c r="G98" s="301"/>
      <c r="H98" s="301"/>
    </row>
    <row r="99" ht="21.75" customHeight="1">
      <c r="A99" s="311"/>
      <c r="B99" s="311"/>
      <c r="C99" s="311"/>
      <c r="D99" s="311"/>
      <c r="E99" s="311"/>
      <c r="F99" s="311"/>
      <c r="G99" s="311"/>
      <c r="H99" s="311"/>
    </row>
    <row r="100" ht="21.75" customHeight="1">
      <c r="A100" s="301"/>
      <c r="B100" s="301"/>
      <c r="C100" s="301"/>
      <c r="D100" s="301"/>
      <c r="E100" s="301"/>
      <c r="F100" s="301"/>
      <c r="G100" s="301"/>
      <c r="H100" s="301"/>
    </row>
    <row r="101" ht="21.75" customHeight="1">
      <c r="A101" s="311"/>
      <c r="B101" s="311"/>
      <c r="C101" s="311"/>
      <c r="D101" s="311"/>
      <c r="E101" s="311"/>
      <c r="F101" s="311"/>
      <c r="G101" s="311"/>
      <c r="H101" s="311"/>
    </row>
    <row r="102" ht="21.75" customHeight="1">
      <c r="A102" s="301"/>
      <c r="B102" s="301"/>
      <c r="C102" s="301"/>
      <c r="D102" s="301"/>
      <c r="E102" s="301"/>
      <c r="F102" s="301"/>
      <c r="G102" s="301"/>
      <c r="H102" s="301"/>
    </row>
    <row r="103" ht="21.75" customHeight="1">
      <c r="A103" s="311"/>
      <c r="B103" s="311"/>
      <c r="C103" s="311"/>
      <c r="D103" s="311"/>
      <c r="E103" s="311"/>
      <c r="F103" s="311"/>
      <c r="G103" s="311"/>
      <c r="H103" s="311"/>
    </row>
    <row r="104" ht="21.75" customHeight="1">
      <c r="A104" s="301"/>
      <c r="B104" s="301"/>
      <c r="C104" s="301"/>
      <c r="D104" s="301"/>
      <c r="E104" s="301"/>
      <c r="F104" s="301"/>
      <c r="G104" s="301"/>
      <c r="H104" s="301"/>
    </row>
    <row r="105" ht="21.75" customHeight="1">
      <c r="A105" s="311"/>
      <c r="B105" s="311"/>
      <c r="C105" s="311"/>
      <c r="D105" s="311"/>
      <c r="E105" s="311"/>
      <c r="F105" s="311"/>
      <c r="G105" s="311"/>
      <c r="H105" s="311"/>
    </row>
    <row r="106" ht="21.75" customHeight="1">
      <c r="A106" s="301"/>
      <c r="B106" s="301"/>
      <c r="C106" s="301"/>
      <c r="D106" s="301"/>
      <c r="E106" s="301"/>
      <c r="F106" s="301"/>
      <c r="G106" s="301"/>
      <c r="H106" s="301"/>
    </row>
    <row r="107" ht="21.75" customHeight="1">
      <c r="A107" s="311"/>
      <c r="B107" s="311"/>
      <c r="C107" s="311"/>
      <c r="D107" s="311"/>
      <c r="E107" s="311"/>
      <c r="F107" s="311"/>
      <c r="G107" s="311"/>
      <c r="H107" s="311"/>
    </row>
    <row r="108" ht="21.75" customHeight="1">
      <c r="A108" s="301"/>
      <c r="B108" s="301"/>
      <c r="C108" s="301"/>
      <c r="D108" s="301"/>
      <c r="E108" s="301"/>
      <c r="F108" s="301"/>
      <c r="G108" s="301"/>
      <c r="H108" s="301"/>
    </row>
    <row r="109" ht="21.75" customHeight="1">
      <c r="A109" s="311"/>
      <c r="B109" s="311"/>
      <c r="C109" s="311"/>
      <c r="D109" s="311"/>
      <c r="E109" s="311"/>
      <c r="F109" s="311"/>
      <c r="G109" s="311"/>
      <c r="H109" s="311"/>
    </row>
    <row r="110" ht="21.75" customHeight="1">
      <c r="A110" s="301"/>
      <c r="B110" s="301"/>
      <c r="C110" s="301"/>
      <c r="D110" s="301"/>
      <c r="E110" s="301"/>
      <c r="F110" s="301"/>
      <c r="G110" s="301"/>
      <c r="H110" s="301"/>
    </row>
    <row r="111" ht="21.75" customHeight="1">
      <c r="A111" s="311"/>
      <c r="B111" s="311"/>
      <c r="C111" s="311"/>
      <c r="D111" s="311"/>
      <c r="E111" s="311"/>
      <c r="F111" s="311"/>
      <c r="G111" s="311"/>
      <c r="H111" s="311"/>
    </row>
    <row r="112" ht="21.75" customHeight="1">
      <c r="A112" s="301"/>
      <c r="B112" s="301"/>
      <c r="C112" s="301"/>
      <c r="D112" s="301"/>
      <c r="E112" s="301"/>
      <c r="F112" s="301"/>
      <c r="G112" s="301"/>
      <c r="H112" s="301"/>
    </row>
    <row r="113" ht="21.75" customHeight="1">
      <c r="A113" s="311"/>
      <c r="B113" s="311"/>
      <c r="C113" s="311"/>
      <c r="D113" s="311"/>
      <c r="E113" s="311"/>
      <c r="F113" s="311"/>
      <c r="G113" s="311"/>
      <c r="H113" s="311"/>
    </row>
    <row r="114" ht="21.75" customHeight="1">
      <c r="A114" s="301"/>
      <c r="B114" s="301"/>
      <c r="C114" s="301"/>
      <c r="D114" s="301"/>
      <c r="E114" s="301"/>
      <c r="F114" s="301"/>
      <c r="G114" s="301"/>
      <c r="H114" s="301"/>
    </row>
    <row r="115" ht="21.75" customHeight="1">
      <c r="A115" s="311"/>
      <c r="B115" s="311"/>
      <c r="C115" s="311"/>
      <c r="D115" s="311"/>
      <c r="E115" s="311"/>
      <c r="F115" s="311"/>
      <c r="G115" s="311"/>
      <c r="H115" s="311"/>
    </row>
    <row r="116" ht="21.75" customHeight="1">
      <c r="A116" s="301"/>
      <c r="B116" s="301"/>
      <c r="C116" s="301"/>
      <c r="D116" s="301"/>
      <c r="E116" s="301"/>
      <c r="F116" s="301"/>
      <c r="G116" s="301"/>
      <c r="H116" s="301"/>
    </row>
    <row r="117" ht="21.75" customHeight="1">
      <c r="A117" s="311"/>
      <c r="B117" s="311"/>
      <c r="C117" s="311"/>
      <c r="D117" s="311"/>
      <c r="E117" s="311"/>
      <c r="F117" s="311"/>
      <c r="G117" s="311"/>
      <c r="H117" s="311"/>
    </row>
    <row r="118" ht="21.75" customHeight="1">
      <c r="A118" s="301"/>
      <c r="B118" s="301"/>
      <c r="C118" s="301"/>
      <c r="D118" s="301"/>
      <c r="E118" s="301"/>
      <c r="F118" s="301"/>
      <c r="G118" s="301"/>
      <c r="H118" s="301"/>
    </row>
    <row r="119" ht="21.75" customHeight="1">
      <c r="A119" s="311"/>
      <c r="B119" s="311"/>
      <c r="C119" s="311"/>
      <c r="D119" s="311"/>
      <c r="E119" s="311"/>
      <c r="F119" s="311"/>
      <c r="G119" s="311"/>
      <c r="H119" s="311"/>
    </row>
    <row r="120" ht="21.75" customHeight="1">
      <c r="A120" s="301"/>
      <c r="B120" s="301"/>
      <c r="C120" s="301"/>
      <c r="D120" s="301"/>
      <c r="E120" s="301"/>
      <c r="F120" s="301"/>
      <c r="G120" s="301"/>
      <c r="H120" s="301"/>
    </row>
    <row r="121" ht="21.75" customHeight="1">
      <c r="A121" s="311"/>
      <c r="B121" s="311"/>
      <c r="C121" s="311"/>
      <c r="D121" s="311"/>
      <c r="E121" s="311"/>
      <c r="F121" s="311"/>
      <c r="G121" s="311"/>
      <c r="H121" s="311"/>
    </row>
    <row r="122" ht="21.75" customHeight="1">
      <c r="A122" s="301"/>
      <c r="B122" s="301"/>
      <c r="C122" s="301"/>
      <c r="D122" s="301"/>
      <c r="E122" s="301"/>
      <c r="F122" s="301"/>
      <c r="G122" s="301"/>
      <c r="H122" s="301"/>
    </row>
    <row r="123" ht="21.75" customHeight="1">
      <c r="A123" s="311"/>
      <c r="B123" s="311"/>
      <c r="C123" s="311"/>
      <c r="D123" s="311"/>
      <c r="E123" s="311"/>
      <c r="F123" s="311"/>
      <c r="G123" s="311"/>
      <c r="H123" s="311"/>
    </row>
    <row r="124" ht="21.75" customHeight="1">
      <c r="A124" s="301"/>
      <c r="B124" s="301"/>
      <c r="C124" s="301"/>
      <c r="D124" s="301"/>
      <c r="E124" s="301"/>
      <c r="F124" s="301"/>
      <c r="G124" s="301"/>
      <c r="H124" s="301"/>
    </row>
    <row r="125" ht="21.75" customHeight="1">
      <c r="A125" s="311"/>
      <c r="B125" s="311"/>
      <c r="C125" s="311"/>
      <c r="D125" s="311"/>
      <c r="E125" s="311"/>
      <c r="F125" s="311"/>
      <c r="G125" s="311"/>
      <c r="H125" s="311"/>
    </row>
    <row r="126" ht="21.75" customHeight="1">
      <c r="A126" s="301"/>
      <c r="B126" s="301"/>
      <c r="C126" s="301"/>
      <c r="D126" s="301"/>
      <c r="E126" s="301"/>
      <c r="F126" s="301"/>
      <c r="G126" s="301"/>
      <c r="H126" s="301"/>
    </row>
    <row r="127" ht="21.75" customHeight="1">
      <c r="A127" s="311"/>
      <c r="B127" s="311"/>
      <c r="C127" s="311"/>
      <c r="D127" s="311"/>
      <c r="E127" s="311"/>
      <c r="F127" s="311"/>
      <c r="G127" s="311"/>
      <c r="H127" s="311"/>
    </row>
    <row r="128" ht="21.75" customHeight="1">
      <c r="A128" s="301"/>
      <c r="B128" s="301"/>
      <c r="C128" s="301"/>
      <c r="D128" s="301"/>
      <c r="E128" s="301"/>
      <c r="F128" s="301"/>
      <c r="G128" s="301"/>
      <c r="H128" s="301"/>
    </row>
    <row r="129" ht="21.75" customHeight="1">
      <c r="A129" s="311"/>
      <c r="B129" s="311"/>
      <c r="C129" s="311"/>
      <c r="D129" s="311"/>
      <c r="E129" s="311"/>
      <c r="F129" s="311"/>
      <c r="G129" s="311"/>
      <c r="H129" s="311"/>
    </row>
    <row r="130" ht="21.75" customHeight="1">
      <c r="A130" s="301"/>
      <c r="B130" s="301"/>
      <c r="C130" s="301"/>
      <c r="D130" s="301"/>
      <c r="E130" s="301"/>
      <c r="F130" s="301"/>
      <c r="G130" s="301"/>
      <c r="H130" s="301"/>
    </row>
    <row r="131" ht="21.75" customHeight="1">
      <c r="A131" s="311"/>
      <c r="B131" s="311"/>
      <c r="C131" s="311"/>
      <c r="D131" s="311"/>
      <c r="E131" s="311"/>
      <c r="F131" s="311"/>
      <c r="G131" s="311"/>
      <c r="H131" s="311"/>
    </row>
    <row r="132" ht="21.75" customHeight="1">
      <c r="A132" s="301"/>
      <c r="B132" s="301"/>
      <c r="C132" s="301"/>
      <c r="D132" s="301"/>
      <c r="E132" s="301"/>
      <c r="F132" s="301"/>
      <c r="G132" s="301"/>
      <c r="H132" s="301"/>
    </row>
    <row r="133" ht="21.75" customHeight="1">
      <c r="A133" s="311"/>
      <c r="B133" s="311"/>
      <c r="C133" s="311"/>
      <c r="D133" s="311"/>
      <c r="E133" s="311"/>
      <c r="F133" s="311"/>
      <c r="G133" s="311"/>
      <c r="H133" s="311"/>
    </row>
    <row r="134" ht="21.75" customHeight="1">
      <c r="A134" s="301"/>
      <c r="B134" s="301"/>
      <c r="C134" s="301"/>
      <c r="D134" s="301"/>
      <c r="E134" s="301"/>
      <c r="F134" s="301"/>
      <c r="G134" s="301"/>
      <c r="H134" s="301"/>
    </row>
    <row r="135" ht="21.75" customHeight="1">
      <c r="A135" s="311"/>
      <c r="B135" s="311"/>
      <c r="C135" s="311"/>
      <c r="D135" s="311"/>
      <c r="E135" s="311"/>
      <c r="F135" s="311"/>
      <c r="G135" s="311"/>
      <c r="H135" s="311"/>
    </row>
    <row r="136" ht="21.75" customHeight="1">
      <c r="A136" s="301"/>
      <c r="B136" s="301"/>
      <c r="C136" s="301"/>
      <c r="D136" s="301"/>
      <c r="E136" s="301"/>
      <c r="F136" s="301"/>
      <c r="G136" s="301"/>
      <c r="H136" s="301"/>
    </row>
    <row r="137" ht="21.75" customHeight="1">
      <c r="A137" s="311"/>
      <c r="B137" s="311"/>
      <c r="C137" s="311"/>
      <c r="D137" s="311"/>
      <c r="E137" s="311"/>
      <c r="F137" s="311"/>
      <c r="G137" s="311"/>
      <c r="H137" s="311"/>
    </row>
    <row r="138" ht="21.75" customHeight="1">
      <c r="A138" s="301"/>
      <c r="B138" s="301"/>
      <c r="C138" s="301"/>
      <c r="D138" s="301"/>
      <c r="E138" s="301"/>
      <c r="F138" s="301"/>
      <c r="G138" s="301"/>
      <c r="H138" s="301"/>
    </row>
    <row r="139" ht="21.75" customHeight="1">
      <c r="A139" s="311"/>
      <c r="B139" s="311"/>
      <c r="C139" s="311"/>
      <c r="D139" s="311"/>
      <c r="E139" s="311"/>
      <c r="F139" s="311"/>
      <c r="G139" s="311"/>
      <c r="H139" s="311"/>
    </row>
    <row r="140" ht="21.75" customHeight="1">
      <c r="A140" s="301"/>
      <c r="B140" s="301"/>
      <c r="C140" s="301"/>
      <c r="D140" s="301"/>
      <c r="E140" s="301"/>
      <c r="F140" s="301"/>
      <c r="G140" s="301"/>
      <c r="H140" s="301"/>
    </row>
    <row r="141" ht="21.75" customHeight="1">
      <c r="A141" s="311"/>
      <c r="B141" s="311"/>
      <c r="C141" s="311"/>
      <c r="D141" s="311"/>
      <c r="E141" s="311"/>
      <c r="F141" s="311"/>
      <c r="G141" s="311"/>
      <c r="H141" s="311"/>
    </row>
    <row r="142" ht="21.75" customHeight="1">
      <c r="A142" s="301"/>
      <c r="B142" s="301"/>
      <c r="C142" s="301"/>
      <c r="D142" s="301"/>
      <c r="E142" s="301"/>
      <c r="F142" s="301"/>
      <c r="G142" s="301"/>
      <c r="H142" s="301"/>
    </row>
    <row r="143" ht="21.75" customHeight="1">
      <c r="A143" s="311"/>
      <c r="B143" s="311"/>
      <c r="C143" s="311"/>
      <c r="D143" s="311"/>
      <c r="E143" s="311"/>
      <c r="F143" s="311"/>
      <c r="G143" s="311"/>
      <c r="H143" s="311"/>
    </row>
    <row r="144" ht="21.75" customHeight="1">
      <c r="A144" s="301"/>
      <c r="B144" s="301"/>
      <c r="C144" s="301"/>
      <c r="D144" s="301"/>
      <c r="E144" s="301"/>
      <c r="F144" s="301"/>
      <c r="G144" s="301"/>
      <c r="H144" s="301"/>
    </row>
    <row r="145" ht="21.75" customHeight="1">
      <c r="A145" s="311"/>
      <c r="B145" s="311"/>
      <c r="C145" s="311"/>
      <c r="D145" s="311"/>
      <c r="E145" s="311"/>
      <c r="F145" s="311"/>
      <c r="G145" s="311"/>
      <c r="H145" s="311"/>
    </row>
    <row r="146" ht="21.75" customHeight="1">
      <c r="A146" s="301"/>
      <c r="B146" s="301"/>
      <c r="C146" s="301"/>
      <c r="D146" s="301"/>
      <c r="E146" s="301"/>
      <c r="F146" s="301"/>
      <c r="G146" s="301"/>
      <c r="H146" s="301"/>
    </row>
    <row r="147" ht="21.75" customHeight="1">
      <c r="A147" s="311"/>
      <c r="B147" s="311"/>
      <c r="C147" s="311"/>
      <c r="D147" s="311"/>
      <c r="E147" s="311"/>
      <c r="F147" s="311"/>
      <c r="G147" s="311"/>
      <c r="H147" s="311"/>
    </row>
    <row r="148" ht="21.75" customHeight="1">
      <c r="A148" s="301"/>
      <c r="B148" s="301"/>
      <c r="C148" s="301"/>
      <c r="D148" s="301"/>
      <c r="E148" s="301"/>
      <c r="F148" s="301"/>
      <c r="G148" s="301"/>
      <c r="H148" s="301"/>
    </row>
    <row r="149" ht="21.75" customHeight="1">
      <c r="A149" s="311"/>
      <c r="B149" s="311"/>
      <c r="C149" s="311"/>
      <c r="D149" s="311"/>
      <c r="E149" s="311"/>
      <c r="F149" s="311"/>
      <c r="G149" s="311"/>
      <c r="H149" s="311"/>
    </row>
    <row r="150" ht="21.75" customHeight="1">
      <c r="A150" s="301"/>
      <c r="B150" s="301"/>
      <c r="C150" s="301"/>
      <c r="D150" s="301"/>
      <c r="E150" s="301"/>
      <c r="F150" s="301"/>
      <c r="G150" s="301"/>
      <c r="H150" s="301"/>
    </row>
    <row r="151" ht="21.75" customHeight="1">
      <c r="A151" s="311"/>
      <c r="B151" s="311"/>
      <c r="C151" s="311"/>
      <c r="D151" s="311"/>
      <c r="E151" s="311"/>
      <c r="F151" s="311"/>
      <c r="G151" s="311"/>
      <c r="H151" s="311"/>
    </row>
    <row r="152" ht="21.75" customHeight="1">
      <c r="A152" s="301"/>
      <c r="B152" s="301"/>
      <c r="C152" s="301"/>
      <c r="D152" s="301"/>
      <c r="E152" s="301"/>
      <c r="F152" s="301"/>
      <c r="G152" s="301"/>
      <c r="H152" s="301"/>
    </row>
    <row r="153" ht="21.75" customHeight="1">
      <c r="A153" s="311"/>
      <c r="B153" s="311"/>
      <c r="C153" s="311"/>
      <c r="D153" s="311"/>
      <c r="E153" s="311"/>
      <c r="F153" s="311"/>
      <c r="G153" s="311"/>
      <c r="H153" s="311"/>
    </row>
    <row r="154" ht="21.75" customHeight="1">
      <c r="A154" s="301"/>
      <c r="B154" s="301"/>
      <c r="C154" s="301"/>
      <c r="D154" s="301"/>
      <c r="E154" s="301"/>
      <c r="F154" s="301"/>
      <c r="G154" s="301"/>
      <c r="H154" s="301"/>
    </row>
    <row r="155" ht="21.75" customHeight="1">
      <c r="A155" s="311"/>
      <c r="B155" s="311"/>
      <c r="C155" s="311"/>
      <c r="D155" s="311"/>
      <c r="E155" s="311"/>
      <c r="F155" s="311"/>
      <c r="G155" s="311"/>
      <c r="H155" s="311"/>
    </row>
    <row r="156" ht="21.75" customHeight="1">
      <c r="A156" s="301"/>
      <c r="B156" s="301"/>
      <c r="C156" s="301"/>
      <c r="D156" s="301"/>
      <c r="E156" s="301"/>
      <c r="F156" s="301"/>
      <c r="G156" s="301"/>
      <c r="H156" s="301"/>
    </row>
    <row r="157" ht="21.75" customHeight="1">
      <c r="A157" s="311"/>
      <c r="B157" s="311"/>
      <c r="C157" s="311"/>
      <c r="D157" s="311"/>
      <c r="E157" s="311"/>
      <c r="F157" s="311"/>
      <c r="G157" s="311"/>
      <c r="H157" s="311"/>
    </row>
    <row r="158" ht="21.75" customHeight="1">
      <c r="A158" s="301"/>
      <c r="B158" s="301"/>
      <c r="C158" s="301"/>
      <c r="D158" s="301"/>
      <c r="E158" s="301"/>
      <c r="F158" s="301"/>
      <c r="G158" s="301"/>
      <c r="H158" s="301"/>
    </row>
    <row r="159" ht="21.75" customHeight="1">
      <c r="A159" s="311"/>
      <c r="B159" s="311"/>
      <c r="C159" s="311"/>
      <c r="D159" s="311"/>
      <c r="E159" s="311"/>
      <c r="F159" s="311"/>
      <c r="G159" s="311"/>
      <c r="H159" s="311"/>
    </row>
    <row r="160" ht="21.75" customHeight="1">
      <c r="A160" s="301"/>
      <c r="B160" s="301"/>
      <c r="C160" s="301"/>
      <c r="D160" s="301"/>
      <c r="E160" s="301"/>
      <c r="F160" s="301"/>
      <c r="G160" s="301"/>
      <c r="H160" s="301"/>
    </row>
    <row r="161" ht="21.75" customHeight="1">
      <c r="A161" s="311"/>
      <c r="B161" s="311"/>
      <c r="C161" s="311"/>
      <c r="D161" s="311"/>
      <c r="E161" s="311"/>
      <c r="F161" s="311"/>
      <c r="G161" s="311"/>
      <c r="H161" s="311"/>
    </row>
    <row r="162" ht="21.75" customHeight="1">
      <c r="A162" s="301"/>
      <c r="B162" s="301"/>
      <c r="C162" s="301"/>
      <c r="D162" s="301"/>
      <c r="E162" s="301"/>
      <c r="F162" s="301"/>
      <c r="G162" s="301"/>
      <c r="H162" s="301"/>
    </row>
    <row r="163" ht="21.75" customHeight="1">
      <c r="A163" s="311"/>
      <c r="B163" s="311"/>
      <c r="C163" s="311"/>
      <c r="D163" s="311"/>
      <c r="E163" s="311"/>
      <c r="F163" s="311"/>
      <c r="G163" s="311"/>
      <c r="H163" s="311"/>
    </row>
    <row r="164" ht="21.75" customHeight="1">
      <c r="A164" s="301"/>
      <c r="B164" s="301"/>
      <c r="C164" s="301"/>
      <c r="D164" s="301"/>
      <c r="E164" s="301"/>
      <c r="F164" s="301"/>
      <c r="G164" s="301"/>
      <c r="H164" s="301"/>
    </row>
    <row r="165" ht="21.75" customHeight="1">
      <c r="A165" s="311"/>
      <c r="B165" s="311"/>
      <c r="C165" s="311"/>
      <c r="D165" s="311"/>
      <c r="E165" s="311"/>
      <c r="F165" s="311"/>
      <c r="G165" s="311"/>
      <c r="H165" s="311"/>
    </row>
    <row r="166" ht="21.75" customHeight="1">
      <c r="A166" s="301"/>
      <c r="B166" s="301"/>
      <c r="C166" s="301"/>
      <c r="D166" s="301"/>
      <c r="E166" s="301"/>
      <c r="F166" s="301"/>
      <c r="G166" s="301"/>
      <c r="H166" s="301"/>
    </row>
    <row r="167" ht="21.75" customHeight="1">
      <c r="A167" s="311"/>
      <c r="B167" s="311"/>
      <c r="C167" s="311"/>
      <c r="D167" s="311"/>
      <c r="E167" s="311"/>
      <c r="F167" s="311"/>
      <c r="G167" s="311"/>
      <c r="H167" s="311"/>
    </row>
    <row r="168" ht="21.75" customHeight="1">
      <c r="A168" s="301"/>
      <c r="B168" s="301"/>
      <c r="C168" s="301"/>
      <c r="D168" s="301"/>
      <c r="E168" s="301"/>
      <c r="F168" s="301"/>
      <c r="G168" s="301"/>
      <c r="H168" s="301"/>
    </row>
    <row r="169" ht="21.75" customHeight="1">
      <c r="A169" s="311"/>
      <c r="B169" s="311"/>
      <c r="C169" s="311"/>
      <c r="D169" s="311"/>
      <c r="E169" s="311"/>
      <c r="F169" s="311"/>
      <c r="G169" s="311"/>
      <c r="H169" s="311"/>
    </row>
    <row r="170" ht="21.75" customHeight="1">
      <c r="A170" s="301"/>
      <c r="B170" s="301"/>
      <c r="C170" s="301"/>
      <c r="D170" s="301"/>
      <c r="E170" s="301"/>
      <c r="F170" s="301"/>
      <c r="G170" s="301"/>
      <c r="H170" s="301"/>
    </row>
    <row r="171" ht="21.75" customHeight="1">
      <c r="A171" s="311"/>
      <c r="B171" s="311"/>
      <c r="C171" s="311"/>
      <c r="D171" s="311"/>
      <c r="E171" s="311"/>
      <c r="F171" s="311"/>
      <c r="G171" s="311"/>
      <c r="H171" s="311"/>
    </row>
    <row r="172" ht="21.75" customHeight="1">
      <c r="A172" s="301"/>
      <c r="B172" s="301"/>
      <c r="C172" s="301"/>
      <c r="D172" s="301"/>
      <c r="E172" s="301"/>
      <c r="F172" s="301"/>
      <c r="G172" s="301"/>
      <c r="H172" s="301"/>
    </row>
    <row r="173" ht="21.75" customHeight="1">
      <c r="A173" s="311"/>
      <c r="B173" s="311"/>
      <c r="C173" s="311"/>
      <c r="D173" s="311"/>
      <c r="E173" s="311"/>
      <c r="F173" s="311"/>
      <c r="G173" s="311"/>
      <c r="H173" s="311"/>
    </row>
    <row r="174" ht="21.75" customHeight="1">
      <c r="A174" s="301"/>
      <c r="B174" s="301"/>
      <c r="C174" s="301"/>
      <c r="D174" s="301"/>
      <c r="E174" s="301"/>
      <c r="F174" s="301"/>
      <c r="G174" s="301"/>
      <c r="H174" s="301"/>
    </row>
    <row r="175" ht="21.75" customHeight="1">
      <c r="A175" s="311"/>
      <c r="B175" s="311"/>
      <c r="C175" s="311"/>
      <c r="D175" s="311"/>
      <c r="E175" s="311"/>
      <c r="F175" s="311"/>
      <c r="G175" s="311"/>
      <c r="H175" s="311"/>
    </row>
    <row r="176" ht="21.75" customHeight="1">
      <c r="A176" s="301"/>
      <c r="B176" s="301"/>
      <c r="C176" s="301"/>
      <c r="D176" s="301"/>
      <c r="E176" s="301"/>
      <c r="F176" s="301"/>
      <c r="G176" s="301"/>
      <c r="H176" s="301"/>
    </row>
    <row r="177" ht="21.75" customHeight="1">
      <c r="A177" s="311"/>
      <c r="B177" s="311"/>
      <c r="C177" s="311"/>
      <c r="D177" s="311"/>
      <c r="E177" s="311"/>
      <c r="F177" s="311"/>
      <c r="G177" s="311"/>
      <c r="H177" s="311"/>
    </row>
    <row r="178" ht="21.75" customHeight="1">
      <c r="A178" s="301"/>
      <c r="B178" s="301"/>
      <c r="C178" s="301"/>
      <c r="D178" s="301"/>
      <c r="E178" s="301"/>
      <c r="F178" s="301"/>
      <c r="G178" s="301"/>
      <c r="H178" s="301"/>
    </row>
    <row r="179" ht="21.75" customHeight="1">
      <c r="A179" s="311"/>
      <c r="B179" s="311"/>
      <c r="C179" s="311"/>
      <c r="D179" s="311"/>
      <c r="E179" s="311"/>
      <c r="F179" s="311"/>
      <c r="G179" s="311"/>
      <c r="H179" s="311"/>
    </row>
    <row r="180" ht="21.75" customHeight="1">
      <c r="A180" s="301"/>
      <c r="B180" s="301"/>
      <c r="C180" s="301"/>
      <c r="D180" s="301"/>
      <c r="E180" s="301"/>
      <c r="F180" s="301"/>
      <c r="G180" s="301"/>
      <c r="H180" s="301"/>
    </row>
    <row r="181" ht="21.75" customHeight="1">
      <c r="A181" s="311"/>
      <c r="B181" s="311"/>
      <c r="C181" s="311"/>
      <c r="D181" s="311"/>
      <c r="E181" s="311"/>
      <c r="F181" s="311"/>
      <c r="G181" s="311"/>
      <c r="H181" s="311"/>
    </row>
    <row r="182" ht="21.75" customHeight="1">
      <c r="A182" s="301"/>
      <c r="B182" s="301"/>
      <c r="C182" s="301"/>
      <c r="D182" s="301"/>
      <c r="E182" s="301"/>
      <c r="F182" s="301"/>
      <c r="G182" s="301"/>
      <c r="H182" s="301"/>
    </row>
    <row r="183" ht="21.75" customHeight="1">
      <c r="A183" s="311"/>
      <c r="B183" s="311"/>
      <c r="C183" s="311"/>
      <c r="D183" s="311"/>
      <c r="E183" s="311"/>
      <c r="F183" s="311"/>
      <c r="G183" s="311"/>
      <c r="H183" s="311"/>
    </row>
    <row r="184" ht="21.75" customHeight="1">
      <c r="A184" s="301"/>
      <c r="B184" s="301"/>
      <c r="C184" s="301"/>
      <c r="D184" s="301"/>
      <c r="E184" s="301"/>
      <c r="F184" s="301"/>
      <c r="G184" s="301"/>
      <c r="H184" s="301"/>
    </row>
    <row r="185" ht="21.75" customHeight="1">
      <c r="A185" s="311"/>
      <c r="B185" s="311"/>
      <c r="C185" s="311"/>
      <c r="D185" s="311"/>
      <c r="E185" s="311"/>
      <c r="F185" s="311"/>
      <c r="G185" s="311"/>
      <c r="H185" s="311"/>
    </row>
    <row r="186" ht="21.75" customHeight="1">
      <c r="A186" s="301"/>
      <c r="B186" s="301"/>
      <c r="C186" s="301"/>
      <c r="D186" s="301"/>
      <c r="E186" s="301"/>
      <c r="F186" s="301"/>
      <c r="G186" s="301"/>
      <c r="H186" s="301"/>
    </row>
    <row r="187" ht="21.75" customHeight="1">
      <c r="A187" s="311"/>
      <c r="B187" s="311"/>
      <c r="C187" s="311"/>
      <c r="D187" s="311"/>
      <c r="E187" s="311"/>
      <c r="F187" s="311"/>
      <c r="G187" s="311"/>
      <c r="H187" s="311"/>
    </row>
    <row r="188" ht="21.75" customHeight="1">
      <c r="A188" s="301"/>
      <c r="B188" s="301"/>
      <c r="C188" s="301"/>
      <c r="D188" s="301"/>
      <c r="E188" s="301"/>
      <c r="F188" s="301"/>
      <c r="G188" s="301"/>
      <c r="H188" s="301"/>
    </row>
    <row r="189" ht="21.75" customHeight="1">
      <c r="A189" s="311"/>
      <c r="B189" s="311"/>
      <c r="C189" s="311"/>
      <c r="D189" s="311"/>
      <c r="E189" s="311"/>
      <c r="F189" s="311"/>
      <c r="G189" s="311"/>
      <c r="H189" s="311"/>
    </row>
    <row r="190" ht="21.75" customHeight="1">
      <c r="A190" s="301"/>
      <c r="B190" s="301"/>
      <c r="C190" s="301"/>
      <c r="D190" s="301"/>
      <c r="E190" s="301"/>
      <c r="F190" s="301"/>
      <c r="G190" s="301"/>
      <c r="H190" s="301"/>
    </row>
    <row r="191" ht="21.75" customHeight="1">
      <c r="A191" s="311"/>
      <c r="B191" s="311"/>
      <c r="C191" s="311"/>
      <c r="D191" s="311"/>
      <c r="E191" s="311"/>
      <c r="F191" s="311"/>
      <c r="G191" s="311"/>
      <c r="H191" s="311"/>
    </row>
    <row r="192" ht="21.75" customHeight="1">
      <c r="A192" s="301"/>
      <c r="B192" s="301"/>
      <c r="C192" s="301"/>
      <c r="D192" s="301"/>
      <c r="E192" s="301"/>
      <c r="F192" s="301"/>
      <c r="G192" s="301"/>
      <c r="H192" s="301"/>
    </row>
    <row r="193" ht="21.75" customHeight="1">
      <c r="A193" s="311"/>
      <c r="B193" s="311"/>
      <c r="C193" s="311"/>
      <c r="D193" s="311"/>
      <c r="E193" s="311"/>
      <c r="F193" s="311"/>
      <c r="G193" s="311"/>
      <c r="H193" s="311"/>
    </row>
    <row r="194" ht="21.75" customHeight="1">
      <c r="A194" s="301"/>
      <c r="B194" s="301"/>
      <c r="C194" s="301"/>
      <c r="D194" s="301"/>
      <c r="E194" s="301"/>
      <c r="F194" s="301"/>
      <c r="G194" s="301"/>
      <c r="H194" s="301"/>
    </row>
    <row r="195" ht="21.75" customHeight="1">
      <c r="A195" s="311"/>
      <c r="B195" s="311"/>
      <c r="C195" s="311"/>
      <c r="D195" s="311"/>
      <c r="E195" s="311"/>
      <c r="F195" s="311"/>
      <c r="G195" s="311"/>
      <c r="H195" s="311"/>
    </row>
    <row r="196" ht="21.75" customHeight="1">
      <c r="A196" s="301"/>
      <c r="B196" s="301"/>
      <c r="C196" s="301"/>
      <c r="D196" s="301"/>
      <c r="E196" s="301"/>
      <c r="F196" s="301"/>
      <c r="G196" s="301"/>
      <c r="H196" s="301"/>
    </row>
    <row r="197" ht="21.75" customHeight="1">
      <c r="A197" s="311"/>
      <c r="B197" s="311"/>
      <c r="C197" s="311"/>
      <c r="D197" s="311"/>
      <c r="E197" s="311"/>
      <c r="F197" s="311"/>
      <c r="G197" s="311"/>
      <c r="H197" s="311"/>
    </row>
    <row r="198" ht="21.75" customHeight="1">
      <c r="A198" s="301"/>
      <c r="B198" s="301"/>
      <c r="C198" s="301"/>
      <c r="D198" s="301"/>
      <c r="E198" s="301"/>
      <c r="F198" s="301"/>
      <c r="G198" s="301"/>
      <c r="H198" s="301"/>
    </row>
    <row r="199" ht="21.75" customHeight="1">
      <c r="A199" s="311"/>
      <c r="B199" s="311"/>
      <c r="C199" s="311"/>
      <c r="D199" s="311"/>
      <c r="E199" s="311"/>
      <c r="F199" s="311"/>
      <c r="G199" s="311"/>
      <c r="H199" s="311"/>
    </row>
    <row r="200" ht="21.75" customHeight="1">
      <c r="A200" s="301"/>
      <c r="B200" s="301"/>
      <c r="C200" s="301"/>
      <c r="D200" s="301"/>
      <c r="E200" s="301"/>
      <c r="F200" s="301"/>
      <c r="G200" s="301"/>
      <c r="H200" s="301"/>
    </row>
    <row r="201" ht="21.75" customHeight="1">
      <c r="A201" s="311"/>
      <c r="B201" s="311"/>
      <c r="C201" s="311"/>
      <c r="D201" s="311"/>
      <c r="E201" s="311"/>
      <c r="F201" s="311"/>
      <c r="G201" s="311"/>
      <c r="H201" s="311"/>
    </row>
    <row r="202" ht="21.75" customHeight="1">
      <c r="A202" s="301"/>
      <c r="B202" s="301"/>
      <c r="C202" s="301"/>
      <c r="D202" s="301"/>
      <c r="E202" s="301"/>
      <c r="F202" s="301"/>
      <c r="G202" s="301"/>
      <c r="H202" s="301"/>
    </row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2:$H$202"/>
  <mergeCells count="1">
    <mergeCell ref="A1:H1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</hyperlinks>
  <printOptions/>
  <pageMargins bottom="1.0" footer="0.0" header="0.0" left="0.75" right="0.75" top="1.0"/>
  <pageSetup orientation="landscape"/>
  <drawing r:id="rId2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6" width="19.25"/>
    <col customWidth="1" min="7" max="26" width="7.63"/>
  </cols>
  <sheetData>
    <row r="1" ht="30.0" customHeight="1">
      <c r="A1" s="316" t="s">
        <v>652</v>
      </c>
      <c r="B1" s="288"/>
      <c r="C1" s="288"/>
      <c r="D1" s="288"/>
      <c r="E1" s="288"/>
      <c r="F1" s="289"/>
    </row>
    <row r="2" ht="36.0" customHeight="1">
      <c r="A2" s="317" t="s">
        <v>653</v>
      </c>
      <c r="B2" s="318" t="s">
        <v>654</v>
      </c>
      <c r="C2" s="319" t="s">
        <v>655</v>
      </c>
      <c r="D2" s="320" t="s">
        <v>656</v>
      </c>
      <c r="E2" s="321" t="s">
        <v>657</v>
      </c>
      <c r="F2" s="322" t="s">
        <v>658</v>
      </c>
    </row>
    <row r="3" ht="36.0" customHeight="1">
      <c r="A3" s="323">
        <f>COUNTA('✅ Купили у нас'!A3:A202)</f>
        <v>9</v>
      </c>
      <c r="B3" s="324">
        <f>COUNTA('❌ Купили у конкурентов'!A3:A202)</f>
        <v>24</v>
      </c>
      <c r="C3" s="325">
        <f>IFERROR(B3/(B3+B4),"-")</f>
        <v>1</v>
      </c>
      <c r="D3" s="326" t="str">
        <f>IFERROR(AVERAGE('✅ Купили у нас'!D3:D202),"-")</f>
        <v>-</v>
      </c>
      <c r="E3" s="327" t="str">
        <f>IFERROR(AVERAGE('❌ Купили у конкурентов'!E3:E202),"-")</f>
        <v>-</v>
      </c>
      <c r="F3" s="328" t="str">
        <f>IFERROR(D3-E3,"-")</f>
        <v>-</v>
      </c>
    </row>
    <row r="5" ht="24.0" customHeight="1">
      <c r="A5" s="329" t="s">
        <v>659</v>
      </c>
      <c r="B5" s="288"/>
      <c r="C5" s="289"/>
      <c r="D5" s="330" t="s">
        <v>660</v>
      </c>
      <c r="E5" s="288"/>
      <c r="F5" s="289"/>
    </row>
    <row r="6" ht="18.0" customHeight="1">
      <c r="A6" s="331" t="s">
        <v>661</v>
      </c>
      <c r="D6" s="331" t="s">
        <v>662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">
    <mergeCell ref="A1:F1"/>
    <mergeCell ref="A5:C5"/>
    <mergeCell ref="D5:F5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663</v>
      </c>
      <c r="S1" s="2"/>
      <c r="T1" s="2"/>
      <c r="U1" s="2"/>
      <c r="V1" s="2"/>
      <c r="W1" s="2"/>
      <c r="X1" s="2"/>
      <c r="Y1" s="2"/>
      <c r="Z1" s="2"/>
    </row>
    <row r="2">
      <c r="A2" s="3" t="s">
        <v>664</v>
      </c>
      <c r="S2" s="2"/>
      <c r="T2" s="2"/>
      <c r="U2" s="2"/>
      <c r="V2" s="2"/>
      <c r="W2" s="2"/>
      <c r="X2" s="2"/>
      <c r="Y2" s="2"/>
      <c r="Z2" s="2"/>
    </row>
    <row r="3">
      <c r="A3" s="332" t="s">
        <v>2</v>
      </c>
      <c r="E3" s="332" t="s">
        <v>3</v>
      </c>
      <c r="I3" s="332" t="s">
        <v>4</v>
      </c>
      <c r="N3" s="332" t="s">
        <v>5</v>
      </c>
      <c r="S3" s="2"/>
      <c r="T3" s="2"/>
      <c r="U3" s="2"/>
      <c r="V3" s="2"/>
      <c r="W3" s="2"/>
      <c r="X3" s="2"/>
      <c r="Y3" s="2"/>
      <c r="Z3" s="2"/>
    </row>
    <row r="4">
      <c r="A4" s="5"/>
      <c r="B4" s="5"/>
      <c r="C4" s="5"/>
      <c r="D4" s="5"/>
      <c r="E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6</v>
      </c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7" t="s">
        <v>665</v>
      </c>
      <c r="C7" s="8"/>
      <c r="D7" s="9"/>
      <c r="E7" s="2"/>
      <c r="F7" s="7" t="s">
        <v>666</v>
      </c>
      <c r="G7" s="8"/>
      <c r="H7" s="9"/>
      <c r="I7" s="2"/>
      <c r="J7" s="2"/>
      <c r="K7" s="7" t="s">
        <v>16</v>
      </c>
      <c r="L7" s="8"/>
      <c r="M7" s="9"/>
      <c r="N7" s="2"/>
      <c r="O7" s="7" t="s">
        <v>667</v>
      </c>
      <c r="P7" s="8"/>
      <c r="Q7" s="9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0" t="s">
        <v>668</v>
      </c>
      <c r="D8" s="11"/>
      <c r="E8" s="2"/>
      <c r="F8" s="10" t="s">
        <v>669</v>
      </c>
      <c r="H8" s="11"/>
      <c r="I8" s="2"/>
      <c r="J8" s="2"/>
      <c r="K8" s="10" t="s">
        <v>670</v>
      </c>
      <c r="M8" s="11"/>
      <c r="N8" s="2"/>
      <c r="O8" s="10" t="s">
        <v>671</v>
      </c>
      <c r="Q8" s="11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2"/>
      <c r="D9" s="11"/>
      <c r="E9" s="2"/>
      <c r="F9" s="12"/>
      <c r="H9" s="11"/>
      <c r="I9" s="2"/>
      <c r="J9" s="2"/>
      <c r="K9" s="12"/>
      <c r="M9" s="11"/>
      <c r="N9" s="2"/>
      <c r="O9" s="12"/>
      <c r="Q9" s="11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3"/>
      <c r="C10" s="14"/>
      <c r="D10" s="15"/>
      <c r="E10" s="2"/>
      <c r="F10" s="13"/>
      <c r="G10" s="14"/>
      <c r="H10" s="15"/>
      <c r="I10" s="2"/>
      <c r="J10" s="2"/>
      <c r="K10" s="13"/>
      <c r="L10" s="14"/>
      <c r="M10" s="15"/>
      <c r="N10" s="2"/>
      <c r="O10" s="13"/>
      <c r="P10" s="14"/>
      <c r="Q10" s="15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6"/>
      <c r="C11" s="333" t="s">
        <v>15</v>
      </c>
      <c r="D11" s="18"/>
      <c r="E11" s="2"/>
      <c r="F11" s="2"/>
      <c r="G11" s="333" t="s">
        <v>15</v>
      </c>
      <c r="H11" s="18"/>
      <c r="I11" s="2"/>
      <c r="J11" s="2"/>
      <c r="K11" s="2"/>
      <c r="L11" s="333" t="s">
        <v>15</v>
      </c>
      <c r="M11" s="18"/>
      <c r="N11" s="2"/>
      <c r="O11" s="2"/>
      <c r="P11" s="333" t="s">
        <v>15</v>
      </c>
      <c r="Q11" s="18"/>
      <c r="R11" s="2"/>
      <c r="S11" s="2"/>
      <c r="T11" s="2"/>
      <c r="U11" s="2"/>
      <c r="V11" s="2"/>
      <c r="W11" s="2"/>
      <c r="X11" s="2"/>
      <c r="Y11" s="2"/>
      <c r="Z11" s="2"/>
    </row>
    <row r="12" ht="29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0" customHeight="1">
      <c r="A13" s="334" t="s">
        <v>672</v>
      </c>
      <c r="S13" s="2"/>
      <c r="T13" s="2"/>
      <c r="U13" s="2"/>
      <c r="V13" s="2"/>
      <c r="W13" s="2"/>
      <c r="X13" s="2"/>
      <c r="Y13" s="2"/>
      <c r="Z13" s="2"/>
    </row>
    <row r="14" ht="43.5" customHeight="1">
      <c r="A14" s="335" t="s">
        <v>673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5"/>
      <c r="S14" s="2"/>
      <c r="T14" s="2"/>
      <c r="U14" s="2"/>
      <c r="V14" s="2"/>
      <c r="W14" s="2"/>
      <c r="X14" s="2"/>
      <c r="Y14" s="2"/>
      <c r="Z14" s="2"/>
    </row>
    <row r="15" ht="27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36" t="s">
        <v>674</v>
      </c>
      <c r="B17" s="337" t="s">
        <v>675</v>
      </c>
      <c r="C17" s="8"/>
      <c r="D17" s="337" t="s">
        <v>676</v>
      </c>
      <c r="E17" s="8"/>
      <c r="F17" s="8"/>
      <c r="G17" s="337" t="s">
        <v>677</v>
      </c>
      <c r="H17" s="8"/>
      <c r="I17" s="337" t="s">
        <v>678</v>
      </c>
      <c r="J17" s="8"/>
      <c r="K17" s="8"/>
      <c r="L17" s="8"/>
      <c r="M17" s="337" t="s">
        <v>679</v>
      </c>
      <c r="N17" s="337" t="s">
        <v>680</v>
      </c>
      <c r="O17" s="8"/>
      <c r="P17" s="337" t="s">
        <v>681</v>
      </c>
      <c r="Q17" s="8"/>
      <c r="R17" s="9"/>
      <c r="S17" s="2"/>
      <c r="T17" s="2"/>
      <c r="U17" s="2"/>
      <c r="V17" s="2"/>
      <c r="W17" s="2"/>
      <c r="X17" s="2"/>
      <c r="Y17" s="2"/>
      <c r="Z17" s="2"/>
    </row>
    <row r="18">
      <c r="A18" s="338"/>
      <c r="B18" s="339"/>
      <c r="C18" s="339"/>
      <c r="D18" s="339"/>
      <c r="E18" s="339"/>
      <c r="F18" s="339"/>
      <c r="G18" s="339"/>
      <c r="H18" s="339"/>
      <c r="I18" s="339"/>
      <c r="J18" s="339"/>
      <c r="K18" s="339"/>
      <c r="L18" s="339"/>
      <c r="M18" s="339"/>
      <c r="N18" s="339"/>
      <c r="O18" s="339"/>
      <c r="P18" s="339"/>
      <c r="Q18" s="339"/>
      <c r="R18" s="340"/>
      <c r="S18" s="2"/>
      <c r="T18" s="2"/>
      <c r="U18" s="2"/>
      <c r="V18" s="2"/>
      <c r="W18" s="2"/>
      <c r="X18" s="2"/>
      <c r="Y18" s="2"/>
      <c r="Z18" s="2"/>
    </row>
    <row r="19">
      <c r="A19" s="341">
        <v>1.0</v>
      </c>
      <c r="B19" s="342" t="s">
        <v>682</v>
      </c>
      <c r="C19" s="343"/>
      <c r="D19" s="342" t="s">
        <v>683</v>
      </c>
      <c r="E19" s="35"/>
      <c r="F19" s="343"/>
      <c r="G19" s="342" t="s">
        <v>684</v>
      </c>
      <c r="H19" s="343"/>
      <c r="I19" s="342" t="s">
        <v>685</v>
      </c>
      <c r="J19" s="35"/>
      <c r="K19" s="35"/>
      <c r="L19" s="343"/>
      <c r="M19" s="344" t="s">
        <v>686</v>
      </c>
      <c r="N19" s="342" t="s">
        <v>687</v>
      </c>
      <c r="O19" s="343"/>
      <c r="P19" s="342" t="s">
        <v>688</v>
      </c>
      <c r="Q19" s="35"/>
      <c r="R19" s="36"/>
      <c r="S19" s="2"/>
      <c r="T19" s="2"/>
      <c r="U19" s="2"/>
      <c r="V19" s="2"/>
      <c r="W19" s="2"/>
      <c r="X19" s="2"/>
      <c r="Y19" s="2"/>
      <c r="Z19" s="2"/>
    </row>
    <row r="20">
      <c r="A20" s="345">
        <v>2.0</v>
      </c>
      <c r="B20" s="346" t="s">
        <v>689</v>
      </c>
      <c r="C20" s="343"/>
      <c r="D20" s="346" t="s">
        <v>690</v>
      </c>
      <c r="E20" s="35"/>
      <c r="F20" s="343"/>
      <c r="G20" s="346" t="s">
        <v>691</v>
      </c>
      <c r="H20" s="343"/>
      <c r="I20" s="346" t="s">
        <v>692</v>
      </c>
      <c r="J20" s="35"/>
      <c r="K20" s="35"/>
      <c r="L20" s="343"/>
      <c r="M20" s="347" t="s">
        <v>693</v>
      </c>
      <c r="N20" s="346" t="s">
        <v>694</v>
      </c>
      <c r="O20" s="343"/>
      <c r="P20" s="346" t="s">
        <v>695</v>
      </c>
      <c r="Q20" s="35"/>
      <c r="R20" s="36"/>
      <c r="S20" s="2"/>
      <c r="T20" s="2"/>
      <c r="U20" s="2"/>
      <c r="V20" s="2"/>
      <c r="W20" s="2"/>
      <c r="X20" s="2"/>
      <c r="Y20" s="2"/>
      <c r="Z20" s="2"/>
    </row>
    <row r="21">
      <c r="A21" s="341">
        <v>3.0</v>
      </c>
      <c r="B21" s="342" t="s">
        <v>696</v>
      </c>
      <c r="C21" s="343"/>
      <c r="D21" s="342" t="s">
        <v>697</v>
      </c>
      <c r="E21" s="35"/>
      <c r="F21" s="343"/>
      <c r="G21" s="342" t="s">
        <v>698</v>
      </c>
      <c r="H21" s="343"/>
      <c r="I21" s="342" t="s">
        <v>699</v>
      </c>
      <c r="J21" s="35"/>
      <c r="K21" s="35"/>
      <c r="L21" s="343"/>
      <c r="M21" s="348"/>
      <c r="N21" s="342" t="s">
        <v>700</v>
      </c>
      <c r="O21" s="343"/>
      <c r="P21" s="342" t="s">
        <v>701</v>
      </c>
      <c r="Q21" s="35"/>
      <c r="R21" s="36"/>
      <c r="S21" s="2"/>
      <c r="T21" s="2"/>
      <c r="U21" s="2"/>
      <c r="V21" s="2"/>
      <c r="W21" s="2"/>
      <c r="X21" s="2"/>
      <c r="Y21" s="2"/>
      <c r="Z21" s="2"/>
    </row>
    <row r="22">
      <c r="A22" s="349">
        <v>4.0</v>
      </c>
      <c r="B22" s="350" t="s">
        <v>702</v>
      </c>
      <c r="C22" s="343"/>
      <c r="D22" s="350" t="s">
        <v>703</v>
      </c>
      <c r="E22" s="35"/>
      <c r="F22" s="343"/>
      <c r="G22" s="350" t="s">
        <v>704</v>
      </c>
      <c r="H22" s="343"/>
      <c r="I22" s="350" t="s">
        <v>705</v>
      </c>
      <c r="J22" s="35"/>
      <c r="K22" s="35"/>
      <c r="L22" s="343"/>
      <c r="M22" s="351" t="s">
        <v>706</v>
      </c>
      <c r="N22" s="350" t="s">
        <v>707</v>
      </c>
      <c r="O22" s="343"/>
      <c r="P22" s="350" t="s">
        <v>708</v>
      </c>
      <c r="Q22" s="35"/>
      <c r="R22" s="36"/>
      <c r="S22" s="2"/>
      <c r="T22" s="2"/>
      <c r="U22" s="2"/>
      <c r="V22" s="2"/>
      <c r="W22" s="2"/>
      <c r="X22" s="2"/>
      <c r="Y22" s="2"/>
      <c r="Z22" s="2"/>
    </row>
    <row r="23">
      <c r="A23" s="341">
        <v>5.0</v>
      </c>
      <c r="B23" s="342" t="s">
        <v>709</v>
      </c>
      <c r="C23" s="343"/>
      <c r="D23" s="342" t="s">
        <v>710</v>
      </c>
      <c r="E23" s="35"/>
      <c r="F23" s="343"/>
      <c r="G23" s="342" t="s">
        <v>711</v>
      </c>
      <c r="H23" s="343"/>
      <c r="I23" s="342" t="s">
        <v>712</v>
      </c>
      <c r="J23" s="35"/>
      <c r="K23" s="35"/>
      <c r="L23" s="343"/>
      <c r="M23" s="348"/>
      <c r="N23" s="342" t="s">
        <v>713</v>
      </c>
      <c r="O23" s="343"/>
      <c r="P23" s="342" t="s">
        <v>714</v>
      </c>
      <c r="Q23" s="35"/>
      <c r="R23" s="36"/>
      <c r="S23" s="2"/>
      <c r="T23" s="2"/>
      <c r="U23" s="2"/>
      <c r="V23" s="2"/>
      <c r="W23" s="2"/>
      <c r="X23" s="2"/>
      <c r="Y23" s="2"/>
      <c r="Z23" s="2"/>
    </row>
    <row r="24">
      <c r="A24" s="349">
        <v>6.0</v>
      </c>
      <c r="B24" s="350" t="s">
        <v>715</v>
      </c>
      <c r="C24" s="343"/>
      <c r="D24" s="350" t="s">
        <v>716</v>
      </c>
      <c r="E24" s="35"/>
      <c r="F24" s="343"/>
      <c r="G24" s="350" t="s">
        <v>717</v>
      </c>
      <c r="H24" s="343"/>
      <c r="I24" s="350" t="s">
        <v>718</v>
      </c>
      <c r="J24" s="35"/>
      <c r="K24" s="35"/>
      <c r="L24" s="343"/>
      <c r="M24" s="351" t="s">
        <v>719</v>
      </c>
      <c r="N24" s="350" t="s">
        <v>720</v>
      </c>
      <c r="O24" s="343"/>
      <c r="P24" s="350" t="s">
        <v>721</v>
      </c>
      <c r="Q24" s="35"/>
      <c r="R24" s="36"/>
      <c r="S24" s="2"/>
      <c r="T24" s="2"/>
      <c r="U24" s="2"/>
      <c r="V24" s="2"/>
      <c r="W24" s="2"/>
      <c r="X24" s="2"/>
      <c r="Y24" s="2"/>
      <c r="Z24" s="2"/>
    </row>
    <row r="25">
      <c r="A25" s="341">
        <v>7.0</v>
      </c>
      <c r="B25" s="342" t="s">
        <v>722</v>
      </c>
      <c r="C25" s="343"/>
      <c r="D25" s="342" t="s">
        <v>723</v>
      </c>
      <c r="E25" s="35"/>
      <c r="F25" s="343"/>
      <c r="G25" s="342" t="s">
        <v>724</v>
      </c>
      <c r="H25" s="343"/>
      <c r="I25" s="342" t="s">
        <v>725</v>
      </c>
      <c r="J25" s="35"/>
      <c r="K25" s="35"/>
      <c r="L25" s="343"/>
      <c r="M25" s="344" t="s">
        <v>726</v>
      </c>
      <c r="N25" s="342" t="s">
        <v>727</v>
      </c>
      <c r="O25" s="343"/>
      <c r="P25" s="342" t="s">
        <v>728</v>
      </c>
      <c r="Q25" s="35"/>
      <c r="R25" s="36"/>
      <c r="S25" s="2"/>
      <c r="T25" s="2"/>
      <c r="U25" s="2"/>
      <c r="V25" s="2"/>
      <c r="W25" s="2"/>
      <c r="X25" s="2"/>
      <c r="Y25" s="2"/>
      <c r="Z25" s="2"/>
    </row>
    <row r="26">
      <c r="A26" s="352">
        <v>8.0</v>
      </c>
      <c r="B26" s="353" t="s">
        <v>729</v>
      </c>
      <c r="C26" s="354"/>
      <c r="D26" s="353" t="s">
        <v>730</v>
      </c>
      <c r="E26" s="44"/>
      <c r="F26" s="354"/>
      <c r="G26" s="353" t="s">
        <v>731</v>
      </c>
      <c r="H26" s="354"/>
      <c r="I26" s="353" t="s">
        <v>732</v>
      </c>
      <c r="J26" s="44"/>
      <c r="K26" s="44"/>
      <c r="L26" s="354"/>
      <c r="M26" s="355"/>
      <c r="N26" s="353" t="s">
        <v>733</v>
      </c>
      <c r="O26" s="354"/>
      <c r="P26" s="353" t="s">
        <v>734</v>
      </c>
      <c r="Q26" s="44"/>
      <c r="R26" s="45"/>
      <c r="S26" s="2"/>
      <c r="T26" s="2"/>
      <c r="U26" s="2"/>
      <c r="V26" s="2"/>
      <c r="W26" s="2"/>
      <c r="X26" s="2"/>
      <c r="Y26" s="2"/>
      <c r="Z26" s="2"/>
    </row>
    <row r="27">
      <c r="A27" s="356" t="s">
        <v>735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5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L29" s="2"/>
      <c r="M29" s="2"/>
      <c r="N29" s="2"/>
      <c r="O29" s="2"/>
      <c r="P29" s="7" t="s">
        <v>736</v>
      </c>
      <c r="Q29" s="8"/>
      <c r="R29" s="9"/>
      <c r="S29" s="2"/>
      <c r="T29" s="2"/>
      <c r="U29" s="2"/>
      <c r="V29" s="2"/>
      <c r="W29" s="2"/>
      <c r="X29" s="2"/>
      <c r="Y29" s="2"/>
      <c r="Z29" s="2"/>
    </row>
    <row r="30">
      <c r="B30" s="2"/>
      <c r="C30" s="2"/>
      <c r="D30" s="2"/>
      <c r="E30" s="2"/>
      <c r="F30" s="2"/>
      <c r="G30" s="2"/>
      <c r="H30" s="2"/>
      <c r="L30" s="2"/>
      <c r="M30" s="2"/>
      <c r="N30" s="2"/>
      <c r="O30" s="2"/>
      <c r="P30" s="357" t="s">
        <v>15</v>
      </c>
      <c r="Q30" s="358"/>
      <c r="R30" s="359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L31" s="2"/>
      <c r="M31" s="2"/>
      <c r="N31" s="2"/>
      <c r="O31" s="2"/>
      <c r="P31" s="360"/>
      <c r="Q31" s="360"/>
      <c r="R31" s="360"/>
      <c r="S31" s="361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L32" s="2"/>
      <c r="M32" s="2"/>
      <c r="N32" s="2"/>
      <c r="O32" s="2"/>
      <c r="P32" s="360"/>
      <c r="Q32" s="360"/>
      <c r="R32" s="360"/>
      <c r="S32" s="361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L33" s="2"/>
      <c r="M33" s="2"/>
      <c r="N33" s="2"/>
      <c r="O33" s="2"/>
      <c r="P33" s="361"/>
      <c r="Q33" s="360"/>
      <c r="S33" s="361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80">
    <mergeCell ref="B21:C21"/>
    <mergeCell ref="D21:F21"/>
    <mergeCell ref="G21:H21"/>
    <mergeCell ref="I21:L21"/>
    <mergeCell ref="P21:R21"/>
    <mergeCell ref="B22:C22"/>
    <mergeCell ref="I22:L22"/>
    <mergeCell ref="P22:R22"/>
    <mergeCell ref="D22:F22"/>
    <mergeCell ref="G22:H22"/>
    <mergeCell ref="B23:C23"/>
    <mergeCell ref="D23:F23"/>
    <mergeCell ref="G23:H23"/>
    <mergeCell ref="I23:L23"/>
    <mergeCell ref="B24:C24"/>
    <mergeCell ref="I24:L24"/>
    <mergeCell ref="D26:F26"/>
    <mergeCell ref="G26:H26"/>
    <mergeCell ref="D24:F24"/>
    <mergeCell ref="G24:H24"/>
    <mergeCell ref="B25:C25"/>
    <mergeCell ref="D25:F25"/>
    <mergeCell ref="G25:H25"/>
    <mergeCell ref="I25:L25"/>
    <mergeCell ref="B26:C26"/>
    <mergeCell ref="I26:L26"/>
    <mergeCell ref="N25:O25"/>
    <mergeCell ref="N26:O26"/>
    <mergeCell ref="P26:R26"/>
    <mergeCell ref="P29:R29"/>
    <mergeCell ref="P30:R30"/>
    <mergeCell ref="Q33:R33"/>
    <mergeCell ref="N21:O21"/>
    <mergeCell ref="N22:O22"/>
    <mergeCell ref="N23:O23"/>
    <mergeCell ref="P23:R23"/>
    <mergeCell ref="N24:O24"/>
    <mergeCell ref="P24:R24"/>
    <mergeCell ref="P25:R25"/>
    <mergeCell ref="A1:R1"/>
    <mergeCell ref="A2:R2"/>
    <mergeCell ref="A3:D3"/>
    <mergeCell ref="E3:H3"/>
    <mergeCell ref="I3:M3"/>
    <mergeCell ref="N3:R3"/>
    <mergeCell ref="A5:R5"/>
    <mergeCell ref="K8:M10"/>
    <mergeCell ref="L11:M11"/>
    <mergeCell ref="I17:L18"/>
    <mergeCell ref="M17:M18"/>
    <mergeCell ref="N17:O18"/>
    <mergeCell ref="P17:R18"/>
    <mergeCell ref="P11:Q11"/>
    <mergeCell ref="A13:R13"/>
    <mergeCell ref="A14:R14"/>
    <mergeCell ref="B7:D7"/>
    <mergeCell ref="F7:H7"/>
    <mergeCell ref="K7:M7"/>
    <mergeCell ref="O7:Q7"/>
    <mergeCell ref="F8:H10"/>
    <mergeCell ref="O8:Q10"/>
    <mergeCell ref="G11:H11"/>
    <mergeCell ref="D19:F19"/>
    <mergeCell ref="G19:H19"/>
    <mergeCell ref="I19:L19"/>
    <mergeCell ref="N19:O19"/>
    <mergeCell ref="P19:R19"/>
    <mergeCell ref="B20:C20"/>
    <mergeCell ref="D20:F20"/>
    <mergeCell ref="G20:H20"/>
    <mergeCell ref="I20:L20"/>
    <mergeCell ref="N20:O20"/>
    <mergeCell ref="P20:R20"/>
    <mergeCell ref="B8:D10"/>
    <mergeCell ref="C11:D11"/>
    <mergeCell ref="A17:A18"/>
    <mergeCell ref="B17:C18"/>
    <mergeCell ref="D17:F18"/>
    <mergeCell ref="G17:H18"/>
    <mergeCell ref="B19:C19"/>
  </mergeCells>
  <hyperlinks>
    <hyperlink display="Открыть →" location="'Доставка СДЭКТК'!A1" ref="C11"/>
    <hyperlink display="Открыть →" location="'Самовывозшоурум'!A1" ref="G11"/>
    <hyperlink display="Открыть →" location="'Доставка СДЭКТК'!A1" ref="L11"/>
    <hyperlink display="Открыть →" location="'Шаблоны сообщений'!A1" ref="P11"/>
    <hyperlink display="Открыть →" location="'Главная'!A1" ref="P30"/>
  </hyperlin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0.0"/>
    <col customWidth="1" min="4" max="4" width="15.5"/>
    <col customWidth="1" min="7" max="7" width="11.13"/>
    <col customWidth="1" min="8" max="8" width="15.38"/>
  </cols>
  <sheetData>
    <row r="1">
      <c r="A1" s="1" t="s">
        <v>737</v>
      </c>
    </row>
    <row r="2">
      <c r="A2" s="3" t="s">
        <v>738</v>
      </c>
    </row>
    <row r="3">
      <c r="A3" s="332" t="s">
        <v>2</v>
      </c>
      <c r="E3" s="332" t="s">
        <v>3</v>
      </c>
      <c r="I3" s="332" t="s">
        <v>4</v>
      </c>
      <c r="N3" s="332" t="s">
        <v>5</v>
      </c>
    </row>
    <row r="4">
      <c r="A4" s="5"/>
      <c r="B4" s="5"/>
      <c r="C4" s="5"/>
      <c r="D4" s="5"/>
      <c r="E4" s="5"/>
      <c r="J4" s="2"/>
      <c r="K4" s="2"/>
      <c r="L4" s="2"/>
      <c r="M4" s="2"/>
      <c r="N4" s="2"/>
      <c r="O4" s="2"/>
      <c r="P4" s="2"/>
      <c r="Q4" s="2"/>
      <c r="R4" s="2"/>
    </row>
    <row r="5">
      <c r="A5" s="6" t="s">
        <v>6</v>
      </c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>
      <c r="A7" s="2"/>
      <c r="B7" s="7" t="s">
        <v>665</v>
      </c>
      <c r="C7" s="8"/>
      <c r="D7" s="9"/>
      <c r="E7" s="2"/>
      <c r="F7" s="7" t="s">
        <v>666</v>
      </c>
      <c r="G7" s="8"/>
      <c r="H7" s="9"/>
      <c r="I7" s="2"/>
      <c r="J7" s="2"/>
      <c r="K7" s="7" t="s">
        <v>16</v>
      </c>
      <c r="L7" s="8"/>
      <c r="M7" s="9"/>
      <c r="N7" s="2"/>
      <c r="O7" s="7" t="s">
        <v>667</v>
      </c>
      <c r="P7" s="8"/>
      <c r="Q7" s="9"/>
      <c r="R7" s="2"/>
    </row>
    <row r="8">
      <c r="A8" s="2"/>
      <c r="B8" s="10" t="s">
        <v>668</v>
      </c>
      <c r="D8" s="11"/>
      <c r="E8" s="2"/>
      <c r="F8" s="10" t="s">
        <v>669</v>
      </c>
      <c r="H8" s="11"/>
      <c r="I8" s="2"/>
      <c r="J8" s="2"/>
      <c r="K8" s="10" t="s">
        <v>670</v>
      </c>
      <c r="M8" s="11"/>
      <c r="N8" s="2"/>
      <c r="O8" s="10" t="s">
        <v>671</v>
      </c>
      <c r="Q8" s="11"/>
      <c r="R8" s="2"/>
    </row>
    <row r="9">
      <c r="A9" s="2"/>
      <c r="B9" s="12"/>
      <c r="D9" s="11"/>
      <c r="E9" s="2"/>
      <c r="F9" s="12"/>
      <c r="H9" s="11"/>
      <c r="I9" s="2"/>
      <c r="J9" s="2"/>
      <c r="K9" s="12"/>
      <c r="M9" s="11"/>
      <c r="N9" s="2"/>
      <c r="O9" s="12"/>
      <c r="Q9" s="11"/>
      <c r="R9" s="2"/>
    </row>
    <row r="10">
      <c r="A10" s="2"/>
      <c r="B10" s="13"/>
      <c r="C10" s="14"/>
      <c r="D10" s="15"/>
      <c r="E10" s="2"/>
      <c r="F10" s="13"/>
      <c r="G10" s="14"/>
      <c r="H10" s="15"/>
      <c r="I10" s="2"/>
      <c r="J10" s="2"/>
      <c r="K10" s="13"/>
      <c r="L10" s="14"/>
      <c r="M10" s="15"/>
      <c r="N10" s="2"/>
      <c r="O10" s="13"/>
      <c r="P10" s="14"/>
      <c r="Q10" s="15"/>
      <c r="R10" s="2"/>
    </row>
    <row r="11">
      <c r="A11" s="2"/>
      <c r="B11" s="16"/>
      <c r="C11" s="333" t="s">
        <v>15</v>
      </c>
      <c r="D11" s="18"/>
      <c r="E11" s="2"/>
      <c r="F11" s="2"/>
      <c r="G11" s="333" t="s">
        <v>15</v>
      </c>
      <c r="H11" s="18"/>
      <c r="I11" s="2"/>
      <c r="J11" s="2"/>
      <c r="K11" s="2"/>
      <c r="L11" s="333" t="s">
        <v>15</v>
      </c>
      <c r="M11" s="18"/>
      <c r="N11" s="2"/>
      <c r="O11" s="2"/>
      <c r="P11" s="333" t="s">
        <v>15</v>
      </c>
      <c r="Q11" s="18"/>
      <c r="R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>
      <c r="A14" s="362" t="s">
        <v>739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9"/>
    </row>
    <row r="15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5"/>
    </row>
    <row r="16">
      <c r="A16" s="336" t="s">
        <v>740</v>
      </c>
      <c r="B16" s="337" t="s">
        <v>741</v>
      </c>
      <c r="C16" s="8"/>
      <c r="D16" s="337" t="s">
        <v>742</v>
      </c>
      <c r="E16" s="337" t="s">
        <v>743</v>
      </c>
      <c r="F16" s="8"/>
      <c r="G16" s="8"/>
      <c r="H16" s="337" t="s">
        <v>744</v>
      </c>
      <c r="I16" s="8"/>
      <c r="J16" s="337" t="s">
        <v>29</v>
      </c>
      <c r="K16" s="8"/>
      <c r="L16" s="8"/>
      <c r="M16" s="337" t="s">
        <v>745</v>
      </c>
      <c r="N16" s="337" t="s">
        <v>680</v>
      </c>
      <c r="O16" s="8"/>
      <c r="P16" s="337" t="s">
        <v>746</v>
      </c>
      <c r="Q16" s="8"/>
      <c r="R16" s="9"/>
    </row>
    <row r="17">
      <c r="A17" s="338"/>
      <c r="B17" s="339"/>
      <c r="C17" s="339"/>
      <c r="D17" s="339"/>
      <c r="E17" s="339"/>
      <c r="F17" s="339"/>
      <c r="G17" s="339"/>
      <c r="H17" s="339"/>
      <c r="I17" s="339"/>
      <c r="M17" s="339"/>
      <c r="N17" s="339"/>
      <c r="O17" s="339"/>
      <c r="P17" s="339"/>
      <c r="Q17" s="339"/>
      <c r="R17" s="340"/>
    </row>
    <row r="18">
      <c r="A18" s="341">
        <v>1.0</v>
      </c>
      <c r="B18" s="342" t="s">
        <v>747</v>
      </c>
      <c r="C18" s="343"/>
      <c r="D18" s="342" t="s">
        <v>748</v>
      </c>
      <c r="E18" s="363" t="s">
        <v>749</v>
      </c>
      <c r="F18" s="35"/>
      <c r="G18" s="343"/>
      <c r="H18" s="363" t="s">
        <v>684</v>
      </c>
      <c r="I18" s="343"/>
      <c r="J18" s="342" t="s">
        <v>750</v>
      </c>
      <c r="K18" s="35"/>
      <c r="L18" s="35"/>
      <c r="M18" s="344" t="s">
        <v>751</v>
      </c>
      <c r="N18" s="342" t="s">
        <v>752</v>
      </c>
      <c r="O18" s="343"/>
      <c r="P18" s="342" t="s">
        <v>753</v>
      </c>
      <c r="Q18" s="35"/>
      <c r="R18" s="36"/>
    </row>
    <row r="19">
      <c r="A19" s="349">
        <v>2.0</v>
      </c>
      <c r="B19" s="350" t="s">
        <v>665</v>
      </c>
      <c r="C19" s="343"/>
      <c r="D19" s="350" t="s">
        <v>748</v>
      </c>
      <c r="E19" s="364" t="s">
        <v>51</v>
      </c>
      <c r="F19" s="35"/>
      <c r="G19" s="35"/>
      <c r="H19" s="364" t="s">
        <v>754</v>
      </c>
      <c r="I19" s="343"/>
      <c r="J19" s="350" t="s">
        <v>755</v>
      </c>
      <c r="K19" s="35"/>
      <c r="L19" s="35"/>
      <c r="M19" s="351" t="s">
        <v>756</v>
      </c>
      <c r="N19" s="350" t="s">
        <v>52</v>
      </c>
      <c r="O19" s="343"/>
      <c r="P19" s="350" t="s">
        <v>757</v>
      </c>
      <c r="Q19" s="35"/>
      <c r="R19" s="36"/>
    </row>
    <row r="20">
      <c r="A20" s="341">
        <v>3.0</v>
      </c>
      <c r="B20" s="342" t="s">
        <v>709</v>
      </c>
      <c r="C20" s="343"/>
      <c r="D20" s="342" t="s">
        <v>748</v>
      </c>
      <c r="E20" s="363" t="s">
        <v>758</v>
      </c>
      <c r="F20" s="35"/>
      <c r="G20" s="35"/>
      <c r="H20" s="363" t="s">
        <v>759</v>
      </c>
      <c r="I20" s="343"/>
      <c r="J20" s="342" t="s">
        <v>713</v>
      </c>
      <c r="K20" s="35"/>
      <c r="L20" s="35"/>
      <c r="M20" s="344" t="s">
        <v>760</v>
      </c>
      <c r="N20" s="342" t="s">
        <v>761</v>
      </c>
      <c r="O20" s="343"/>
      <c r="P20" s="342" t="s">
        <v>762</v>
      </c>
      <c r="Q20" s="35"/>
      <c r="R20" s="36"/>
    </row>
    <row r="21">
      <c r="A21" s="349">
        <v>4.0</v>
      </c>
      <c r="B21" s="350" t="s">
        <v>696</v>
      </c>
      <c r="C21" s="343"/>
      <c r="D21" s="350" t="s">
        <v>748</v>
      </c>
      <c r="E21" s="350" t="s">
        <v>697</v>
      </c>
      <c r="F21" s="35"/>
      <c r="G21" s="35"/>
      <c r="H21" s="364" t="s">
        <v>759</v>
      </c>
      <c r="I21" s="35"/>
      <c r="J21" s="350" t="s">
        <v>763</v>
      </c>
      <c r="K21" s="35"/>
      <c r="L21" s="35"/>
      <c r="M21" s="351" t="s">
        <v>764</v>
      </c>
      <c r="N21" s="350" t="s">
        <v>700</v>
      </c>
      <c r="O21" s="343"/>
      <c r="P21" s="350" t="s">
        <v>701</v>
      </c>
      <c r="Q21" s="35"/>
      <c r="R21" s="36"/>
    </row>
    <row r="22">
      <c r="A22" s="341">
        <v>5.0</v>
      </c>
      <c r="B22" s="342" t="s">
        <v>765</v>
      </c>
      <c r="C22" s="343"/>
      <c r="D22" s="342" t="s">
        <v>748</v>
      </c>
      <c r="E22" s="363" t="s">
        <v>766</v>
      </c>
      <c r="F22" s="35"/>
      <c r="G22" s="35"/>
      <c r="H22" s="363" t="s">
        <v>767</v>
      </c>
      <c r="I22" s="343"/>
      <c r="J22" s="342" t="s">
        <v>768</v>
      </c>
      <c r="K22" s="35"/>
      <c r="L22" s="35"/>
      <c r="M22" s="344" t="s">
        <v>769</v>
      </c>
      <c r="N22" s="342" t="s">
        <v>770</v>
      </c>
      <c r="O22" s="343"/>
      <c r="P22" s="342" t="s">
        <v>771</v>
      </c>
      <c r="Q22" s="35"/>
      <c r="R22" s="36"/>
    </row>
    <row r="23">
      <c r="A23" s="345">
        <v>6.0</v>
      </c>
      <c r="B23" s="346" t="s">
        <v>772</v>
      </c>
      <c r="C23" s="343"/>
      <c r="D23" s="346" t="s">
        <v>773</v>
      </c>
      <c r="E23" s="365" t="s">
        <v>774</v>
      </c>
      <c r="F23" s="35"/>
      <c r="G23" s="35"/>
      <c r="H23" s="365" t="s">
        <v>775</v>
      </c>
      <c r="I23" s="343"/>
      <c r="J23" s="346" t="s">
        <v>776</v>
      </c>
      <c r="K23" s="35"/>
      <c r="L23" s="35"/>
      <c r="M23" s="347" t="s">
        <v>777</v>
      </c>
      <c r="N23" s="346" t="s">
        <v>778</v>
      </c>
      <c r="O23" s="343"/>
      <c r="P23" s="346" t="s">
        <v>779</v>
      </c>
      <c r="Q23" s="35"/>
      <c r="R23" s="36"/>
    </row>
    <row r="24">
      <c r="A24" s="341">
        <v>7.0</v>
      </c>
      <c r="B24" s="342" t="s">
        <v>780</v>
      </c>
      <c r="C24" s="343"/>
      <c r="D24" s="342" t="s">
        <v>748</v>
      </c>
      <c r="E24" s="363" t="s">
        <v>781</v>
      </c>
      <c r="F24" s="35"/>
      <c r="G24" s="35"/>
      <c r="H24" s="363" t="s">
        <v>782</v>
      </c>
      <c r="I24" s="343"/>
      <c r="J24" s="342" t="s">
        <v>783</v>
      </c>
      <c r="K24" s="35"/>
      <c r="L24" s="35"/>
      <c r="M24" s="344" t="s">
        <v>784</v>
      </c>
      <c r="N24" s="342" t="s">
        <v>785</v>
      </c>
      <c r="O24" s="343"/>
      <c r="P24" s="342" t="s">
        <v>786</v>
      </c>
      <c r="Q24" s="35"/>
      <c r="R24" s="36"/>
    </row>
    <row r="25">
      <c r="A25" s="345">
        <v>8.0</v>
      </c>
      <c r="B25" s="366" t="s">
        <v>729</v>
      </c>
      <c r="C25" s="354"/>
      <c r="D25" s="366" t="s">
        <v>748</v>
      </c>
      <c r="E25" s="367" t="s">
        <v>787</v>
      </c>
      <c r="F25" s="44"/>
      <c r="G25" s="44"/>
      <c r="H25" s="367" t="s">
        <v>684</v>
      </c>
      <c r="I25" s="354"/>
      <c r="J25" s="366" t="s">
        <v>788</v>
      </c>
      <c r="K25" s="44"/>
      <c r="L25" s="44"/>
      <c r="M25" s="366" t="s">
        <v>789</v>
      </c>
      <c r="N25" s="367" t="s">
        <v>790</v>
      </c>
      <c r="O25" s="44"/>
      <c r="P25" s="366" t="s">
        <v>791</v>
      </c>
      <c r="Q25" s="44"/>
      <c r="R25" s="45"/>
    </row>
    <row r="28">
      <c r="M28" s="155"/>
      <c r="N28" s="368"/>
      <c r="O28" s="368"/>
      <c r="P28" s="7" t="s">
        <v>736</v>
      </c>
      <c r="Q28" s="8"/>
      <c r="R28" s="9"/>
    </row>
    <row r="29">
      <c r="M29" s="368"/>
      <c r="N29" s="368"/>
      <c r="O29" s="368"/>
      <c r="P29" s="357" t="s">
        <v>15</v>
      </c>
      <c r="Q29" s="358"/>
      <c r="R29" s="359"/>
    </row>
    <row r="30">
      <c r="M30" s="155"/>
      <c r="N30" s="369"/>
      <c r="O30" s="369"/>
      <c r="P30" s="369"/>
      <c r="Q30" s="155"/>
    </row>
    <row r="31">
      <c r="A31" s="369"/>
      <c r="B31" s="369"/>
      <c r="D31" s="369"/>
      <c r="E31" s="369"/>
      <c r="H31" s="369"/>
      <c r="J31" s="369"/>
      <c r="K31" s="155"/>
      <c r="M31" s="155"/>
      <c r="N31" s="369"/>
      <c r="O31" s="369"/>
      <c r="P31" s="369"/>
      <c r="Q31" s="155"/>
    </row>
    <row r="32">
      <c r="M32" s="155"/>
      <c r="N32" s="369"/>
      <c r="O32" s="369"/>
      <c r="P32" s="369"/>
      <c r="Q32" s="155"/>
    </row>
    <row r="33">
      <c r="M33" s="155"/>
      <c r="N33" s="369"/>
      <c r="O33" s="369"/>
      <c r="P33" s="369"/>
      <c r="Q33" s="155"/>
    </row>
    <row r="34">
      <c r="M34" s="369"/>
      <c r="N34" s="369"/>
      <c r="O34" s="369"/>
      <c r="P34" s="369"/>
      <c r="Q34" s="155"/>
    </row>
    <row r="35">
      <c r="M35" s="369"/>
      <c r="N35" s="369"/>
      <c r="O35" s="369"/>
      <c r="P35" s="369"/>
      <c r="Q35" s="155"/>
    </row>
    <row r="36">
      <c r="M36" s="369"/>
      <c r="N36" s="369"/>
      <c r="O36" s="369"/>
      <c r="P36" s="369"/>
      <c r="Q36" s="155"/>
    </row>
    <row r="37">
      <c r="M37" s="369"/>
      <c r="N37" s="369"/>
      <c r="O37" s="369"/>
      <c r="P37" s="369"/>
      <c r="Q37" s="155"/>
    </row>
    <row r="38">
      <c r="M38" s="369"/>
      <c r="N38" s="369"/>
      <c r="O38" s="369"/>
      <c r="P38" s="369"/>
      <c r="Q38" s="155"/>
    </row>
    <row r="39">
      <c r="A39" s="155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369"/>
      <c r="N39" s="369"/>
      <c r="O39" s="369"/>
      <c r="P39" s="369"/>
      <c r="Q39" s="155"/>
    </row>
    <row r="40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369"/>
      <c r="N40" s="369"/>
      <c r="O40" s="369"/>
      <c r="P40" s="369"/>
      <c r="Q40" s="155"/>
    </row>
    <row r="41">
      <c r="A41" s="155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369"/>
      <c r="O41" s="369"/>
      <c r="P41" s="369"/>
      <c r="Q41" s="155"/>
    </row>
    <row r="42">
      <c r="A42" s="155"/>
      <c r="B42" s="370"/>
      <c r="C42" s="370"/>
      <c r="D42" s="370"/>
      <c r="E42" s="370"/>
      <c r="F42" s="370"/>
      <c r="G42" s="370"/>
      <c r="H42" s="370"/>
      <c r="I42" s="370"/>
      <c r="J42" s="370"/>
      <c r="K42" s="155"/>
      <c r="L42" s="155"/>
      <c r="M42" s="155"/>
      <c r="N42" s="369"/>
      <c r="O42" s="369"/>
      <c r="P42" s="369"/>
      <c r="Q42" s="155"/>
    </row>
    <row r="43">
      <c r="A43" s="155"/>
      <c r="B43" s="371"/>
      <c r="C43" s="371"/>
      <c r="D43" s="371"/>
      <c r="E43" s="371"/>
      <c r="F43" s="371"/>
      <c r="G43" s="371"/>
      <c r="H43" s="371"/>
      <c r="I43" s="371"/>
      <c r="J43" s="371"/>
      <c r="K43" s="155"/>
      <c r="L43" s="155"/>
      <c r="M43" s="155"/>
      <c r="N43" s="369"/>
      <c r="O43" s="369"/>
      <c r="P43" s="369"/>
      <c r="Q43" s="155"/>
    </row>
    <row r="44">
      <c r="A44" s="155"/>
      <c r="B44" s="372"/>
      <c r="C44" s="373"/>
      <c r="D44" s="373"/>
      <c r="E44" s="373"/>
      <c r="F44" s="373"/>
      <c r="G44" s="373"/>
      <c r="H44" s="373"/>
      <c r="I44" s="373"/>
      <c r="J44" s="373"/>
      <c r="K44" s="155"/>
      <c r="L44" s="155"/>
      <c r="M44" s="155"/>
      <c r="N44" s="155"/>
      <c r="O44" s="155"/>
      <c r="P44" s="155"/>
      <c r="Q44" s="155"/>
    </row>
    <row r="45">
      <c r="A45" s="155"/>
      <c r="B45" s="372"/>
      <c r="C45" s="373"/>
      <c r="D45" s="373"/>
      <c r="E45" s="373"/>
      <c r="F45" s="373"/>
      <c r="G45" s="373"/>
      <c r="H45" s="373"/>
      <c r="I45" s="373"/>
      <c r="J45" s="373"/>
      <c r="K45" s="155"/>
      <c r="L45" s="155"/>
      <c r="M45" s="155"/>
    </row>
    <row r="46">
      <c r="A46" s="155"/>
      <c r="B46" s="372"/>
      <c r="C46" s="373"/>
      <c r="D46" s="373"/>
      <c r="E46" s="373"/>
      <c r="F46" s="373"/>
      <c r="G46" s="373"/>
      <c r="H46" s="373"/>
      <c r="I46" s="373"/>
      <c r="J46" s="373"/>
      <c r="K46" s="155"/>
      <c r="L46" s="155"/>
      <c r="M46" s="155"/>
    </row>
    <row r="47">
      <c r="A47" s="155"/>
      <c r="B47" s="372"/>
      <c r="C47" s="373"/>
      <c r="D47" s="373"/>
      <c r="E47" s="373"/>
      <c r="F47" s="373"/>
      <c r="G47" s="373"/>
      <c r="H47" s="373"/>
      <c r="I47" s="373"/>
      <c r="J47" s="373"/>
      <c r="K47" s="155"/>
      <c r="L47" s="155"/>
      <c r="M47" s="155"/>
    </row>
    <row r="48">
      <c r="A48" s="155"/>
      <c r="B48" s="372"/>
      <c r="C48" s="373"/>
      <c r="D48" s="373"/>
      <c r="E48" s="373"/>
      <c r="F48" s="373"/>
      <c r="G48" s="373"/>
      <c r="H48" s="373"/>
      <c r="I48" s="373"/>
      <c r="J48" s="373"/>
      <c r="K48" s="155"/>
      <c r="L48" s="155"/>
      <c r="M48" s="155"/>
    </row>
    <row r="49">
      <c r="A49" s="155"/>
      <c r="B49" s="372"/>
      <c r="C49" s="373"/>
      <c r="D49" s="373"/>
      <c r="E49" s="373"/>
      <c r="F49" s="373"/>
      <c r="G49" s="373"/>
      <c r="H49" s="373"/>
      <c r="I49" s="373"/>
      <c r="J49" s="373"/>
      <c r="K49" s="155"/>
      <c r="L49" s="155"/>
      <c r="M49" s="155"/>
    </row>
    <row r="50">
      <c r="A50" s="155"/>
      <c r="B50" s="372"/>
      <c r="C50" s="373"/>
      <c r="D50" s="373"/>
      <c r="E50" s="373"/>
      <c r="F50" s="373"/>
      <c r="G50" s="373"/>
      <c r="H50" s="373"/>
      <c r="I50" s="373"/>
      <c r="J50" s="373"/>
      <c r="K50" s="155"/>
      <c r="L50" s="155"/>
      <c r="M50" s="155"/>
    </row>
    <row r="51">
      <c r="A51" s="155"/>
      <c r="B51" s="372"/>
      <c r="C51" s="373"/>
      <c r="D51" s="373"/>
      <c r="E51" s="373"/>
      <c r="F51" s="373"/>
      <c r="G51" s="373"/>
      <c r="H51" s="373"/>
      <c r="I51" s="373"/>
      <c r="J51" s="373"/>
      <c r="K51" s="155"/>
      <c r="L51" s="155"/>
      <c r="M51" s="155"/>
    </row>
    <row r="52">
      <c r="A52" s="155"/>
      <c r="B52" s="372"/>
      <c r="C52" s="373"/>
      <c r="D52" s="373"/>
      <c r="E52" s="373"/>
      <c r="F52" s="373"/>
      <c r="G52" s="373"/>
      <c r="H52" s="373"/>
      <c r="I52" s="373"/>
      <c r="J52" s="373"/>
      <c r="K52" s="155"/>
      <c r="L52" s="155"/>
      <c r="M52" s="155"/>
    </row>
    <row r="53">
      <c r="A53" s="155"/>
      <c r="B53" s="372"/>
      <c r="C53" s="373"/>
      <c r="D53" s="373"/>
      <c r="E53" s="373"/>
      <c r="F53" s="373"/>
      <c r="G53" s="373"/>
      <c r="H53" s="373"/>
      <c r="I53" s="373"/>
      <c r="J53" s="373"/>
      <c r="K53" s="155"/>
      <c r="L53" s="155"/>
      <c r="M53" s="155"/>
    </row>
    <row r="54">
      <c r="A54" s="155"/>
      <c r="B54" s="372"/>
      <c r="C54" s="373"/>
      <c r="D54" s="373"/>
      <c r="E54" s="373"/>
      <c r="F54" s="373"/>
      <c r="G54" s="373"/>
      <c r="H54" s="373"/>
      <c r="I54" s="373"/>
      <c r="J54" s="373"/>
      <c r="K54" s="155"/>
      <c r="L54" s="155"/>
      <c r="M54" s="155"/>
    </row>
    <row r="55">
      <c r="A55" s="155"/>
      <c r="B55" s="372"/>
      <c r="C55" s="373"/>
      <c r="D55" s="373"/>
      <c r="E55" s="373"/>
      <c r="F55" s="373"/>
      <c r="G55" s="373"/>
      <c r="H55" s="373"/>
      <c r="I55" s="373"/>
      <c r="J55" s="373"/>
      <c r="K55" s="155"/>
      <c r="L55" s="155"/>
      <c r="M55" s="155"/>
    </row>
    <row r="56">
      <c r="A56" s="155"/>
      <c r="B56" s="372"/>
      <c r="C56" s="373"/>
      <c r="D56" s="373"/>
      <c r="E56" s="373"/>
      <c r="F56" s="373"/>
      <c r="G56" s="373"/>
      <c r="H56" s="373"/>
      <c r="I56" s="373"/>
      <c r="J56" s="373"/>
      <c r="K56" s="155"/>
      <c r="L56" s="155"/>
      <c r="M56" s="155"/>
    </row>
    <row r="57">
      <c r="A57" s="155"/>
      <c r="B57" s="372"/>
      <c r="C57" s="373"/>
      <c r="D57" s="373"/>
      <c r="E57" s="373"/>
      <c r="F57" s="373"/>
      <c r="G57" s="373"/>
      <c r="H57" s="373"/>
      <c r="I57" s="373"/>
      <c r="J57" s="373"/>
      <c r="K57" s="155"/>
      <c r="L57" s="155"/>
      <c r="M57" s="155"/>
    </row>
    <row r="58">
      <c r="A58" s="155"/>
      <c r="B58" s="155"/>
      <c r="C58" s="155"/>
      <c r="D58" s="155"/>
      <c r="E58" s="155"/>
      <c r="F58" s="155"/>
      <c r="G58" s="155"/>
      <c r="H58" s="155"/>
      <c r="I58" s="155"/>
      <c r="J58" s="155"/>
      <c r="K58" s="155"/>
      <c r="L58" s="155"/>
      <c r="M58" s="155"/>
    </row>
    <row r="59">
      <c r="A59" s="155"/>
      <c r="B59" s="155"/>
      <c r="C59" s="155"/>
      <c r="D59" s="155"/>
      <c r="E59" s="155"/>
      <c r="F59" s="155"/>
      <c r="G59" s="155"/>
      <c r="H59" s="155"/>
      <c r="I59" s="155"/>
      <c r="J59" s="155"/>
      <c r="K59" s="155"/>
      <c r="L59" s="155"/>
      <c r="M59" s="155"/>
    </row>
    <row r="60">
      <c r="A60" s="155"/>
      <c r="B60" s="155"/>
      <c r="C60" s="155"/>
      <c r="D60" s="155"/>
      <c r="E60" s="155"/>
      <c r="F60" s="155"/>
      <c r="G60" s="155"/>
      <c r="H60" s="155"/>
      <c r="I60" s="155"/>
      <c r="J60" s="155"/>
      <c r="K60" s="155"/>
      <c r="L60" s="155"/>
      <c r="M60" s="155"/>
    </row>
    <row r="61">
      <c r="A61" s="155"/>
      <c r="B61" s="155"/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</row>
  </sheetData>
  <mergeCells count="82">
    <mergeCell ref="N18:O18"/>
    <mergeCell ref="P18:R18"/>
    <mergeCell ref="K8:M10"/>
    <mergeCell ref="L11:M11"/>
    <mergeCell ref="J16:L17"/>
    <mergeCell ref="M16:M17"/>
    <mergeCell ref="N16:O17"/>
    <mergeCell ref="P16:R17"/>
    <mergeCell ref="J18:L18"/>
    <mergeCell ref="B8:D10"/>
    <mergeCell ref="C11:D11"/>
    <mergeCell ref="A16:A17"/>
    <mergeCell ref="B16:C17"/>
    <mergeCell ref="D16:D17"/>
    <mergeCell ref="H16:I17"/>
    <mergeCell ref="H18:I18"/>
    <mergeCell ref="E16:G17"/>
    <mergeCell ref="E18:G18"/>
    <mergeCell ref="E19:G19"/>
    <mergeCell ref="H19:I19"/>
    <mergeCell ref="E20:G20"/>
    <mergeCell ref="H20:I20"/>
    <mergeCell ref="H21:I21"/>
    <mergeCell ref="N24:O24"/>
    <mergeCell ref="N25:O25"/>
    <mergeCell ref="P28:R28"/>
    <mergeCell ref="P29:R29"/>
    <mergeCell ref="B31:C31"/>
    <mergeCell ref="E31:G31"/>
    <mergeCell ref="H31:I31"/>
    <mergeCell ref="E24:G24"/>
    <mergeCell ref="H24:I24"/>
    <mergeCell ref="J24:L24"/>
    <mergeCell ref="P24:R24"/>
    <mergeCell ref="E25:G25"/>
    <mergeCell ref="H25:I25"/>
    <mergeCell ref="J25:L25"/>
    <mergeCell ref="P25:R25"/>
    <mergeCell ref="A1:R1"/>
    <mergeCell ref="A2:R2"/>
    <mergeCell ref="A3:D3"/>
    <mergeCell ref="E3:H3"/>
    <mergeCell ref="I3:M3"/>
    <mergeCell ref="N3:R3"/>
    <mergeCell ref="A5:R5"/>
    <mergeCell ref="P11:Q11"/>
    <mergeCell ref="A14:R15"/>
    <mergeCell ref="B7:D7"/>
    <mergeCell ref="F7:H7"/>
    <mergeCell ref="K7:M7"/>
    <mergeCell ref="O7:Q7"/>
    <mergeCell ref="F8:H10"/>
    <mergeCell ref="O8:Q10"/>
    <mergeCell ref="G11:H11"/>
    <mergeCell ref="B18:C18"/>
    <mergeCell ref="B19:C19"/>
    <mergeCell ref="B20:C20"/>
    <mergeCell ref="B21:C21"/>
    <mergeCell ref="B22:C22"/>
    <mergeCell ref="B23:C23"/>
    <mergeCell ref="B24:C24"/>
    <mergeCell ref="B25:C25"/>
    <mergeCell ref="N21:O21"/>
    <mergeCell ref="P21:R21"/>
    <mergeCell ref="N22:O22"/>
    <mergeCell ref="P22:R22"/>
    <mergeCell ref="N23:O23"/>
    <mergeCell ref="P23:R23"/>
    <mergeCell ref="J19:L19"/>
    <mergeCell ref="N19:O19"/>
    <mergeCell ref="P19:R19"/>
    <mergeCell ref="J20:L20"/>
    <mergeCell ref="N20:O20"/>
    <mergeCell ref="P20:R20"/>
    <mergeCell ref="J21:L21"/>
    <mergeCell ref="E21:G21"/>
    <mergeCell ref="E22:G22"/>
    <mergeCell ref="H22:I22"/>
    <mergeCell ref="J22:L22"/>
    <mergeCell ref="E23:G23"/>
    <mergeCell ref="H23:I23"/>
    <mergeCell ref="J23:L23"/>
  </mergeCells>
  <hyperlinks>
    <hyperlink display="Открыть →" location="'Доставка СДЭКТК'!A1" ref="C11"/>
    <hyperlink display="Открыть →" location="'Самовывозшоурум'!A1" ref="G11"/>
    <hyperlink display="Открыть →" location="'Доставка СДЭКТК'!A1" ref="L11"/>
    <hyperlink display="Открыть →" location="'Шаблоны сообщений'!A1" ref="P11"/>
    <hyperlink display="Открыть →" location="'Главная'!A1" ref="P29"/>
  </hyperlin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10</v>
      </c>
    </row>
    <row r="2">
      <c r="A2" s="3" t="s">
        <v>792</v>
      </c>
    </row>
    <row r="3">
      <c r="A3" s="332" t="s">
        <v>2</v>
      </c>
      <c r="E3" s="332" t="s">
        <v>3</v>
      </c>
      <c r="I3" s="332" t="s">
        <v>4</v>
      </c>
      <c r="N3" s="332" t="s">
        <v>5</v>
      </c>
    </row>
    <row r="4">
      <c r="A4" s="5"/>
      <c r="B4" s="5"/>
      <c r="C4" s="5"/>
      <c r="D4" s="5"/>
      <c r="E4" s="5"/>
      <c r="J4" s="2"/>
      <c r="K4" s="2"/>
      <c r="L4" s="2"/>
      <c r="M4" s="2"/>
      <c r="N4" s="2"/>
      <c r="O4" s="2"/>
      <c r="P4" s="2"/>
      <c r="Q4" s="2"/>
      <c r="R4" s="2"/>
    </row>
    <row r="5">
      <c r="A5" s="6" t="s">
        <v>6</v>
      </c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>
      <c r="A7" s="2"/>
      <c r="B7" s="7" t="s">
        <v>665</v>
      </c>
      <c r="C7" s="8"/>
      <c r="D7" s="9"/>
      <c r="E7" s="2"/>
      <c r="F7" s="7" t="s">
        <v>8</v>
      </c>
      <c r="G7" s="8"/>
      <c r="H7" s="9"/>
      <c r="I7" s="2"/>
      <c r="J7" s="2"/>
      <c r="K7" s="7" t="s">
        <v>9</v>
      </c>
      <c r="L7" s="8"/>
      <c r="M7" s="9"/>
      <c r="N7" s="2"/>
      <c r="O7" s="7" t="s">
        <v>667</v>
      </c>
      <c r="P7" s="8"/>
      <c r="Q7" s="9"/>
      <c r="R7" s="2"/>
    </row>
    <row r="8">
      <c r="A8" s="2"/>
      <c r="B8" s="10" t="s">
        <v>668</v>
      </c>
      <c r="D8" s="11"/>
      <c r="E8" s="2"/>
      <c r="F8" s="10" t="s">
        <v>12</v>
      </c>
      <c r="H8" s="11"/>
      <c r="I8" s="2"/>
      <c r="J8" s="2"/>
      <c r="K8" s="10" t="s">
        <v>13</v>
      </c>
      <c r="M8" s="11"/>
      <c r="N8" s="2"/>
      <c r="O8" s="10" t="s">
        <v>671</v>
      </c>
      <c r="Q8" s="11"/>
      <c r="R8" s="2"/>
    </row>
    <row r="9">
      <c r="A9" s="2"/>
      <c r="B9" s="12"/>
      <c r="D9" s="11"/>
      <c r="E9" s="2"/>
      <c r="F9" s="12"/>
      <c r="H9" s="11"/>
      <c r="I9" s="2"/>
      <c r="J9" s="2"/>
      <c r="K9" s="12"/>
      <c r="M9" s="11"/>
      <c r="N9" s="2"/>
      <c r="O9" s="12"/>
      <c r="Q9" s="11"/>
      <c r="R9" s="2"/>
    </row>
    <row r="10">
      <c r="A10" s="2"/>
      <c r="B10" s="13"/>
      <c r="C10" s="14"/>
      <c r="D10" s="15"/>
      <c r="E10" s="2"/>
      <c r="F10" s="13"/>
      <c r="G10" s="14"/>
      <c r="H10" s="15"/>
      <c r="I10" s="2"/>
      <c r="J10" s="2"/>
      <c r="K10" s="13"/>
      <c r="L10" s="14"/>
      <c r="M10" s="15"/>
      <c r="N10" s="2"/>
      <c r="O10" s="13"/>
      <c r="P10" s="14"/>
      <c r="Q10" s="15"/>
      <c r="R10" s="2"/>
    </row>
    <row r="11">
      <c r="A11" s="2"/>
      <c r="B11" s="16"/>
      <c r="C11" s="333" t="s">
        <v>15</v>
      </c>
      <c r="D11" s="18"/>
      <c r="E11" s="2"/>
      <c r="F11" s="2"/>
      <c r="G11" s="333" t="s">
        <v>15</v>
      </c>
      <c r="H11" s="18"/>
      <c r="I11" s="2"/>
      <c r="J11" s="2"/>
      <c r="K11" s="2"/>
      <c r="L11" s="333" t="s">
        <v>15</v>
      </c>
      <c r="M11" s="18"/>
      <c r="N11" s="2"/>
      <c r="O11" s="2"/>
      <c r="P11" s="333" t="s">
        <v>15</v>
      </c>
      <c r="Q11" s="18"/>
      <c r="R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>
      <c r="A13" s="374" t="s">
        <v>793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9"/>
    </row>
    <row r="14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5"/>
    </row>
    <row r="15">
      <c r="A15" s="375" t="s">
        <v>740</v>
      </c>
      <c r="B15" s="376" t="s">
        <v>26</v>
      </c>
      <c r="C15" s="8"/>
      <c r="D15" s="8"/>
      <c r="E15" s="376" t="s">
        <v>794</v>
      </c>
      <c r="F15" s="8"/>
      <c r="G15" s="8"/>
      <c r="H15" s="8"/>
      <c r="I15" s="8"/>
      <c r="J15" s="376" t="s">
        <v>795</v>
      </c>
      <c r="K15" s="8"/>
      <c r="L15" s="8"/>
      <c r="M15" s="376" t="s">
        <v>796</v>
      </c>
      <c r="N15" s="8"/>
      <c r="O15" s="8"/>
      <c r="P15" s="8"/>
      <c r="Q15" s="8"/>
      <c r="R15" s="9"/>
    </row>
    <row r="16">
      <c r="A16" s="338"/>
      <c r="B16" s="339"/>
      <c r="C16" s="339"/>
      <c r="D16" s="339"/>
      <c r="E16" s="339"/>
      <c r="F16" s="339"/>
      <c r="G16" s="339"/>
      <c r="H16" s="339"/>
      <c r="I16" s="339"/>
      <c r="M16" s="339"/>
      <c r="N16" s="339"/>
      <c r="O16" s="339"/>
      <c r="P16" s="339"/>
      <c r="Q16" s="339"/>
      <c r="R16" s="340"/>
    </row>
    <row r="17">
      <c r="A17" s="377">
        <v>1.0</v>
      </c>
      <c r="B17" s="378" t="s">
        <v>797</v>
      </c>
      <c r="C17" s="35"/>
      <c r="D17" s="343"/>
      <c r="E17" s="379" t="s">
        <v>798</v>
      </c>
      <c r="F17" s="35"/>
      <c r="G17" s="35"/>
      <c r="H17" s="35"/>
      <c r="I17" s="343"/>
      <c r="J17" s="378" t="s">
        <v>799</v>
      </c>
      <c r="K17" s="35"/>
      <c r="L17" s="35"/>
      <c r="M17" s="378" t="s">
        <v>800</v>
      </c>
      <c r="N17" s="35"/>
      <c r="O17" s="35"/>
      <c r="P17" s="35"/>
      <c r="Q17" s="35"/>
      <c r="R17" s="36"/>
    </row>
    <row r="18">
      <c r="A18" s="380">
        <v>2.0</v>
      </c>
      <c r="B18" s="381" t="s">
        <v>801</v>
      </c>
      <c r="C18" s="35"/>
      <c r="D18" s="343"/>
      <c r="E18" s="382" t="s">
        <v>802</v>
      </c>
      <c r="F18" s="35"/>
      <c r="G18" s="35"/>
      <c r="H18" s="35"/>
      <c r="I18" s="35"/>
      <c r="J18" s="381" t="s">
        <v>799</v>
      </c>
      <c r="K18" s="35"/>
      <c r="L18" s="35"/>
      <c r="M18" s="381" t="s">
        <v>803</v>
      </c>
      <c r="N18" s="35"/>
      <c r="O18" s="35"/>
      <c r="P18" s="35"/>
      <c r="Q18" s="35"/>
      <c r="R18" s="36"/>
    </row>
    <row r="19">
      <c r="A19" s="377">
        <v>3.0</v>
      </c>
      <c r="B19" s="378" t="s">
        <v>804</v>
      </c>
      <c r="C19" s="35"/>
      <c r="D19" s="343"/>
      <c r="E19" s="379" t="s">
        <v>805</v>
      </c>
      <c r="F19" s="35"/>
      <c r="G19" s="35"/>
      <c r="H19" s="35"/>
      <c r="I19" s="35"/>
      <c r="J19" s="378" t="s">
        <v>799</v>
      </c>
      <c r="K19" s="35"/>
      <c r="L19" s="35"/>
      <c r="M19" s="378" t="s">
        <v>806</v>
      </c>
      <c r="N19" s="35"/>
      <c r="O19" s="35"/>
      <c r="P19" s="35"/>
      <c r="Q19" s="35"/>
      <c r="R19" s="36"/>
    </row>
    <row r="20">
      <c r="A20" s="380">
        <v>4.0</v>
      </c>
      <c r="B20" s="381" t="s">
        <v>807</v>
      </c>
      <c r="C20" s="35"/>
      <c r="D20" s="343"/>
      <c r="E20" s="382" t="s">
        <v>808</v>
      </c>
      <c r="F20" s="35"/>
      <c r="G20" s="35"/>
      <c r="H20" s="35"/>
      <c r="I20" s="35"/>
      <c r="J20" s="381" t="s">
        <v>809</v>
      </c>
      <c r="K20" s="35"/>
      <c r="L20" s="35"/>
      <c r="M20" s="381" t="s">
        <v>810</v>
      </c>
      <c r="N20" s="35"/>
      <c r="O20" s="35"/>
      <c r="P20" s="35"/>
      <c r="Q20" s="35"/>
      <c r="R20" s="36"/>
    </row>
    <row r="21">
      <c r="A21" s="383">
        <v>5.0</v>
      </c>
      <c r="B21" s="384" t="s">
        <v>811</v>
      </c>
      <c r="C21" s="44"/>
      <c r="D21" s="354"/>
      <c r="E21" s="385" t="s">
        <v>812</v>
      </c>
      <c r="F21" s="44"/>
      <c r="G21" s="44"/>
      <c r="H21" s="44"/>
      <c r="I21" s="44"/>
      <c r="J21" s="384" t="s">
        <v>813</v>
      </c>
      <c r="K21" s="44"/>
      <c r="L21" s="44"/>
      <c r="M21" s="384" t="s">
        <v>814</v>
      </c>
      <c r="N21" s="44"/>
      <c r="O21" s="44"/>
      <c r="P21" s="44"/>
      <c r="Q21" s="44"/>
      <c r="R21" s="45"/>
    </row>
    <row r="24">
      <c r="C24" s="155"/>
      <c r="D24" s="373"/>
      <c r="E24" s="373"/>
      <c r="F24" s="373"/>
      <c r="G24" s="373"/>
      <c r="H24" s="155"/>
    </row>
    <row r="25">
      <c r="A25" s="155"/>
      <c r="B25" s="155"/>
      <c r="C25" s="371"/>
      <c r="D25" s="373"/>
      <c r="E25" s="373"/>
      <c r="F25" s="373"/>
      <c r="G25" s="373"/>
      <c r="H25" s="155"/>
      <c r="P25" s="7" t="s">
        <v>736</v>
      </c>
      <c r="Q25" s="8"/>
      <c r="R25" s="9"/>
    </row>
    <row r="26">
      <c r="A26" s="155"/>
      <c r="B26" s="371"/>
      <c r="C26" s="373"/>
      <c r="D26" s="373"/>
      <c r="E26" s="373"/>
      <c r="F26" s="373"/>
      <c r="G26" s="373"/>
      <c r="H26" s="155"/>
      <c r="P26" s="357" t="s">
        <v>15</v>
      </c>
      <c r="Q26" s="358"/>
      <c r="R26" s="359"/>
    </row>
    <row r="27">
      <c r="A27" s="155"/>
      <c r="B27" s="373"/>
      <c r="C27" s="373"/>
      <c r="D27" s="373"/>
      <c r="E27" s="373"/>
      <c r="F27" s="373"/>
      <c r="G27" s="373"/>
      <c r="H27" s="155"/>
    </row>
    <row r="28">
      <c r="A28" s="155"/>
      <c r="B28" s="373"/>
      <c r="C28" s="373"/>
      <c r="D28" s="373"/>
      <c r="E28" s="373"/>
      <c r="F28" s="373"/>
      <c r="G28" s="373"/>
      <c r="H28" s="155"/>
    </row>
    <row r="29">
      <c r="A29" s="155"/>
      <c r="B29" s="373"/>
      <c r="C29" s="373"/>
      <c r="D29" s="373"/>
      <c r="E29" s="373"/>
      <c r="F29" s="155"/>
      <c r="G29" s="155"/>
      <c r="H29" s="155"/>
    </row>
    <row r="30">
      <c r="A30" s="155"/>
      <c r="B30" s="373"/>
      <c r="C30" s="373"/>
      <c r="D30" s="373"/>
      <c r="E30" s="373"/>
      <c r="F30" s="155"/>
      <c r="G30" s="155"/>
      <c r="H30" s="155"/>
    </row>
    <row r="31">
      <c r="A31" s="155"/>
      <c r="B31" s="373"/>
      <c r="C31" s="386"/>
      <c r="D31" s="386"/>
      <c r="E31" s="386"/>
      <c r="F31" s="155"/>
      <c r="G31" s="155"/>
      <c r="H31" s="155"/>
    </row>
    <row r="32">
      <c r="A32" s="155"/>
      <c r="B32" s="386"/>
    </row>
    <row r="33">
      <c r="A33" s="155"/>
      <c r="B33" s="387"/>
      <c r="C33" s="387"/>
      <c r="D33" s="387"/>
      <c r="E33" s="387"/>
      <c r="F33" s="155"/>
      <c r="G33" s="155"/>
      <c r="H33" s="155"/>
    </row>
  </sheetData>
  <mergeCells count="47">
    <mergeCell ref="A1:R1"/>
    <mergeCell ref="A2:R2"/>
    <mergeCell ref="A3:D3"/>
    <mergeCell ref="E3:H3"/>
    <mergeCell ref="I3:M3"/>
    <mergeCell ref="N3:R3"/>
    <mergeCell ref="A5:R5"/>
    <mergeCell ref="K8:M10"/>
    <mergeCell ref="L11:M11"/>
    <mergeCell ref="B7:D7"/>
    <mergeCell ref="F7:H7"/>
    <mergeCell ref="K7:M7"/>
    <mergeCell ref="O7:Q7"/>
    <mergeCell ref="F8:H10"/>
    <mergeCell ref="O8:Q10"/>
    <mergeCell ref="G11:H11"/>
    <mergeCell ref="P11:Q11"/>
    <mergeCell ref="A13:R14"/>
    <mergeCell ref="E15:I16"/>
    <mergeCell ref="J15:L16"/>
    <mergeCell ref="M15:R16"/>
    <mergeCell ref="J17:L17"/>
    <mergeCell ref="M17:R17"/>
    <mergeCell ref="E20:I20"/>
    <mergeCell ref="J20:L20"/>
    <mergeCell ref="M20:R20"/>
    <mergeCell ref="E17:I17"/>
    <mergeCell ref="E18:I18"/>
    <mergeCell ref="J18:L18"/>
    <mergeCell ref="M18:R18"/>
    <mergeCell ref="E19:I19"/>
    <mergeCell ref="J19:L19"/>
    <mergeCell ref="M19:R19"/>
    <mergeCell ref="B20:D20"/>
    <mergeCell ref="B21:D21"/>
    <mergeCell ref="E21:I21"/>
    <mergeCell ref="J21:L21"/>
    <mergeCell ref="M21:R21"/>
    <mergeCell ref="P25:R25"/>
    <mergeCell ref="P26:R26"/>
    <mergeCell ref="B8:D10"/>
    <mergeCell ref="C11:D11"/>
    <mergeCell ref="A15:A16"/>
    <mergeCell ref="B15:D16"/>
    <mergeCell ref="B17:D17"/>
    <mergeCell ref="B18:D18"/>
    <mergeCell ref="B19:D19"/>
  </mergeCells>
  <hyperlinks>
    <hyperlink display="Открыть →" location="'Договоры и счета'!A1" ref="C11"/>
    <hyperlink display="Открыть →" location="'Продажа из наличия'!A1" ref="G11"/>
    <hyperlink display="Открыть →" location="'Предзаказ'!A1" ref="L11"/>
    <hyperlink display="Открыть →" location="'Шаблоны сообщений'!A1" ref="P11"/>
    <hyperlink display="Открыть →" location="'Главная'!A1" ref="P26"/>
  </hyperlin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16</v>
      </c>
      <c r="S1" s="2"/>
      <c r="T1" s="2"/>
      <c r="U1" s="2"/>
      <c r="V1" s="2"/>
      <c r="W1" s="2"/>
      <c r="X1" s="2"/>
      <c r="Y1" s="2"/>
      <c r="Z1" s="2"/>
    </row>
    <row r="2">
      <c r="A2" s="3" t="s">
        <v>815</v>
      </c>
      <c r="S2" s="2"/>
      <c r="T2" s="2"/>
      <c r="U2" s="2"/>
      <c r="V2" s="2"/>
      <c r="W2" s="2"/>
      <c r="X2" s="2"/>
      <c r="Y2" s="2"/>
      <c r="Z2" s="2"/>
    </row>
    <row r="3">
      <c r="A3" s="332" t="s">
        <v>2</v>
      </c>
      <c r="E3" s="332" t="s">
        <v>3</v>
      </c>
      <c r="I3" s="332" t="s">
        <v>4</v>
      </c>
      <c r="N3" s="332" t="s">
        <v>5</v>
      </c>
      <c r="S3" s="2"/>
      <c r="T3" s="2"/>
      <c r="U3" s="2"/>
      <c r="V3" s="2"/>
      <c r="W3" s="2"/>
      <c r="X3" s="2"/>
      <c r="Y3" s="2"/>
      <c r="Z3" s="2"/>
    </row>
    <row r="4">
      <c r="A4" s="5"/>
      <c r="B4" s="5"/>
      <c r="C4" s="5"/>
      <c r="D4" s="5"/>
      <c r="E4" s="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6</v>
      </c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7" t="s">
        <v>665</v>
      </c>
      <c r="C7" s="8"/>
      <c r="D7" s="9"/>
      <c r="E7" s="2"/>
      <c r="F7" s="7" t="s">
        <v>8</v>
      </c>
      <c r="G7" s="8"/>
      <c r="H7" s="9"/>
      <c r="I7" s="2"/>
      <c r="J7" s="2"/>
      <c r="K7" s="7" t="s">
        <v>9</v>
      </c>
      <c r="L7" s="8"/>
      <c r="M7" s="9"/>
      <c r="N7" s="2"/>
      <c r="O7" s="7" t="s">
        <v>667</v>
      </c>
      <c r="P7" s="8"/>
      <c r="Q7" s="9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0" t="s">
        <v>668</v>
      </c>
      <c r="D8" s="11"/>
      <c r="E8" s="2"/>
      <c r="F8" s="10" t="s">
        <v>12</v>
      </c>
      <c r="H8" s="11"/>
      <c r="I8" s="2"/>
      <c r="J8" s="2"/>
      <c r="K8" s="10" t="s">
        <v>13</v>
      </c>
      <c r="M8" s="11"/>
      <c r="N8" s="2"/>
      <c r="O8" s="10" t="s">
        <v>671</v>
      </c>
      <c r="Q8" s="11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2"/>
      <c r="D9" s="11"/>
      <c r="E9" s="2"/>
      <c r="F9" s="12"/>
      <c r="H9" s="11"/>
      <c r="I9" s="2"/>
      <c r="J9" s="2"/>
      <c r="K9" s="12"/>
      <c r="M9" s="11"/>
      <c r="N9" s="2"/>
      <c r="O9" s="12"/>
      <c r="Q9" s="11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3"/>
      <c r="C10" s="14"/>
      <c r="D10" s="15"/>
      <c r="E10" s="2"/>
      <c r="F10" s="13"/>
      <c r="G10" s="14"/>
      <c r="H10" s="15"/>
      <c r="I10" s="2"/>
      <c r="J10" s="2"/>
      <c r="K10" s="13"/>
      <c r="L10" s="14"/>
      <c r="M10" s="15"/>
      <c r="N10" s="2"/>
      <c r="O10" s="13"/>
      <c r="P10" s="14"/>
      <c r="Q10" s="15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6"/>
      <c r="C11" s="333" t="s">
        <v>15</v>
      </c>
      <c r="D11" s="18"/>
      <c r="E11" s="2"/>
      <c r="F11" s="2"/>
      <c r="G11" s="333" t="s">
        <v>15</v>
      </c>
      <c r="H11" s="18"/>
      <c r="I11" s="2"/>
      <c r="J11" s="2"/>
      <c r="K11" s="2"/>
      <c r="L11" s="333" t="s">
        <v>15</v>
      </c>
      <c r="M11" s="18"/>
      <c r="N11" s="2"/>
      <c r="O11" s="2"/>
      <c r="P11" s="333" t="s">
        <v>15</v>
      </c>
      <c r="Q11" s="18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88" t="s">
        <v>816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9"/>
      <c r="S13" s="2"/>
      <c r="T13" s="2"/>
      <c r="U13" s="2"/>
      <c r="V13" s="2"/>
      <c r="W13" s="2"/>
      <c r="X13" s="2"/>
      <c r="Y13" s="2"/>
      <c r="Z13" s="2"/>
    </row>
    <row r="14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5"/>
      <c r="S14" s="2"/>
      <c r="T14" s="2"/>
      <c r="U14" s="2"/>
      <c r="V14" s="2"/>
      <c r="W14" s="2"/>
      <c r="X14" s="2"/>
      <c r="Y14" s="2"/>
      <c r="Z14" s="2"/>
    </row>
    <row r="15">
      <c r="A15" s="336" t="s">
        <v>740</v>
      </c>
      <c r="B15" s="337" t="s">
        <v>817</v>
      </c>
      <c r="C15" s="8"/>
      <c r="D15" s="337" t="s">
        <v>818</v>
      </c>
      <c r="E15" s="8"/>
      <c r="F15" s="337" t="s">
        <v>819</v>
      </c>
      <c r="G15" s="8"/>
      <c r="H15" s="8"/>
      <c r="I15" s="337" t="s">
        <v>820</v>
      </c>
      <c r="J15" s="8"/>
      <c r="K15" s="337" t="s">
        <v>679</v>
      </c>
      <c r="L15" s="8"/>
      <c r="M15" s="337" t="s">
        <v>821</v>
      </c>
      <c r="N15" s="8"/>
      <c r="O15" s="337" t="s">
        <v>822</v>
      </c>
      <c r="P15" s="8"/>
      <c r="Q15" s="8"/>
      <c r="R15" s="9"/>
      <c r="S15" s="2"/>
      <c r="T15" s="2"/>
      <c r="U15" s="2"/>
      <c r="V15" s="2"/>
      <c r="W15" s="2"/>
      <c r="X15" s="2"/>
      <c r="Y15" s="2"/>
      <c r="Z15" s="2"/>
    </row>
    <row r="16">
      <c r="A16" s="338"/>
      <c r="B16" s="339"/>
      <c r="C16" s="339"/>
      <c r="D16" s="339"/>
      <c r="E16" s="339"/>
      <c r="F16" s="339"/>
      <c r="G16" s="339"/>
      <c r="H16" s="339"/>
      <c r="I16" s="339"/>
      <c r="J16" s="339"/>
      <c r="M16" s="339"/>
      <c r="N16" s="339"/>
      <c r="O16" s="339"/>
      <c r="P16" s="339"/>
      <c r="Q16" s="339"/>
      <c r="R16" s="340"/>
      <c r="S16" s="2"/>
      <c r="T16" s="2"/>
      <c r="U16" s="2"/>
      <c r="V16" s="2"/>
      <c r="W16" s="2"/>
      <c r="X16" s="2"/>
      <c r="Y16" s="2"/>
      <c r="Z16" s="2"/>
    </row>
    <row r="17">
      <c r="A17" s="389">
        <v>1.0</v>
      </c>
      <c r="B17" s="390" t="s">
        <v>823</v>
      </c>
      <c r="C17" s="391"/>
      <c r="D17" s="390" t="s">
        <v>748</v>
      </c>
      <c r="E17" s="391"/>
      <c r="F17" s="390" t="s">
        <v>824</v>
      </c>
      <c r="G17" s="392"/>
      <c r="H17" s="391"/>
      <c r="I17" s="390" t="s">
        <v>825</v>
      </c>
      <c r="J17" s="391"/>
      <c r="K17" s="390" t="s">
        <v>826</v>
      </c>
      <c r="L17" s="391"/>
      <c r="M17" s="390" t="s">
        <v>748</v>
      </c>
      <c r="N17" s="391"/>
      <c r="O17" s="390" t="s">
        <v>827</v>
      </c>
      <c r="P17" s="392"/>
      <c r="Q17" s="392"/>
      <c r="R17" s="393"/>
      <c r="S17" s="2"/>
      <c r="T17" s="2"/>
      <c r="U17" s="2"/>
      <c r="V17" s="2"/>
      <c r="W17" s="2"/>
      <c r="X17" s="2"/>
      <c r="Y17" s="2"/>
      <c r="Z17" s="2"/>
    </row>
    <row r="18">
      <c r="A18" s="394">
        <v>2.0</v>
      </c>
      <c r="B18" s="395" t="s">
        <v>9</v>
      </c>
      <c r="C18" s="396"/>
      <c r="D18" s="395" t="s">
        <v>828</v>
      </c>
      <c r="E18" s="396"/>
      <c r="F18" s="395" t="s">
        <v>829</v>
      </c>
      <c r="G18" s="397"/>
      <c r="H18" s="396"/>
      <c r="I18" s="395" t="s">
        <v>830</v>
      </c>
      <c r="J18" s="396"/>
      <c r="K18" s="395" t="s">
        <v>831</v>
      </c>
      <c r="L18" s="396"/>
      <c r="M18" s="395" t="s">
        <v>748</v>
      </c>
      <c r="N18" s="396"/>
      <c r="O18" s="395" t="s">
        <v>832</v>
      </c>
      <c r="P18" s="397"/>
      <c r="Q18" s="397"/>
      <c r="R18" s="398"/>
      <c r="S18" s="2"/>
      <c r="T18" s="2"/>
      <c r="U18" s="2"/>
      <c r="V18" s="2"/>
      <c r="W18" s="2"/>
      <c r="X18" s="2"/>
      <c r="Y18" s="2"/>
      <c r="Z18" s="2"/>
    </row>
    <row r="19">
      <c r="A19" s="399">
        <v>3.0</v>
      </c>
      <c r="B19" s="400" t="s">
        <v>833</v>
      </c>
      <c r="C19" s="401"/>
      <c r="D19" s="400" t="s">
        <v>834</v>
      </c>
      <c r="E19" s="401"/>
      <c r="F19" s="400" t="s">
        <v>835</v>
      </c>
      <c r="G19" s="402"/>
      <c r="H19" s="401"/>
      <c r="I19" s="400" t="s">
        <v>836</v>
      </c>
      <c r="J19" s="401"/>
      <c r="K19" s="400" t="s">
        <v>748</v>
      </c>
      <c r="L19" s="401"/>
      <c r="M19" s="400" t="s">
        <v>748</v>
      </c>
      <c r="N19" s="401"/>
      <c r="O19" s="400" t="s">
        <v>837</v>
      </c>
      <c r="P19" s="402"/>
      <c r="Q19" s="402"/>
      <c r="R19" s="403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04" t="s">
        <v>838</v>
      </c>
      <c r="B22" s="405"/>
      <c r="C22" s="405"/>
      <c r="D22" s="405"/>
      <c r="E22" s="405"/>
      <c r="F22" s="405"/>
      <c r="G22" s="405"/>
      <c r="H22" s="405"/>
      <c r="I22" s="405"/>
      <c r="J22" s="406"/>
      <c r="K22" s="407" t="s">
        <v>839</v>
      </c>
      <c r="L22" s="405"/>
      <c r="M22" s="405"/>
      <c r="N22" s="405"/>
      <c r="O22" s="405"/>
      <c r="P22" s="405"/>
      <c r="Q22" s="405"/>
      <c r="R22" s="406"/>
      <c r="S22" s="2"/>
      <c r="T22" s="2"/>
      <c r="U22" s="2"/>
      <c r="V22" s="2"/>
      <c r="W22" s="2"/>
      <c r="X22" s="2"/>
      <c r="Y22" s="2"/>
      <c r="Z22" s="2"/>
    </row>
    <row r="23">
      <c r="A23" s="408"/>
      <c r="B23" s="409"/>
      <c r="C23" s="409"/>
      <c r="D23" s="409"/>
      <c r="E23" s="409"/>
      <c r="F23" s="409"/>
      <c r="G23" s="409"/>
      <c r="H23" s="409"/>
      <c r="I23" s="409"/>
      <c r="J23" s="410"/>
      <c r="K23" s="411"/>
      <c r="L23" s="411"/>
      <c r="M23" s="411"/>
      <c r="N23" s="411"/>
      <c r="O23" s="411"/>
      <c r="P23" s="411"/>
      <c r="Q23" s="411"/>
      <c r="R23" s="412"/>
      <c r="S23" s="2"/>
      <c r="T23" s="2"/>
      <c r="U23" s="2"/>
      <c r="V23" s="2"/>
      <c r="W23" s="2"/>
      <c r="X23" s="2"/>
      <c r="Y23" s="2"/>
      <c r="Z23" s="2"/>
    </row>
    <row r="24">
      <c r="A24" s="413" t="s">
        <v>840</v>
      </c>
      <c r="B24" s="397"/>
      <c r="C24" s="396"/>
      <c r="D24" s="414" t="s">
        <v>841</v>
      </c>
      <c r="E24" s="397"/>
      <c r="F24" s="396"/>
      <c r="G24" s="414" t="s">
        <v>842</v>
      </c>
      <c r="H24" s="397"/>
      <c r="I24" s="397"/>
      <c r="J24" s="398"/>
      <c r="K24" s="415" t="s">
        <v>843</v>
      </c>
      <c r="L24" s="405"/>
      <c r="M24" s="405"/>
      <c r="N24" s="405"/>
      <c r="O24" s="405"/>
      <c r="P24" s="405"/>
      <c r="Q24" s="405"/>
      <c r="R24" s="406"/>
      <c r="S24" s="2"/>
      <c r="T24" s="2"/>
      <c r="U24" s="2"/>
      <c r="V24" s="2"/>
      <c r="W24" s="2"/>
      <c r="X24" s="2"/>
      <c r="Y24" s="2"/>
      <c r="Z24" s="2"/>
    </row>
    <row r="25">
      <c r="A25" s="416" t="s">
        <v>844</v>
      </c>
      <c r="B25" s="397"/>
      <c r="C25" s="396"/>
      <c r="D25" s="417" t="s">
        <v>845</v>
      </c>
      <c r="E25" s="397"/>
      <c r="F25" s="396"/>
      <c r="G25" s="417" t="s">
        <v>846</v>
      </c>
      <c r="H25" s="397"/>
      <c r="I25" s="397"/>
      <c r="J25" s="398"/>
      <c r="K25" s="418"/>
      <c r="R25" s="419"/>
      <c r="S25" s="2"/>
      <c r="T25" s="2"/>
      <c r="U25" s="2"/>
      <c r="V25" s="2"/>
      <c r="W25" s="2"/>
      <c r="X25" s="2"/>
      <c r="Y25" s="2"/>
      <c r="Z25" s="2"/>
    </row>
    <row r="26">
      <c r="A26" s="420" t="s">
        <v>847</v>
      </c>
      <c r="B26" s="397"/>
      <c r="C26" s="396"/>
      <c r="D26" s="421" t="s">
        <v>845</v>
      </c>
      <c r="E26" s="397"/>
      <c r="F26" s="396"/>
      <c r="G26" s="421" t="s">
        <v>848</v>
      </c>
      <c r="H26" s="397"/>
      <c r="I26" s="397"/>
      <c r="J26" s="398"/>
      <c r="K26" s="418"/>
      <c r="R26" s="419"/>
      <c r="S26" s="2"/>
      <c r="T26" s="2"/>
      <c r="U26" s="2"/>
      <c r="V26" s="2"/>
      <c r="W26" s="2"/>
      <c r="X26" s="2"/>
      <c r="Y26" s="2"/>
      <c r="Z26" s="2"/>
    </row>
    <row r="27">
      <c r="A27" s="416" t="s">
        <v>849</v>
      </c>
      <c r="B27" s="397"/>
      <c r="C27" s="396"/>
      <c r="D27" s="417" t="s">
        <v>845</v>
      </c>
      <c r="E27" s="397"/>
      <c r="F27" s="396"/>
      <c r="G27" s="422" t="s">
        <v>850</v>
      </c>
      <c r="H27" s="397"/>
      <c r="I27" s="397"/>
      <c r="J27" s="398"/>
      <c r="K27" s="418"/>
      <c r="R27" s="419"/>
      <c r="S27" s="2"/>
      <c r="T27" s="2"/>
      <c r="U27" s="2"/>
      <c r="V27" s="2"/>
      <c r="W27" s="2"/>
      <c r="X27" s="2"/>
      <c r="Y27" s="2"/>
      <c r="Z27" s="2"/>
    </row>
    <row r="28">
      <c r="A28" s="420" t="s">
        <v>851</v>
      </c>
      <c r="B28" s="397"/>
      <c r="C28" s="396"/>
      <c r="D28" s="421" t="s">
        <v>845</v>
      </c>
      <c r="E28" s="397"/>
      <c r="F28" s="396"/>
      <c r="G28" s="421" t="s">
        <v>852</v>
      </c>
      <c r="H28" s="397"/>
      <c r="I28" s="397"/>
      <c r="J28" s="398"/>
      <c r="K28" s="418"/>
      <c r="R28" s="419"/>
      <c r="S28" s="2"/>
      <c r="T28" s="2"/>
      <c r="U28" s="2"/>
      <c r="V28" s="2"/>
      <c r="W28" s="2"/>
      <c r="X28" s="2"/>
      <c r="Y28" s="2"/>
      <c r="Z28" s="2"/>
    </row>
    <row r="29">
      <c r="A29" s="416" t="s">
        <v>853</v>
      </c>
      <c r="B29" s="397"/>
      <c r="C29" s="396"/>
      <c r="D29" s="417" t="s">
        <v>845</v>
      </c>
      <c r="E29" s="397"/>
      <c r="F29" s="396"/>
      <c r="G29" s="417" t="s">
        <v>854</v>
      </c>
      <c r="H29" s="397"/>
      <c r="I29" s="397"/>
      <c r="J29" s="398"/>
      <c r="K29" s="418"/>
      <c r="R29" s="419"/>
      <c r="S29" s="2"/>
      <c r="T29" s="2"/>
      <c r="U29" s="2"/>
      <c r="V29" s="2"/>
      <c r="W29" s="2"/>
      <c r="X29" s="2"/>
      <c r="Y29" s="2"/>
      <c r="Z29" s="2"/>
    </row>
    <row r="30">
      <c r="A30" s="423" t="s">
        <v>855</v>
      </c>
      <c r="B30" s="402"/>
      <c r="C30" s="401"/>
      <c r="D30" s="424" t="s">
        <v>856</v>
      </c>
      <c r="E30" s="402"/>
      <c r="F30" s="401"/>
      <c r="G30" s="424" t="s">
        <v>857</v>
      </c>
      <c r="H30" s="402"/>
      <c r="I30" s="402"/>
      <c r="J30" s="403"/>
      <c r="K30" s="425"/>
      <c r="L30" s="411"/>
      <c r="M30" s="411"/>
      <c r="N30" s="411"/>
      <c r="O30" s="411"/>
      <c r="P30" s="411"/>
      <c r="Q30" s="411"/>
      <c r="R30" s="412"/>
      <c r="S30" s="2"/>
      <c r="T30" s="2"/>
      <c r="U30" s="2"/>
      <c r="V30" s="2"/>
      <c r="W30" s="2"/>
      <c r="X30" s="2"/>
      <c r="Y30" s="2"/>
      <c r="Z30" s="2"/>
    </row>
    <row r="31">
      <c r="A31" s="361"/>
      <c r="B31" s="426"/>
      <c r="C31" s="426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361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361"/>
      <c r="C32" s="361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361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361"/>
      <c r="C33" s="20"/>
      <c r="L33" s="361"/>
      <c r="M33" s="361"/>
      <c r="N33" s="361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361"/>
      <c r="C34" s="427"/>
      <c r="D34" s="427"/>
      <c r="E34" s="427"/>
      <c r="F34" s="426"/>
      <c r="G34" s="426"/>
      <c r="H34" s="426"/>
      <c r="I34" s="426"/>
      <c r="J34" s="426"/>
      <c r="K34" s="426"/>
      <c r="L34" s="2"/>
      <c r="M34" s="2"/>
      <c r="N34" s="2"/>
      <c r="O34" s="2"/>
      <c r="P34" s="7" t="s">
        <v>736</v>
      </c>
      <c r="Q34" s="8"/>
      <c r="R34" s="9"/>
      <c r="S34" s="2"/>
      <c r="T34" s="2"/>
      <c r="U34" s="2"/>
      <c r="V34" s="2"/>
      <c r="W34" s="2"/>
      <c r="X34" s="2"/>
      <c r="Y34" s="2"/>
      <c r="Z34" s="2"/>
    </row>
    <row r="35">
      <c r="A35" s="2"/>
      <c r="B35" s="361"/>
      <c r="C35" s="428"/>
      <c r="D35" s="428"/>
      <c r="E35" s="428"/>
      <c r="F35" s="426"/>
      <c r="G35" s="426"/>
      <c r="H35" s="426"/>
      <c r="I35" s="426"/>
      <c r="J35" s="426"/>
      <c r="K35" s="426"/>
      <c r="L35" s="2"/>
      <c r="M35" s="2"/>
      <c r="N35" s="2"/>
      <c r="O35" s="2"/>
      <c r="P35" s="357" t="s">
        <v>15</v>
      </c>
      <c r="Q35" s="358"/>
      <c r="R35" s="359"/>
      <c r="S35" s="2"/>
      <c r="T35" s="2"/>
      <c r="U35" s="2"/>
      <c r="V35" s="2"/>
      <c r="W35" s="2"/>
      <c r="X35" s="2"/>
      <c r="Y35" s="2"/>
      <c r="Z35" s="2"/>
    </row>
    <row r="36">
      <c r="A36" s="2"/>
      <c r="B36" s="361"/>
      <c r="C36" s="428"/>
      <c r="D36" s="428"/>
      <c r="E36" s="428"/>
      <c r="F36" s="426"/>
      <c r="G36" s="426"/>
      <c r="I36" s="426"/>
      <c r="K36" s="426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361"/>
      <c r="C37" s="428"/>
      <c r="D37" s="428"/>
      <c r="E37" s="428"/>
      <c r="F37" s="426"/>
      <c r="G37" s="426"/>
      <c r="H37" s="426"/>
      <c r="I37" s="426"/>
      <c r="J37" s="426"/>
      <c r="K37" s="426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361"/>
      <c r="C38" s="428"/>
      <c r="D38" s="428"/>
      <c r="E38" s="428"/>
      <c r="F38" s="426"/>
      <c r="G38" s="426"/>
      <c r="H38" s="426"/>
      <c r="I38" s="426"/>
      <c r="J38" s="426"/>
      <c r="K38" s="426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361"/>
      <c r="C39" s="428"/>
      <c r="D39" s="428"/>
      <c r="E39" s="428"/>
      <c r="F39" s="426"/>
      <c r="G39" s="426"/>
      <c r="H39" s="426"/>
      <c r="I39" s="426"/>
      <c r="J39" s="426"/>
      <c r="K39" s="426"/>
      <c r="L39" s="426"/>
      <c r="M39" s="426"/>
      <c r="N39" s="426"/>
      <c r="O39" s="426"/>
      <c r="P39" s="426"/>
      <c r="Q39" s="426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361"/>
      <c r="C40" s="428"/>
      <c r="D40" s="428"/>
      <c r="E40" s="428"/>
      <c r="F40" s="426"/>
      <c r="G40" s="426"/>
      <c r="H40" s="426"/>
      <c r="I40" s="426"/>
      <c r="J40" s="426"/>
      <c r="K40" s="426"/>
      <c r="L40" s="426"/>
      <c r="M40" s="426"/>
      <c r="N40" s="426"/>
      <c r="O40" s="426"/>
      <c r="P40" s="426"/>
      <c r="Q40" s="426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361"/>
      <c r="C41" s="428"/>
      <c r="D41" s="428"/>
      <c r="E41" s="428"/>
      <c r="F41" s="426"/>
      <c r="G41" s="426"/>
      <c r="H41" s="426"/>
      <c r="I41" s="426"/>
      <c r="J41" s="426"/>
      <c r="K41" s="426"/>
      <c r="L41" s="426"/>
      <c r="M41" s="426"/>
      <c r="N41" s="426"/>
      <c r="O41" s="426"/>
      <c r="P41" s="426"/>
      <c r="Q41" s="426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361"/>
      <c r="C42" s="428"/>
      <c r="D42" s="428"/>
      <c r="E42" s="428"/>
      <c r="F42" s="426"/>
      <c r="G42" s="426"/>
      <c r="H42" s="426"/>
      <c r="I42" s="426"/>
      <c r="J42" s="426"/>
      <c r="K42" s="426"/>
      <c r="L42" s="426"/>
      <c r="M42" s="426"/>
      <c r="N42" s="426"/>
      <c r="O42" s="426"/>
      <c r="P42" s="426"/>
      <c r="Q42" s="426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361"/>
      <c r="C43" s="428"/>
      <c r="D43" s="428"/>
      <c r="E43" s="428"/>
      <c r="F43" s="426"/>
      <c r="G43" s="426"/>
      <c r="H43" s="426"/>
      <c r="I43" s="426"/>
      <c r="J43" s="426"/>
      <c r="K43" s="426"/>
      <c r="L43" s="426"/>
      <c r="M43" s="426"/>
      <c r="N43" s="426"/>
      <c r="O43" s="426"/>
      <c r="P43" s="426"/>
      <c r="Q43" s="426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361"/>
      <c r="C44" s="361"/>
      <c r="D44" s="361"/>
      <c r="E44" s="361"/>
      <c r="F44" s="361"/>
      <c r="G44" s="361"/>
      <c r="H44" s="361"/>
      <c r="I44" s="426"/>
      <c r="J44" s="426"/>
      <c r="K44" s="426"/>
      <c r="L44" s="426"/>
      <c r="M44" s="426"/>
      <c r="N44" s="426"/>
      <c r="O44" s="426"/>
      <c r="P44" s="426"/>
      <c r="Q44" s="426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426"/>
      <c r="J45" s="426"/>
      <c r="K45" s="426"/>
      <c r="L45" s="426"/>
      <c r="M45" s="426"/>
      <c r="N45" s="426"/>
      <c r="O45" s="426"/>
      <c r="P45" s="426"/>
      <c r="Q45" s="426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426"/>
      <c r="J46" s="426"/>
      <c r="K46" s="426"/>
      <c r="L46" s="426"/>
      <c r="M46" s="426"/>
      <c r="N46" s="426"/>
      <c r="O46" s="426"/>
      <c r="P46" s="426"/>
      <c r="Q46" s="426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426"/>
      <c r="J47" s="426"/>
      <c r="K47" s="426"/>
      <c r="L47" s="426"/>
      <c r="M47" s="426"/>
      <c r="N47" s="426"/>
      <c r="O47" s="426"/>
      <c r="P47" s="426"/>
      <c r="Q47" s="426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76">
    <mergeCell ref="P11:Q11"/>
    <mergeCell ref="A13:R14"/>
    <mergeCell ref="O15:R16"/>
    <mergeCell ref="B8:D10"/>
    <mergeCell ref="C11:D11"/>
    <mergeCell ref="A15:A16"/>
    <mergeCell ref="B15:C16"/>
    <mergeCell ref="D15:E16"/>
    <mergeCell ref="F15:H16"/>
    <mergeCell ref="I15:J16"/>
    <mergeCell ref="A26:C26"/>
    <mergeCell ref="D26:F26"/>
    <mergeCell ref="G26:J26"/>
    <mergeCell ref="A22:J23"/>
    <mergeCell ref="A24:C24"/>
    <mergeCell ref="D24:F24"/>
    <mergeCell ref="G24:J24"/>
    <mergeCell ref="A25:C25"/>
    <mergeCell ref="D25:F25"/>
    <mergeCell ref="G25:J25"/>
    <mergeCell ref="D29:F29"/>
    <mergeCell ref="G29:J29"/>
    <mergeCell ref="A30:C30"/>
    <mergeCell ref="D30:F30"/>
    <mergeCell ref="C33:K33"/>
    <mergeCell ref="P34:R34"/>
    <mergeCell ref="P35:R35"/>
    <mergeCell ref="K22:R23"/>
    <mergeCell ref="K24:R30"/>
    <mergeCell ref="A27:C27"/>
    <mergeCell ref="D27:F27"/>
    <mergeCell ref="G27:J27"/>
    <mergeCell ref="D28:F28"/>
    <mergeCell ref="G28:J28"/>
    <mergeCell ref="G30:J30"/>
    <mergeCell ref="A1:R1"/>
    <mergeCell ref="A2:R2"/>
    <mergeCell ref="A3:D3"/>
    <mergeCell ref="E3:H3"/>
    <mergeCell ref="I3:M3"/>
    <mergeCell ref="N3:R3"/>
    <mergeCell ref="A5:R5"/>
    <mergeCell ref="K8:M10"/>
    <mergeCell ref="L11:M11"/>
    <mergeCell ref="K15:L16"/>
    <mergeCell ref="M15:N16"/>
    <mergeCell ref="B7:D7"/>
    <mergeCell ref="F7:H7"/>
    <mergeCell ref="K7:M7"/>
    <mergeCell ref="O7:Q7"/>
    <mergeCell ref="F8:H10"/>
    <mergeCell ref="O8:Q10"/>
    <mergeCell ref="G11:H11"/>
    <mergeCell ref="B17:C17"/>
    <mergeCell ref="D17:E17"/>
    <mergeCell ref="F17:H17"/>
    <mergeCell ref="I17:J17"/>
    <mergeCell ref="K17:L17"/>
    <mergeCell ref="M17:N17"/>
    <mergeCell ref="O17:R17"/>
    <mergeCell ref="B18:C18"/>
    <mergeCell ref="D18:E18"/>
    <mergeCell ref="F18:H18"/>
    <mergeCell ref="I18:J18"/>
    <mergeCell ref="K18:L18"/>
    <mergeCell ref="M18:N18"/>
    <mergeCell ref="O18:R18"/>
    <mergeCell ref="B19:C19"/>
    <mergeCell ref="D19:E19"/>
    <mergeCell ref="F19:H19"/>
    <mergeCell ref="I19:J19"/>
    <mergeCell ref="K19:L19"/>
    <mergeCell ref="M19:N19"/>
    <mergeCell ref="O19:R19"/>
    <mergeCell ref="A28:C28"/>
    <mergeCell ref="A29:C29"/>
  </mergeCells>
  <hyperlinks>
    <hyperlink display="Открыть →" location="'Договоры и счета'!A1" ref="C11"/>
    <hyperlink display="Открыть →" location="'Продажа из наличия'!A1" ref="G11"/>
    <hyperlink display="Открыть →" location="'Предзаказ'!A1" ref="L11"/>
    <hyperlink display="Открыть →" location="'Шаблоны сообщений'!A1" ref="P11"/>
    <hyperlink display="Открыть →" location="'Главная'!A1" ref="P35"/>
  </hyperlin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858</v>
      </c>
      <c r="S1" s="2"/>
      <c r="T1" s="2"/>
      <c r="U1" s="2"/>
      <c r="V1" s="2"/>
      <c r="W1" s="2"/>
      <c r="X1" s="2"/>
      <c r="Y1" s="2"/>
      <c r="Z1" s="2"/>
    </row>
    <row r="2">
      <c r="A2" s="3" t="s">
        <v>859</v>
      </c>
      <c r="S2" s="2"/>
      <c r="T2" s="2"/>
      <c r="U2" s="2"/>
      <c r="V2" s="2"/>
      <c r="W2" s="2"/>
      <c r="X2" s="2"/>
      <c r="Y2" s="2"/>
      <c r="Z2" s="2"/>
    </row>
    <row r="3">
      <c r="A3" s="332" t="s">
        <v>2</v>
      </c>
      <c r="E3" s="332" t="s">
        <v>3</v>
      </c>
      <c r="I3" s="332" t="s">
        <v>4</v>
      </c>
      <c r="N3" s="332" t="s">
        <v>5</v>
      </c>
      <c r="S3" s="2"/>
      <c r="T3" s="2"/>
      <c r="U3" s="2"/>
      <c r="V3" s="2"/>
      <c r="W3" s="2"/>
      <c r="X3" s="2"/>
      <c r="Y3" s="2"/>
      <c r="Z3" s="2"/>
    </row>
    <row r="4">
      <c r="A4" s="5"/>
      <c r="B4" s="5"/>
      <c r="C4" s="5"/>
      <c r="D4" s="5"/>
      <c r="E4" s="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6</v>
      </c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7" t="s">
        <v>7</v>
      </c>
      <c r="C7" s="8"/>
      <c r="D7" s="9"/>
      <c r="E7" s="2"/>
      <c r="F7" s="7" t="s">
        <v>8</v>
      </c>
      <c r="G7" s="8"/>
      <c r="H7" s="9"/>
      <c r="I7" s="2"/>
      <c r="J7" s="2"/>
      <c r="K7" s="7" t="s">
        <v>9</v>
      </c>
      <c r="L7" s="8"/>
      <c r="M7" s="9"/>
      <c r="N7" s="2"/>
      <c r="O7" s="7" t="s">
        <v>667</v>
      </c>
      <c r="P7" s="8"/>
      <c r="Q7" s="9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10" t="s">
        <v>11</v>
      </c>
      <c r="D8" s="11"/>
      <c r="E8" s="2"/>
      <c r="F8" s="10" t="s">
        <v>12</v>
      </c>
      <c r="H8" s="11"/>
      <c r="I8" s="2"/>
      <c r="J8" s="2"/>
      <c r="K8" s="10" t="s">
        <v>13</v>
      </c>
      <c r="M8" s="11"/>
      <c r="N8" s="2"/>
      <c r="O8" s="10" t="s">
        <v>671</v>
      </c>
      <c r="Q8" s="11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12"/>
      <c r="D9" s="11"/>
      <c r="E9" s="2"/>
      <c r="F9" s="12"/>
      <c r="H9" s="11"/>
      <c r="I9" s="2"/>
      <c r="J9" s="2"/>
      <c r="K9" s="12"/>
      <c r="M9" s="11"/>
      <c r="N9" s="2"/>
      <c r="O9" s="12"/>
      <c r="Q9" s="11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3"/>
      <c r="C10" s="14"/>
      <c r="D10" s="15"/>
      <c r="E10" s="2"/>
      <c r="F10" s="13"/>
      <c r="G10" s="14"/>
      <c r="H10" s="15"/>
      <c r="I10" s="2"/>
      <c r="J10" s="2"/>
      <c r="K10" s="13"/>
      <c r="L10" s="14"/>
      <c r="M10" s="15"/>
      <c r="N10" s="2"/>
      <c r="O10" s="13"/>
      <c r="P10" s="14"/>
      <c r="Q10" s="15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6"/>
      <c r="C11" s="17" t="s">
        <v>15</v>
      </c>
      <c r="D11" s="18"/>
      <c r="E11" s="2"/>
      <c r="F11" s="2"/>
      <c r="G11" s="333" t="s">
        <v>15</v>
      </c>
      <c r="H11" s="18"/>
      <c r="I11" s="2"/>
      <c r="J11" s="2"/>
      <c r="K11" s="2"/>
      <c r="L11" s="333" t="s">
        <v>15</v>
      </c>
      <c r="M11" s="18"/>
      <c r="N11" s="2"/>
      <c r="O11" s="2"/>
      <c r="P11" s="333" t="s">
        <v>15</v>
      </c>
      <c r="Q11" s="18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29" t="s">
        <v>860</v>
      </c>
      <c r="B15" s="405"/>
      <c r="C15" s="405"/>
      <c r="D15" s="405"/>
      <c r="E15" s="405"/>
      <c r="F15" s="405"/>
      <c r="G15" s="405"/>
      <c r="H15" s="405"/>
      <c r="I15" s="405"/>
      <c r="J15" s="405"/>
      <c r="K15" s="405"/>
      <c r="L15" s="406"/>
      <c r="M15" s="430" t="s">
        <v>861</v>
      </c>
      <c r="N15" s="405"/>
      <c r="O15" s="405"/>
      <c r="P15" s="405"/>
      <c r="Q15" s="405"/>
      <c r="R15" s="406"/>
      <c r="S15" s="2"/>
      <c r="T15" s="2"/>
      <c r="U15" s="2"/>
      <c r="V15" s="2"/>
      <c r="W15" s="2"/>
      <c r="X15" s="2"/>
      <c r="Y15" s="2"/>
      <c r="Z15" s="2"/>
    </row>
    <row r="16">
      <c r="A16" s="425"/>
      <c r="B16" s="411"/>
      <c r="C16" s="411"/>
      <c r="D16" s="411"/>
      <c r="E16" s="411"/>
      <c r="F16" s="411"/>
      <c r="G16" s="411"/>
      <c r="H16" s="411"/>
      <c r="I16" s="411"/>
      <c r="J16" s="411"/>
      <c r="K16" s="411"/>
      <c r="L16" s="412"/>
      <c r="M16" s="411"/>
      <c r="N16" s="411"/>
      <c r="O16" s="411"/>
      <c r="P16" s="411"/>
      <c r="Q16" s="411"/>
      <c r="R16" s="412"/>
      <c r="S16" s="2"/>
      <c r="T16" s="2"/>
      <c r="U16" s="2"/>
      <c r="V16" s="2"/>
      <c r="W16" s="2"/>
      <c r="X16" s="2"/>
      <c r="Y16" s="2"/>
      <c r="Z16" s="2"/>
    </row>
    <row r="17">
      <c r="A17" s="431" t="s">
        <v>817</v>
      </c>
      <c r="B17" s="397"/>
      <c r="C17" s="396"/>
      <c r="D17" s="432" t="s">
        <v>862</v>
      </c>
      <c r="E17" s="397"/>
      <c r="F17" s="396"/>
      <c r="G17" s="432" t="s">
        <v>795</v>
      </c>
      <c r="H17" s="397"/>
      <c r="I17" s="433" t="s">
        <v>680</v>
      </c>
      <c r="J17" s="397"/>
      <c r="K17" s="433" t="s">
        <v>863</v>
      </c>
      <c r="L17" s="398"/>
      <c r="M17" s="434" t="s">
        <v>840</v>
      </c>
      <c r="N17" s="435"/>
      <c r="O17" s="436"/>
      <c r="P17" s="434" t="s">
        <v>842</v>
      </c>
      <c r="Q17" s="435"/>
      <c r="R17" s="436"/>
      <c r="S17" s="2"/>
      <c r="T17" s="2"/>
      <c r="U17" s="2"/>
      <c r="V17" s="2"/>
      <c r="W17" s="2"/>
      <c r="X17" s="2"/>
      <c r="Y17" s="2"/>
      <c r="Z17" s="2"/>
    </row>
    <row r="18">
      <c r="A18" s="437" t="s">
        <v>864</v>
      </c>
      <c r="B18" s="397"/>
      <c r="C18" s="396"/>
      <c r="D18" s="417" t="s">
        <v>865</v>
      </c>
      <c r="E18" s="397"/>
      <c r="F18" s="396"/>
      <c r="G18" s="417" t="s">
        <v>691</v>
      </c>
      <c r="H18" s="397"/>
      <c r="I18" s="438" t="s">
        <v>866</v>
      </c>
      <c r="J18" s="397"/>
      <c r="K18" s="438" t="s">
        <v>867</v>
      </c>
      <c r="L18" s="398"/>
      <c r="M18" s="439" t="s">
        <v>868</v>
      </c>
      <c r="N18" s="440"/>
      <c r="O18" s="441"/>
      <c r="P18" s="442" t="s">
        <v>869</v>
      </c>
      <c r="Q18" s="440"/>
      <c r="R18" s="443"/>
      <c r="S18" s="2"/>
      <c r="T18" s="2"/>
      <c r="U18" s="2"/>
      <c r="V18" s="2"/>
      <c r="W18" s="2"/>
      <c r="X18" s="2"/>
      <c r="Y18" s="2"/>
      <c r="Z18" s="2"/>
    </row>
    <row r="19">
      <c r="A19" s="444" t="s">
        <v>870</v>
      </c>
      <c r="B19" s="397"/>
      <c r="C19" s="396"/>
      <c r="D19" s="421" t="s">
        <v>871</v>
      </c>
      <c r="E19" s="397"/>
      <c r="F19" s="396"/>
      <c r="G19" s="421" t="s">
        <v>691</v>
      </c>
      <c r="H19" s="397"/>
      <c r="I19" s="445" t="s">
        <v>872</v>
      </c>
      <c r="J19" s="397"/>
      <c r="K19" s="445" t="s">
        <v>873</v>
      </c>
      <c r="L19" s="398"/>
      <c r="M19" s="446" t="s">
        <v>874</v>
      </c>
      <c r="N19" s="447"/>
      <c r="O19" s="448"/>
      <c r="P19" s="449" t="s">
        <v>875</v>
      </c>
      <c r="Q19" s="447"/>
      <c r="R19" s="450"/>
      <c r="S19" s="2"/>
      <c r="T19" s="2"/>
      <c r="U19" s="2"/>
      <c r="V19" s="2"/>
      <c r="W19" s="2"/>
      <c r="X19" s="2"/>
      <c r="Y19" s="2"/>
      <c r="Z19" s="2"/>
    </row>
    <row r="20">
      <c r="A20" s="437" t="s">
        <v>9</v>
      </c>
      <c r="B20" s="397"/>
      <c r="C20" s="396"/>
      <c r="D20" s="417" t="s">
        <v>876</v>
      </c>
      <c r="E20" s="397"/>
      <c r="F20" s="396"/>
      <c r="G20" s="451" t="s">
        <v>691</v>
      </c>
      <c r="H20" s="397"/>
      <c r="I20" s="452" t="s">
        <v>877</v>
      </c>
      <c r="J20" s="397"/>
      <c r="K20" s="452" t="s">
        <v>878</v>
      </c>
      <c r="L20" s="398"/>
      <c r="M20" s="446" t="s">
        <v>879</v>
      </c>
      <c r="N20" s="447"/>
      <c r="O20" s="448"/>
      <c r="P20" s="449" t="s">
        <v>880</v>
      </c>
      <c r="Q20" s="447"/>
      <c r="R20" s="450"/>
      <c r="S20" s="2"/>
      <c r="T20" s="2"/>
      <c r="U20" s="2"/>
      <c r="V20" s="2"/>
      <c r="W20" s="2"/>
      <c r="X20" s="2"/>
      <c r="Y20" s="2"/>
      <c r="Z20" s="2"/>
    </row>
    <row r="21" ht="41.25" customHeight="1">
      <c r="A21" s="453"/>
      <c r="B21" s="426"/>
      <c r="C21" s="426"/>
      <c r="D21" s="454"/>
      <c r="E21" s="454"/>
      <c r="F21" s="454"/>
      <c r="G21" s="454"/>
      <c r="H21" s="454"/>
      <c r="I21" s="454"/>
      <c r="J21" s="454"/>
      <c r="K21" s="454"/>
      <c r="L21" s="454"/>
      <c r="M21" s="455" t="s">
        <v>881</v>
      </c>
      <c r="N21" s="447"/>
      <c r="O21" s="448"/>
      <c r="P21" s="456" t="s">
        <v>882</v>
      </c>
      <c r="Q21" s="447"/>
      <c r="R21" s="450"/>
      <c r="S21" s="2"/>
      <c r="T21" s="2"/>
      <c r="U21" s="2"/>
      <c r="V21" s="2"/>
      <c r="W21" s="2"/>
      <c r="X21" s="2"/>
      <c r="Y21" s="2"/>
      <c r="Z21" s="2"/>
    </row>
    <row r="22">
      <c r="A22" s="457"/>
      <c r="B22" s="453"/>
      <c r="C22" s="453"/>
      <c r="D22" s="454"/>
      <c r="E22" s="454"/>
      <c r="F22" s="454"/>
      <c r="G22" s="454"/>
      <c r="H22" s="454"/>
      <c r="I22" s="454"/>
      <c r="J22" s="454"/>
      <c r="K22" s="454"/>
      <c r="L22" s="454"/>
      <c r="M22" s="458" t="s">
        <v>883</v>
      </c>
      <c r="N22" s="447"/>
      <c r="O22" s="448"/>
      <c r="P22" s="456" t="s">
        <v>884</v>
      </c>
      <c r="Q22" s="447"/>
      <c r="R22" s="450"/>
      <c r="S22" s="2"/>
      <c r="T22" s="2"/>
      <c r="U22" s="2"/>
      <c r="V22" s="2"/>
      <c r="W22" s="2"/>
      <c r="X22" s="2"/>
      <c r="Y22" s="2"/>
      <c r="Z22" s="2"/>
    </row>
    <row r="23">
      <c r="A23" s="457"/>
      <c r="B23" s="453"/>
      <c r="C23" s="454"/>
      <c r="L23" s="453"/>
      <c r="M23" s="458" t="s">
        <v>885</v>
      </c>
      <c r="N23" s="447"/>
      <c r="O23" s="448"/>
      <c r="P23" s="456" t="s">
        <v>886</v>
      </c>
      <c r="Q23" s="447"/>
      <c r="R23" s="450"/>
      <c r="S23" s="2"/>
      <c r="T23" s="2"/>
      <c r="U23" s="2"/>
      <c r="V23" s="2"/>
      <c r="W23" s="2"/>
      <c r="X23" s="2"/>
      <c r="Y23" s="2"/>
      <c r="Z23" s="2"/>
    </row>
    <row r="24">
      <c r="A24" s="457"/>
      <c r="B24" s="453"/>
      <c r="C24" s="459"/>
      <c r="D24" s="459"/>
      <c r="E24" s="459"/>
      <c r="F24" s="426"/>
      <c r="G24" s="426"/>
      <c r="H24" s="426"/>
      <c r="I24" s="426"/>
      <c r="J24" s="426"/>
      <c r="K24" s="426"/>
      <c r="L24" s="457"/>
      <c r="M24" s="460" t="s">
        <v>887</v>
      </c>
      <c r="N24" s="461"/>
      <c r="O24" s="462"/>
      <c r="P24" s="463" t="s">
        <v>888</v>
      </c>
      <c r="Q24" s="461"/>
      <c r="R24" s="464"/>
      <c r="S24" s="2"/>
      <c r="T24" s="2"/>
      <c r="U24" s="2"/>
      <c r="V24" s="2"/>
      <c r="W24" s="2"/>
      <c r="X24" s="2"/>
      <c r="Y24" s="2"/>
      <c r="Z24" s="2"/>
    </row>
    <row r="25">
      <c r="A25" s="2"/>
      <c r="B25" s="361"/>
      <c r="C25" s="428"/>
      <c r="D25" s="428"/>
      <c r="E25" s="428"/>
      <c r="F25" s="426"/>
      <c r="G25" s="426"/>
      <c r="H25" s="426"/>
      <c r="I25" s="426"/>
      <c r="J25" s="426"/>
      <c r="K25" s="42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361"/>
      <c r="C26" s="428"/>
      <c r="D26" s="428"/>
      <c r="E26" s="428"/>
      <c r="F26" s="426"/>
      <c r="G26" s="426"/>
      <c r="I26" s="426"/>
      <c r="K26" s="42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361"/>
      <c r="C27" s="428"/>
      <c r="D27" s="428"/>
      <c r="E27" s="428"/>
      <c r="F27" s="426"/>
      <c r="G27" s="426"/>
      <c r="H27" s="426"/>
      <c r="I27" s="426"/>
      <c r="J27" s="426"/>
      <c r="K27" s="426"/>
      <c r="L27" s="2"/>
      <c r="M27" s="2"/>
      <c r="N27" s="2"/>
      <c r="O27" s="2"/>
      <c r="P27" s="7" t="s">
        <v>736</v>
      </c>
      <c r="Q27" s="8"/>
      <c r="R27" s="9"/>
      <c r="S27" s="2"/>
      <c r="T27" s="2"/>
      <c r="U27" s="2"/>
      <c r="V27" s="2"/>
      <c r="W27" s="2"/>
      <c r="X27" s="2"/>
      <c r="Y27" s="2"/>
      <c r="Z27" s="2"/>
    </row>
    <row r="28">
      <c r="A28" s="2"/>
      <c r="B28" s="361"/>
      <c r="C28" s="428"/>
      <c r="D28" s="428"/>
      <c r="E28" s="428"/>
      <c r="F28" s="426"/>
      <c r="G28" s="426"/>
      <c r="H28" s="465"/>
      <c r="I28" s="426"/>
      <c r="J28" s="426"/>
      <c r="K28" s="426"/>
      <c r="L28" s="2"/>
      <c r="M28" s="2"/>
      <c r="N28" s="2"/>
      <c r="O28" s="2"/>
      <c r="P28" s="357" t="s">
        <v>15</v>
      </c>
      <c r="Q28" s="358"/>
      <c r="R28" s="359"/>
      <c r="S28" s="2"/>
      <c r="T28" s="2"/>
      <c r="U28" s="2"/>
      <c r="V28" s="2"/>
      <c r="W28" s="2"/>
      <c r="X28" s="2"/>
      <c r="Y28" s="2"/>
      <c r="Z28" s="2"/>
    </row>
    <row r="29">
      <c r="A29" s="2"/>
      <c r="B29" s="361"/>
      <c r="C29" s="428"/>
      <c r="D29" s="428"/>
      <c r="E29" s="428"/>
      <c r="F29" s="426"/>
      <c r="G29" s="426"/>
      <c r="H29" s="465"/>
      <c r="I29" s="465"/>
      <c r="J29" s="465"/>
      <c r="K29" s="465"/>
      <c r="L29" s="465"/>
      <c r="M29" s="465"/>
      <c r="N29" s="465"/>
      <c r="O29" s="426"/>
      <c r="P29" s="426"/>
      <c r="Q29" s="426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361"/>
      <c r="C30" s="428"/>
      <c r="D30" s="428"/>
      <c r="E30" s="428"/>
      <c r="F30" s="426"/>
      <c r="G30" s="426"/>
      <c r="H30" s="465"/>
      <c r="I30" s="465"/>
      <c r="J30" s="465"/>
      <c r="K30" s="465"/>
      <c r="L30" s="465"/>
      <c r="M30" s="465"/>
      <c r="N30" s="465"/>
      <c r="O30" s="426"/>
      <c r="P30" s="426"/>
      <c r="Q30" s="426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361"/>
      <c r="C31" s="428"/>
      <c r="D31" s="428"/>
      <c r="E31" s="428"/>
      <c r="F31" s="426"/>
      <c r="G31" s="426"/>
      <c r="H31" s="465"/>
      <c r="I31" s="465"/>
      <c r="J31" s="465"/>
      <c r="K31" s="465"/>
      <c r="L31" s="465"/>
      <c r="M31" s="465"/>
      <c r="N31" s="465"/>
      <c r="O31" s="426"/>
      <c r="P31" s="426"/>
      <c r="Q31" s="426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361"/>
      <c r="C32" s="428"/>
      <c r="D32" s="428"/>
      <c r="E32" s="428"/>
      <c r="F32" s="426"/>
      <c r="G32" s="426"/>
      <c r="H32" s="465"/>
      <c r="I32" s="465"/>
      <c r="J32" s="465"/>
      <c r="K32" s="465"/>
      <c r="L32" s="465"/>
      <c r="M32" s="465"/>
      <c r="N32" s="465"/>
      <c r="O32" s="426"/>
      <c r="P32" s="426"/>
      <c r="Q32" s="426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361"/>
      <c r="C33" s="428"/>
      <c r="D33" s="428"/>
      <c r="E33" s="428"/>
      <c r="F33" s="426"/>
      <c r="G33" s="426"/>
      <c r="H33" s="465"/>
      <c r="I33" s="465"/>
      <c r="J33" s="465"/>
      <c r="K33" s="426"/>
      <c r="L33" s="426"/>
      <c r="M33" s="426"/>
      <c r="N33" s="426"/>
      <c r="O33" s="426"/>
      <c r="P33" s="426"/>
      <c r="Q33" s="426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361"/>
      <c r="C34" s="361"/>
      <c r="D34" s="361"/>
      <c r="E34" s="361"/>
      <c r="F34" s="361"/>
      <c r="G34" s="361"/>
      <c r="H34" s="466"/>
      <c r="I34" s="465"/>
      <c r="J34" s="465"/>
      <c r="K34" s="426"/>
      <c r="L34" s="426"/>
      <c r="M34" s="426"/>
      <c r="N34" s="426"/>
      <c r="O34" s="426"/>
      <c r="P34" s="426"/>
      <c r="Q34" s="426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50"/>
      <c r="I35" s="465"/>
      <c r="J35" s="465"/>
      <c r="K35" s="426"/>
      <c r="L35" s="426"/>
      <c r="M35" s="426"/>
      <c r="N35" s="426"/>
      <c r="O35" s="426"/>
      <c r="P35" s="426"/>
      <c r="Q35" s="426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50"/>
      <c r="I36" s="465"/>
      <c r="J36" s="465"/>
      <c r="K36" s="426"/>
      <c r="L36" s="426"/>
      <c r="M36" s="426"/>
      <c r="N36" s="426"/>
      <c r="O36" s="426"/>
      <c r="P36" s="426"/>
      <c r="Q36" s="426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426"/>
      <c r="J37" s="426"/>
      <c r="K37" s="426"/>
      <c r="L37" s="426"/>
      <c r="M37" s="426"/>
      <c r="N37" s="426"/>
      <c r="O37" s="426"/>
      <c r="P37" s="426"/>
      <c r="Q37" s="426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</sheetData>
  <mergeCells count="60">
    <mergeCell ref="A17:C17"/>
    <mergeCell ref="A18:C18"/>
    <mergeCell ref="D18:F18"/>
    <mergeCell ref="G18:H18"/>
    <mergeCell ref="I18:J18"/>
    <mergeCell ref="K18:L18"/>
    <mergeCell ref="A19:C19"/>
    <mergeCell ref="D19:F19"/>
    <mergeCell ref="G19:H19"/>
    <mergeCell ref="A20:C20"/>
    <mergeCell ref="D20:F20"/>
    <mergeCell ref="G20:H20"/>
    <mergeCell ref="I20:J20"/>
    <mergeCell ref="K20:L20"/>
    <mergeCell ref="C23:K23"/>
    <mergeCell ref="M23:O23"/>
    <mergeCell ref="M24:O24"/>
    <mergeCell ref="P24:R24"/>
    <mergeCell ref="P27:R27"/>
    <mergeCell ref="P28:R28"/>
    <mergeCell ref="M20:O20"/>
    <mergeCell ref="P20:R20"/>
    <mergeCell ref="M21:O21"/>
    <mergeCell ref="P21:R21"/>
    <mergeCell ref="M22:O22"/>
    <mergeCell ref="P22:R22"/>
    <mergeCell ref="P23:R23"/>
    <mergeCell ref="A1:R1"/>
    <mergeCell ref="A2:R2"/>
    <mergeCell ref="A3:D3"/>
    <mergeCell ref="E3:H3"/>
    <mergeCell ref="I3:M3"/>
    <mergeCell ref="N3:R3"/>
    <mergeCell ref="A5:R5"/>
    <mergeCell ref="B8:D10"/>
    <mergeCell ref="C11:D11"/>
    <mergeCell ref="K8:M10"/>
    <mergeCell ref="L11:M11"/>
    <mergeCell ref="B7:D7"/>
    <mergeCell ref="F7:H7"/>
    <mergeCell ref="K7:M7"/>
    <mergeCell ref="O7:Q7"/>
    <mergeCell ref="F8:H10"/>
    <mergeCell ref="O8:Q10"/>
    <mergeCell ref="P11:Q11"/>
    <mergeCell ref="K17:L17"/>
    <mergeCell ref="M17:O17"/>
    <mergeCell ref="M18:O18"/>
    <mergeCell ref="P18:R18"/>
    <mergeCell ref="G11:H11"/>
    <mergeCell ref="A15:L16"/>
    <mergeCell ref="M15:R16"/>
    <mergeCell ref="D17:F17"/>
    <mergeCell ref="G17:H17"/>
    <mergeCell ref="I17:J17"/>
    <mergeCell ref="P17:R17"/>
    <mergeCell ref="I19:J19"/>
    <mergeCell ref="K19:L19"/>
    <mergeCell ref="M19:O19"/>
    <mergeCell ref="P19:R19"/>
  </mergeCells>
  <hyperlinks>
    <hyperlink display="Открыть →" location="'М и Х Bambu Lab'!A1" ref="C11"/>
    <hyperlink display="Открыть →" location="'Продажа из наличия'!A1" ref="G11"/>
    <hyperlink display="Открыть →" location="'Предзаказ'!A1" ref="L11"/>
    <hyperlink display="Открыть →" location="'Шаблоны сообщений'!A1" ref="P11"/>
    <hyperlink display="Открыть →" location="'Главная'!A1" ref="P28"/>
  </hyperlin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0.0"/>
    <col customWidth="1" min="4" max="4" width="15.5"/>
    <col customWidth="1" min="7" max="7" width="11.13"/>
    <col customWidth="1" min="8" max="8" width="15.38"/>
  </cols>
  <sheetData>
    <row r="1">
      <c r="A1" s="1" t="s">
        <v>18</v>
      </c>
    </row>
    <row r="2">
      <c r="A2" s="3" t="s">
        <v>889</v>
      </c>
    </row>
    <row r="3">
      <c r="A3" s="332" t="s">
        <v>2</v>
      </c>
      <c r="E3" s="332" t="s">
        <v>3</v>
      </c>
      <c r="I3" s="332" t="s">
        <v>4</v>
      </c>
      <c r="N3" s="332" t="s">
        <v>5</v>
      </c>
    </row>
    <row r="4">
      <c r="A4" s="5"/>
      <c r="B4" s="5"/>
      <c r="C4" s="5"/>
      <c r="D4" s="5"/>
      <c r="E4" s="5"/>
      <c r="J4" s="2"/>
      <c r="K4" s="2"/>
      <c r="L4" s="2"/>
      <c r="M4" s="2"/>
      <c r="N4" s="2"/>
      <c r="O4" s="2"/>
      <c r="P4" s="2"/>
      <c r="Q4" s="2"/>
      <c r="R4" s="2"/>
    </row>
    <row r="5">
      <c r="A5" s="6" t="s">
        <v>6</v>
      </c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>
      <c r="A7" s="2"/>
      <c r="B7" s="7" t="s">
        <v>665</v>
      </c>
      <c r="C7" s="8"/>
      <c r="D7" s="9"/>
      <c r="E7" s="2"/>
      <c r="F7" s="7" t="s">
        <v>666</v>
      </c>
      <c r="G7" s="8"/>
      <c r="H7" s="9"/>
      <c r="I7" s="2"/>
      <c r="J7" s="2"/>
      <c r="K7" s="7" t="s">
        <v>16</v>
      </c>
      <c r="L7" s="8"/>
      <c r="M7" s="9"/>
      <c r="N7" s="2"/>
      <c r="O7" s="7" t="s">
        <v>19</v>
      </c>
      <c r="P7" s="8"/>
      <c r="Q7" s="9"/>
      <c r="R7" s="2"/>
    </row>
    <row r="8">
      <c r="A8" s="2"/>
      <c r="B8" s="10" t="s">
        <v>668</v>
      </c>
      <c r="D8" s="11"/>
      <c r="E8" s="2"/>
      <c r="F8" s="10" t="s">
        <v>669</v>
      </c>
      <c r="H8" s="11"/>
      <c r="I8" s="2"/>
      <c r="J8" s="2"/>
      <c r="K8" s="10" t="s">
        <v>670</v>
      </c>
      <c r="M8" s="11"/>
      <c r="N8" s="2"/>
      <c r="O8" s="10" t="s">
        <v>23</v>
      </c>
      <c r="Q8" s="11"/>
      <c r="R8" s="2"/>
    </row>
    <row r="9">
      <c r="A9" s="2"/>
      <c r="B9" s="12"/>
      <c r="D9" s="11"/>
      <c r="E9" s="2"/>
      <c r="F9" s="12"/>
      <c r="H9" s="11"/>
      <c r="I9" s="2"/>
      <c r="J9" s="2"/>
      <c r="K9" s="12"/>
      <c r="M9" s="11"/>
      <c r="N9" s="2"/>
      <c r="O9" s="12"/>
      <c r="Q9" s="11"/>
      <c r="R9" s="2"/>
    </row>
    <row r="10">
      <c r="A10" s="2"/>
      <c r="B10" s="13"/>
      <c r="C10" s="14"/>
      <c r="D10" s="15"/>
      <c r="E10" s="2"/>
      <c r="F10" s="13"/>
      <c r="G10" s="14"/>
      <c r="H10" s="15"/>
      <c r="I10" s="2"/>
      <c r="J10" s="2"/>
      <c r="K10" s="13"/>
      <c r="L10" s="14"/>
      <c r="M10" s="15"/>
      <c r="N10" s="2"/>
      <c r="O10" s="13"/>
      <c r="P10" s="14"/>
      <c r="Q10" s="15"/>
      <c r="R10" s="2"/>
    </row>
    <row r="11">
      <c r="A11" s="2"/>
      <c r="B11" s="16"/>
      <c r="C11" s="333" t="s">
        <v>15</v>
      </c>
      <c r="D11" s="18"/>
      <c r="E11" s="2"/>
      <c r="F11" s="2"/>
      <c r="G11" s="333" t="s">
        <v>15</v>
      </c>
      <c r="H11" s="18"/>
      <c r="I11" s="2"/>
      <c r="J11" s="2"/>
      <c r="K11" s="2"/>
      <c r="L11" s="333" t="s">
        <v>15</v>
      </c>
      <c r="M11" s="18"/>
      <c r="N11" s="2"/>
      <c r="O11" s="2"/>
      <c r="P11" s="333" t="s">
        <v>15</v>
      </c>
      <c r="Q11" s="18"/>
      <c r="R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>
      <c r="A13" s="467" t="s">
        <v>890</v>
      </c>
      <c r="B13" s="405"/>
      <c r="C13" s="405"/>
      <c r="D13" s="405"/>
      <c r="E13" s="405"/>
      <c r="F13" s="405"/>
      <c r="G13" s="405"/>
      <c r="H13" s="405"/>
      <c r="I13" s="405"/>
      <c r="J13" s="405"/>
      <c r="K13" s="405"/>
      <c r="L13" s="405"/>
      <c r="M13" s="405"/>
      <c r="N13" s="405"/>
      <c r="O13" s="405"/>
      <c r="P13" s="405"/>
      <c r="Q13" s="405"/>
      <c r="R13" s="406"/>
    </row>
    <row r="14">
      <c r="A14" s="468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469"/>
    </row>
    <row r="15">
      <c r="A15" s="470" t="s">
        <v>817</v>
      </c>
      <c r="B15" s="8"/>
      <c r="C15" s="8"/>
      <c r="D15" s="337" t="s">
        <v>891</v>
      </c>
      <c r="E15" s="337" t="s">
        <v>892</v>
      </c>
      <c r="F15" s="8"/>
      <c r="G15" s="8"/>
      <c r="H15" s="8"/>
      <c r="I15" s="8"/>
      <c r="J15" s="337" t="s">
        <v>893</v>
      </c>
      <c r="K15" s="8"/>
      <c r="L15" s="8"/>
      <c r="M15" s="337" t="s">
        <v>894</v>
      </c>
      <c r="N15" s="8"/>
      <c r="O15" s="8"/>
      <c r="P15" s="337" t="s">
        <v>796</v>
      </c>
      <c r="Q15" s="8"/>
      <c r="R15" s="471"/>
    </row>
    <row r="16">
      <c r="A16" s="472"/>
      <c r="B16" s="339"/>
      <c r="C16" s="339"/>
      <c r="D16" s="339"/>
      <c r="E16" s="339"/>
      <c r="F16" s="339"/>
      <c r="G16" s="339"/>
      <c r="H16" s="339"/>
      <c r="I16" s="339"/>
      <c r="M16" s="339"/>
      <c r="N16" s="339"/>
      <c r="O16" s="339"/>
      <c r="P16" s="339"/>
      <c r="Q16" s="339"/>
      <c r="R16" s="473"/>
    </row>
    <row r="17">
      <c r="A17" s="474" t="s">
        <v>895</v>
      </c>
      <c r="B17" s="35"/>
      <c r="C17" s="343"/>
      <c r="D17" s="342" t="s">
        <v>799</v>
      </c>
      <c r="E17" s="363" t="s">
        <v>896</v>
      </c>
      <c r="F17" s="35"/>
      <c r="G17" s="35"/>
      <c r="H17" s="35"/>
      <c r="I17" s="343"/>
      <c r="J17" s="342" t="s">
        <v>897</v>
      </c>
      <c r="K17" s="35"/>
      <c r="L17" s="35"/>
      <c r="M17" s="342" t="s">
        <v>898</v>
      </c>
      <c r="N17" s="35"/>
      <c r="O17" s="343"/>
      <c r="P17" s="342" t="s">
        <v>899</v>
      </c>
      <c r="Q17" s="35"/>
      <c r="R17" s="475"/>
    </row>
    <row r="18">
      <c r="A18" s="476" t="s">
        <v>900</v>
      </c>
      <c r="B18" s="35"/>
      <c r="C18" s="343"/>
      <c r="D18" s="350" t="s">
        <v>799</v>
      </c>
      <c r="E18" s="364" t="s">
        <v>901</v>
      </c>
      <c r="F18" s="35"/>
      <c r="G18" s="35"/>
      <c r="H18" s="35"/>
      <c r="I18" s="35"/>
      <c r="J18" s="350" t="s">
        <v>902</v>
      </c>
      <c r="K18" s="35"/>
      <c r="L18" s="35"/>
      <c r="M18" s="350" t="s">
        <v>903</v>
      </c>
      <c r="N18" s="35"/>
      <c r="O18" s="343"/>
      <c r="P18" s="350" t="s">
        <v>904</v>
      </c>
      <c r="Q18" s="35"/>
      <c r="R18" s="475"/>
    </row>
    <row r="19">
      <c r="A19" s="474" t="s">
        <v>905</v>
      </c>
      <c r="B19" s="35"/>
      <c r="C19" s="343"/>
      <c r="D19" s="342" t="s">
        <v>799</v>
      </c>
      <c r="E19" s="363" t="s">
        <v>906</v>
      </c>
      <c r="F19" s="35"/>
      <c r="G19" s="35"/>
      <c r="H19" s="35"/>
      <c r="I19" s="35"/>
      <c r="J19" s="342" t="s">
        <v>907</v>
      </c>
      <c r="K19" s="35"/>
      <c r="L19" s="35"/>
      <c r="M19" s="342" t="s">
        <v>769</v>
      </c>
      <c r="N19" s="35"/>
      <c r="O19" s="343"/>
      <c r="P19" s="342" t="s">
        <v>908</v>
      </c>
      <c r="Q19" s="35"/>
      <c r="R19" s="475"/>
    </row>
    <row r="20" ht="116.25" customHeight="1">
      <c r="A20" s="476" t="s">
        <v>909</v>
      </c>
      <c r="B20" s="35"/>
      <c r="C20" s="343"/>
      <c r="D20" s="350" t="s">
        <v>910</v>
      </c>
      <c r="E20" s="364" t="s">
        <v>911</v>
      </c>
      <c r="F20" s="35"/>
      <c r="G20" s="35"/>
      <c r="H20" s="35"/>
      <c r="I20" s="35"/>
      <c r="J20" s="350" t="s">
        <v>912</v>
      </c>
      <c r="K20" s="35"/>
      <c r="L20" s="35"/>
      <c r="M20" s="350" t="s">
        <v>913</v>
      </c>
      <c r="N20" s="35"/>
      <c r="O20" s="343"/>
      <c r="P20" s="350" t="s">
        <v>914</v>
      </c>
      <c r="Q20" s="35"/>
      <c r="R20" s="475"/>
    </row>
    <row r="21" ht="102.0" customHeight="1">
      <c r="A21" s="477" t="s">
        <v>915</v>
      </c>
      <c r="B21" s="478"/>
      <c r="C21" s="479"/>
      <c r="D21" s="480" t="s">
        <v>910</v>
      </c>
      <c r="E21" s="481" t="s">
        <v>916</v>
      </c>
      <c r="F21" s="478"/>
      <c r="G21" s="478"/>
      <c r="H21" s="478"/>
      <c r="I21" s="478"/>
      <c r="J21" s="480" t="s">
        <v>917</v>
      </c>
      <c r="K21" s="478"/>
      <c r="L21" s="478"/>
      <c r="M21" s="480" t="s">
        <v>918</v>
      </c>
      <c r="N21" s="478"/>
      <c r="O21" s="479"/>
      <c r="P21" s="480" t="s">
        <v>919</v>
      </c>
      <c r="Q21" s="478"/>
      <c r="R21" s="482"/>
    </row>
    <row r="24">
      <c r="M24" s="155"/>
      <c r="N24" s="368"/>
      <c r="O24" s="368"/>
      <c r="P24" s="7" t="s">
        <v>736</v>
      </c>
      <c r="Q24" s="8"/>
      <c r="R24" s="9"/>
    </row>
    <row r="25">
      <c r="M25" s="368"/>
      <c r="N25" s="368"/>
      <c r="O25" s="368"/>
      <c r="P25" s="357" t="s">
        <v>15</v>
      </c>
      <c r="Q25" s="358"/>
      <c r="R25" s="359"/>
    </row>
    <row r="26">
      <c r="M26" s="155"/>
      <c r="N26" s="369"/>
      <c r="O26" s="369"/>
      <c r="P26" s="369"/>
      <c r="Q26" s="155"/>
    </row>
    <row r="27">
      <c r="A27" s="369"/>
      <c r="B27" s="369"/>
      <c r="D27" s="369"/>
      <c r="E27" s="369"/>
      <c r="H27" s="369"/>
      <c r="J27" s="369"/>
      <c r="K27" s="155"/>
      <c r="M27" s="155"/>
      <c r="N27" s="369"/>
      <c r="O27" s="369"/>
      <c r="P27" s="369"/>
      <c r="Q27" s="155"/>
    </row>
    <row r="28">
      <c r="M28" s="155"/>
      <c r="N28" s="369"/>
      <c r="O28" s="369"/>
      <c r="P28" s="369"/>
      <c r="Q28" s="155"/>
    </row>
    <row r="29">
      <c r="M29" s="155"/>
      <c r="N29" s="369"/>
      <c r="O29" s="369"/>
      <c r="P29" s="369"/>
      <c r="Q29" s="155"/>
    </row>
    <row r="30">
      <c r="M30" s="369"/>
      <c r="N30" s="369"/>
      <c r="O30" s="369"/>
      <c r="P30" s="369"/>
      <c r="Q30" s="155"/>
    </row>
    <row r="31">
      <c r="M31" s="369"/>
      <c r="N31" s="369"/>
      <c r="O31" s="369"/>
      <c r="P31" s="369"/>
      <c r="Q31" s="155"/>
    </row>
    <row r="32">
      <c r="M32" s="369"/>
      <c r="N32" s="369"/>
      <c r="O32" s="369"/>
      <c r="P32" s="369"/>
      <c r="Q32" s="155"/>
    </row>
    <row r="33">
      <c r="M33" s="369"/>
      <c r="N33" s="369"/>
      <c r="O33" s="369"/>
      <c r="P33" s="369"/>
      <c r="Q33" s="155"/>
    </row>
    <row r="34">
      <c r="M34" s="369"/>
      <c r="N34" s="369"/>
      <c r="O34" s="369"/>
      <c r="P34" s="369"/>
      <c r="Q34" s="155"/>
    </row>
    <row r="35">
      <c r="A35" s="155"/>
      <c r="B35" s="155"/>
      <c r="C35" s="155"/>
      <c r="D35" s="483"/>
      <c r="E35" s="483"/>
      <c r="F35" s="483"/>
      <c r="G35" s="483"/>
      <c r="H35" s="483"/>
      <c r="I35" s="483"/>
      <c r="J35" s="483"/>
      <c r="K35" s="155"/>
      <c r="L35" s="155"/>
      <c r="M35" s="369"/>
      <c r="N35" s="369"/>
      <c r="O35" s="369"/>
      <c r="P35" s="369"/>
      <c r="Q35" s="155"/>
    </row>
    <row r="36">
      <c r="A36" s="155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369"/>
      <c r="N36" s="369"/>
      <c r="O36" s="369"/>
      <c r="P36" s="369"/>
      <c r="Q36" s="155"/>
    </row>
    <row r="37">
      <c r="A37" s="155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369"/>
      <c r="O37" s="369"/>
      <c r="P37" s="369"/>
      <c r="Q37" s="155"/>
    </row>
    <row r="38">
      <c r="A38" s="155"/>
      <c r="B38" s="370"/>
      <c r="C38" s="370"/>
      <c r="D38" s="370"/>
      <c r="E38" s="370"/>
      <c r="F38" s="370"/>
      <c r="G38" s="370"/>
      <c r="H38" s="370"/>
      <c r="I38" s="370"/>
      <c r="J38" s="370"/>
      <c r="K38" s="155"/>
      <c r="L38" s="155"/>
      <c r="M38" s="155"/>
      <c r="N38" s="369"/>
      <c r="O38" s="369"/>
      <c r="P38" s="369"/>
      <c r="Q38" s="155"/>
    </row>
    <row r="39">
      <c r="A39" s="155"/>
      <c r="B39" s="371"/>
      <c r="C39" s="371"/>
      <c r="D39" s="371"/>
      <c r="E39" s="371"/>
      <c r="F39" s="371"/>
      <c r="G39" s="371"/>
      <c r="H39" s="371"/>
      <c r="I39" s="371"/>
      <c r="J39" s="371"/>
      <c r="K39" s="155"/>
      <c r="L39" s="155"/>
      <c r="M39" s="155"/>
      <c r="N39" s="369"/>
      <c r="O39" s="369"/>
      <c r="P39" s="369"/>
      <c r="Q39" s="155"/>
    </row>
    <row r="40">
      <c r="A40" s="155"/>
      <c r="B40" s="372"/>
      <c r="C40" s="373"/>
      <c r="D40" s="373"/>
      <c r="E40" s="373"/>
      <c r="F40" s="373"/>
      <c r="G40" s="373"/>
      <c r="H40" s="373"/>
      <c r="I40" s="373"/>
      <c r="J40" s="373"/>
      <c r="K40" s="155"/>
      <c r="L40" s="155"/>
      <c r="M40" s="155"/>
      <c r="N40" s="155"/>
      <c r="O40" s="155"/>
      <c r="P40" s="155"/>
      <c r="Q40" s="155"/>
    </row>
    <row r="41">
      <c r="A41" s="155"/>
      <c r="B41" s="372"/>
      <c r="C41" s="373"/>
      <c r="D41" s="373"/>
      <c r="E41" s="373"/>
      <c r="F41" s="373"/>
      <c r="G41" s="373"/>
      <c r="H41" s="373"/>
      <c r="I41" s="373"/>
      <c r="J41" s="373"/>
      <c r="K41" s="155"/>
      <c r="L41" s="155"/>
      <c r="M41" s="155"/>
    </row>
    <row r="42">
      <c r="A42" s="155"/>
      <c r="B42" s="372"/>
      <c r="C42" s="373"/>
      <c r="D42" s="373"/>
      <c r="E42" s="373"/>
      <c r="F42" s="373"/>
      <c r="G42" s="373"/>
      <c r="H42" s="373"/>
      <c r="I42" s="373"/>
      <c r="J42" s="373"/>
      <c r="K42" s="155"/>
      <c r="L42" s="155"/>
      <c r="M42" s="155"/>
    </row>
    <row r="43">
      <c r="A43" s="155"/>
      <c r="B43" s="372"/>
      <c r="C43" s="373"/>
      <c r="D43" s="373"/>
      <c r="E43" s="373"/>
      <c r="F43" s="373"/>
      <c r="G43" s="373"/>
      <c r="H43" s="373"/>
      <c r="I43" s="373"/>
      <c r="J43" s="373"/>
      <c r="K43" s="155"/>
      <c r="L43" s="155"/>
      <c r="M43" s="155"/>
    </row>
    <row r="44">
      <c r="A44" s="155"/>
      <c r="B44" s="372"/>
      <c r="C44" s="373"/>
      <c r="D44" s="373"/>
      <c r="E44" s="373"/>
      <c r="F44" s="373"/>
      <c r="G44" s="373"/>
      <c r="H44" s="373"/>
      <c r="I44" s="373"/>
      <c r="J44" s="373"/>
      <c r="K44" s="155"/>
      <c r="L44" s="155"/>
      <c r="M44" s="155"/>
    </row>
    <row r="45">
      <c r="A45" s="155"/>
      <c r="B45" s="372"/>
      <c r="C45" s="373"/>
      <c r="D45" s="373"/>
      <c r="E45" s="373"/>
      <c r="F45" s="373"/>
      <c r="G45" s="373"/>
      <c r="H45" s="373"/>
      <c r="I45" s="373"/>
      <c r="J45" s="373"/>
      <c r="K45" s="155"/>
      <c r="L45" s="155"/>
      <c r="M45" s="155"/>
    </row>
    <row r="46">
      <c r="A46" s="155"/>
      <c r="B46" s="372"/>
      <c r="C46" s="373"/>
      <c r="D46" s="373"/>
      <c r="E46" s="373"/>
      <c r="F46" s="373"/>
      <c r="G46" s="373"/>
      <c r="H46" s="373"/>
      <c r="I46" s="373"/>
      <c r="J46" s="373"/>
      <c r="K46" s="155"/>
      <c r="L46" s="155"/>
      <c r="M46" s="155"/>
    </row>
    <row r="47">
      <c r="A47" s="155"/>
      <c r="B47" s="372"/>
      <c r="C47" s="373"/>
      <c r="D47" s="373"/>
      <c r="E47" s="373"/>
      <c r="F47" s="373"/>
      <c r="G47" s="373"/>
      <c r="H47" s="373"/>
      <c r="I47" s="373"/>
      <c r="J47" s="373"/>
      <c r="K47" s="155"/>
      <c r="L47" s="155"/>
      <c r="M47" s="155"/>
    </row>
    <row r="48">
      <c r="A48" s="155"/>
      <c r="B48" s="372"/>
      <c r="C48" s="373"/>
      <c r="D48" s="373"/>
      <c r="E48" s="373"/>
      <c r="F48" s="373"/>
      <c r="G48" s="373"/>
      <c r="H48" s="373"/>
      <c r="I48" s="373"/>
      <c r="J48" s="373"/>
      <c r="K48" s="155"/>
      <c r="L48" s="155"/>
      <c r="M48" s="155"/>
    </row>
    <row r="49">
      <c r="A49" s="155"/>
      <c r="B49" s="372"/>
      <c r="C49" s="373"/>
      <c r="D49" s="373"/>
      <c r="E49" s="373"/>
      <c r="F49" s="373"/>
      <c r="G49" s="373"/>
      <c r="H49" s="373"/>
      <c r="I49" s="373"/>
      <c r="J49" s="373"/>
      <c r="K49" s="155"/>
      <c r="L49" s="155"/>
      <c r="M49" s="155"/>
    </row>
    <row r="50">
      <c r="A50" s="155"/>
      <c r="B50" s="372"/>
      <c r="C50" s="373"/>
      <c r="D50" s="373"/>
      <c r="E50" s="373"/>
      <c r="F50" s="373"/>
      <c r="G50" s="373"/>
      <c r="H50" s="373"/>
      <c r="I50" s="373"/>
      <c r="J50" s="373"/>
      <c r="K50" s="155"/>
      <c r="L50" s="155"/>
      <c r="M50" s="155"/>
    </row>
    <row r="51">
      <c r="A51" s="155"/>
      <c r="B51" s="372"/>
      <c r="C51" s="373"/>
      <c r="D51" s="373"/>
      <c r="E51" s="373"/>
      <c r="F51" s="373"/>
      <c r="G51" s="373"/>
      <c r="H51" s="373"/>
      <c r="I51" s="373"/>
      <c r="J51" s="373"/>
      <c r="K51" s="155"/>
      <c r="L51" s="155"/>
      <c r="M51" s="155"/>
    </row>
    <row r="52">
      <c r="A52" s="155"/>
      <c r="B52" s="372"/>
      <c r="C52" s="373"/>
      <c r="D52" s="373"/>
      <c r="E52" s="373"/>
      <c r="F52" s="373"/>
      <c r="G52" s="373"/>
      <c r="H52" s="373"/>
      <c r="I52" s="373"/>
      <c r="J52" s="373"/>
      <c r="K52" s="155"/>
      <c r="L52" s="155"/>
      <c r="M52" s="155"/>
    </row>
    <row r="53">
      <c r="A53" s="155"/>
      <c r="B53" s="372"/>
      <c r="C53" s="373"/>
      <c r="D53" s="373"/>
      <c r="E53" s="373"/>
      <c r="F53" s="373"/>
      <c r="G53" s="373"/>
      <c r="H53" s="373"/>
      <c r="I53" s="373"/>
      <c r="J53" s="373"/>
      <c r="K53" s="155"/>
      <c r="L53" s="155"/>
      <c r="M53" s="155"/>
    </row>
    <row r="54">
      <c r="A54" s="155"/>
      <c r="B54" s="155"/>
      <c r="C54" s="155"/>
      <c r="D54" s="155"/>
      <c r="E54" s="155"/>
      <c r="F54" s="155"/>
      <c r="G54" s="155"/>
      <c r="H54" s="155"/>
      <c r="I54" s="155"/>
      <c r="J54" s="155"/>
      <c r="K54" s="155"/>
      <c r="L54" s="155"/>
      <c r="M54" s="155"/>
    </row>
    <row r="55">
      <c r="A55" s="155"/>
      <c r="B55" s="155"/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</row>
    <row r="56">
      <c r="A56" s="155"/>
      <c r="B56" s="155"/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</row>
    <row r="57">
      <c r="A57" s="155"/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</row>
  </sheetData>
  <mergeCells count="56">
    <mergeCell ref="A20:C20"/>
    <mergeCell ref="A21:C21"/>
    <mergeCell ref="B27:C27"/>
    <mergeCell ref="B8:D10"/>
    <mergeCell ref="C11:D11"/>
    <mergeCell ref="A15:C16"/>
    <mergeCell ref="D15:D16"/>
    <mergeCell ref="A17:C17"/>
    <mergeCell ref="A18:C18"/>
    <mergeCell ref="A19:C19"/>
    <mergeCell ref="A1:R1"/>
    <mergeCell ref="A2:R2"/>
    <mergeCell ref="A3:D3"/>
    <mergeCell ref="E3:H3"/>
    <mergeCell ref="I3:M3"/>
    <mergeCell ref="N3:R3"/>
    <mergeCell ref="A5:R5"/>
    <mergeCell ref="K8:M10"/>
    <mergeCell ref="L11:M11"/>
    <mergeCell ref="B7:D7"/>
    <mergeCell ref="F7:H7"/>
    <mergeCell ref="K7:M7"/>
    <mergeCell ref="O7:Q7"/>
    <mergeCell ref="F8:H10"/>
    <mergeCell ref="O8:Q10"/>
    <mergeCell ref="G11:H11"/>
    <mergeCell ref="P11:Q11"/>
    <mergeCell ref="A13:R14"/>
    <mergeCell ref="E15:I16"/>
    <mergeCell ref="J15:L16"/>
    <mergeCell ref="M15:O16"/>
    <mergeCell ref="P15:R16"/>
    <mergeCell ref="E17:I17"/>
    <mergeCell ref="P17:R17"/>
    <mergeCell ref="J19:L19"/>
    <mergeCell ref="M19:O19"/>
    <mergeCell ref="J17:L17"/>
    <mergeCell ref="M17:O17"/>
    <mergeCell ref="E18:I18"/>
    <mergeCell ref="J18:L18"/>
    <mergeCell ref="M18:O18"/>
    <mergeCell ref="P18:R18"/>
    <mergeCell ref="P19:R19"/>
    <mergeCell ref="M21:O21"/>
    <mergeCell ref="P21:R21"/>
    <mergeCell ref="P24:R24"/>
    <mergeCell ref="P25:R25"/>
    <mergeCell ref="E27:G27"/>
    <mergeCell ref="H27:I27"/>
    <mergeCell ref="E19:I19"/>
    <mergeCell ref="E20:I20"/>
    <mergeCell ref="J20:L20"/>
    <mergeCell ref="M20:O20"/>
    <mergeCell ref="P20:R20"/>
    <mergeCell ref="E21:I21"/>
    <mergeCell ref="J21:L21"/>
  </mergeCells>
  <hyperlinks>
    <hyperlink display="Открыть →" location="'Договоры и счета'!A1" ref="C11"/>
    <hyperlink display="Открыть →" location="'Самовывозшоурум'!A1" ref="G11"/>
    <hyperlink display="Открыть →" location="'Доставка СДЭКТК'!A1" ref="L11"/>
    <hyperlink display="Открыть →" location="'FAQОшибки'!A1" ref="P11"/>
    <hyperlink display="Открыть →" location="'Главная'!A1" ref="P25"/>
  </hyperlin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0.0"/>
    <col customWidth="1" min="4" max="4" width="15.5"/>
    <col customWidth="1" min="7" max="7" width="11.13"/>
    <col customWidth="1" min="8" max="8" width="15.38"/>
  </cols>
  <sheetData>
    <row r="1">
      <c r="A1" s="1" t="s">
        <v>920</v>
      </c>
    </row>
    <row r="2">
      <c r="A2" s="3" t="s">
        <v>921</v>
      </c>
    </row>
    <row r="3">
      <c r="A3" s="332" t="s">
        <v>2</v>
      </c>
      <c r="E3" s="332" t="s">
        <v>3</v>
      </c>
      <c r="I3" s="332" t="s">
        <v>4</v>
      </c>
      <c r="N3" s="332" t="s">
        <v>5</v>
      </c>
    </row>
    <row r="4">
      <c r="A4" s="5"/>
      <c r="B4" s="5"/>
      <c r="C4" s="5"/>
      <c r="D4" s="5"/>
      <c r="E4" s="5"/>
      <c r="J4" s="2"/>
      <c r="K4" s="2"/>
      <c r="L4" s="2"/>
      <c r="M4" s="2"/>
      <c r="N4" s="2"/>
      <c r="O4" s="2"/>
      <c r="P4" s="2"/>
      <c r="Q4" s="2"/>
      <c r="R4" s="2"/>
    </row>
    <row r="5">
      <c r="A5" s="6" t="s">
        <v>6</v>
      </c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>
      <c r="A7" s="2"/>
      <c r="B7" s="7" t="s">
        <v>665</v>
      </c>
      <c r="C7" s="8"/>
      <c r="D7" s="9"/>
      <c r="E7" s="2"/>
      <c r="F7" s="7" t="s">
        <v>666</v>
      </c>
      <c r="G7" s="8"/>
      <c r="H7" s="9"/>
      <c r="I7" s="2"/>
      <c r="J7" s="2"/>
      <c r="K7" s="7" t="s">
        <v>16</v>
      </c>
      <c r="L7" s="8"/>
      <c r="M7" s="9"/>
      <c r="N7" s="2"/>
      <c r="O7" s="7" t="s">
        <v>667</v>
      </c>
      <c r="P7" s="8"/>
      <c r="Q7" s="9"/>
      <c r="R7" s="2"/>
    </row>
    <row r="8">
      <c r="A8" s="2"/>
      <c r="B8" s="10" t="s">
        <v>668</v>
      </c>
      <c r="D8" s="11"/>
      <c r="E8" s="2"/>
      <c r="F8" s="10" t="s">
        <v>669</v>
      </c>
      <c r="H8" s="11"/>
      <c r="I8" s="2"/>
      <c r="J8" s="2"/>
      <c r="K8" s="10" t="s">
        <v>670</v>
      </c>
      <c r="M8" s="11"/>
      <c r="N8" s="2"/>
      <c r="O8" s="10" t="s">
        <v>671</v>
      </c>
      <c r="Q8" s="11"/>
      <c r="R8" s="2"/>
    </row>
    <row r="9">
      <c r="A9" s="2"/>
      <c r="B9" s="12"/>
      <c r="D9" s="11"/>
      <c r="E9" s="2"/>
      <c r="F9" s="12"/>
      <c r="H9" s="11"/>
      <c r="I9" s="2"/>
      <c r="J9" s="2"/>
      <c r="K9" s="12"/>
      <c r="M9" s="11"/>
      <c r="N9" s="2"/>
      <c r="O9" s="12"/>
      <c r="Q9" s="11"/>
      <c r="R9" s="2"/>
    </row>
    <row r="10">
      <c r="A10" s="2"/>
      <c r="B10" s="13"/>
      <c r="C10" s="14"/>
      <c r="D10" s="15"/>
      <c r="E10" s="2"/>
      <c r="F10" s="13"/>
      <c r="G10" s="14"/>
      <c r="H10" s="15"/>
      <c r="I10" s="2"/>
      <c r="J10" s="2"/>
      <c r="K10" s="13"/>
      <c r="L10" s="14"/>
      <c r="M10" s="15"/>
      <c r="N10" s="2"/>
      <c r="O10" s="13"/>
      <c r="P10" s="14"/>
      <c r="Q10" s="15"/>
      <c r="R10" s="2"/>
    </row>
    <row r="11">
      <c r="A11" s="2"/>
      <c r="B11" s="16"/>
      <c r="C11" s="333" t="s">
        <v>15</v>
      </c>
      <c r="D11" s="18"/>
      <c r="E11" s="2"/>
      <c r="F11" s="2"/>
      <c r="G11" s="333" t="s">
        <v>15</v>
      </c>
      <c r="H11" s="18"/>
      <c r="I11" s="2"/>
      <c r="J11" s="2"/>
      <c r="K11" s="2"/>
      <c r="L11" s="333" t="s">
        <v>15</v>
      </c>
      <c r="M11" s="18"/>
      <c r="N11" s="2"/>
      <c r="O11" s="2"/>
      <c r="P11" s="333" t="s">
        <v>15</v>
      </c>
      <c r="Q11" s="18"/>
      <c r="R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4">
      <c r="A14" s="467" t="s">
        <v>922</v>
      </c>
      <c r="B14" s="405"/>
      <c r="C14" s="405"/>
      <c r="D14" s="405"/>
      <c r="E14" s="405"/>
      <c r="F14" s="405"/>
      <c r="G14" s="405"/>
      <c r="H14" s="405"/>
      <c r="I14" s="405"/>
      <c r="J14" s="405"/>
      <c r="K14" s="405"/>
      <c r="L14" s="405"/>
      <c r="M14" s="405"/>
      <c r="N14" s="405"/>
      <c r="O14" s="405"/>
      <c r="P14" s="405"/>
      <c r="Q14" s="405"/>
      <c r="R14" s="406"/>
    </row>
    <row r="15">
      <c r="A15" s="468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469"/>
    </row>
    <row r="16">
      <c r="A16" s="470" t="s">
        <v>26</v>
      </c>
      <c r="B16" s="8"/>
      <c r="C16" s="8"/>
      <c r="D16" s="337" t="s">
        <v>923</v>
      </c>
      <c r="E16" s="8"/>
      <c r="F16" s="8"/>
      <c r="G16" s="337" t="s">
        <v>28</v>
      </c>
      <c r="H16" s="8"/>
      <c r="I16" s="8"/>
      <c r="J16" s="337" t="s">
        <v>742</v>
      </c>
      <c r="K16" s="8"/>
      <c r="L16" s="8"/>
      <c r="M16" s="337" t="s">
        <v>924</v>
      </c>
      <c r="N16" s="8"/>
      <c r="O16" s="8"/>
      <c r="P16" s="337" t="s">
        <v>925</v>
      </c>
      <c r="Q16" s="8"/>
      <c r="R16" s="471"/>
    </row>
    <row r="17">
      <c r="A17" s="472"/>
      <c r="B17" s="339"/>
      <c r="C17" s="339"/>
      <c r="D17" s="339"/>
      <c r="E17" s="339"/>
      <c r="F17" s="339"/>
      <c r="G17" s="339"/>
      <c r="H17" s="339"/>
      <c r="I17" s="339"/>
      <c r="M17" s="339"/>
      <c r="N17" s="339"/>
      <c r="O17" s="339"/>
      <c r="P17" s="339"/>
      <c r="Q17" s="339"/>
      <c r="R17" s="473"/>
    </row>
    <row r="18">
      <c r="A18" s="484" t="s">
        <v>926</v>
      </c>
      <c r="B18" s="485"/>
      <c r="C18" s="486"/>
      <c r="D18" s="487" t="s">
        <v>927</v>
      </c>
      <c r="E18" s="485"/>
      <c r="F18" s="485"/>
      <c r="G18" s="488" t="s">
        <v>928</v>
      </c>
      <c r="H18" s="485"/>
      <c r="I18" s="486"/>
      <c r="J18" s="487" t="s">
        <v>748</v>
      </c>
      <c r="K18" s="485"/>
      <c r="L18" s="485"/>
      <c r="M18" s="487" t="s">
        <v>929</v>
      </c>
      <c r="N18" s="485"/>
      <c r="O18" s="486"/>
      <c r="P18" s="487" t="s">
        <v>930</v>
      </c>
      <c r="Q18" s="485"/>
      <c r="R18" s="489"/>
    </row>
    <row r="19">
      <c r="A19" s="476" t="s">
        <v>931</v>
      </c>
      <c r="B19" s="35"/>
      <c r="C19" s="343"/>
      <c r="D19" s="350" t="s">
        <v>932</v>
      </c>
      <c r="E19" s="35"/>
      <c r="F19" s="35"/>
      <c r="G19" s="364" t="s">
        <v>933</v>
      </c>
      <c r="H19" s="35"/>
      <c r="I19" s="35"/>
      <c r="J19" s="350" t="s">
        <v>748</v>
      </c>
      <c r="K19" s="35"/>
      <c r="L19" s="35"/>
      <c r="M19" s="350" t="s">
        <v>934</v>
      </c>
      <c r="N19" s="35"/>
      <c r="O19" s="343"/>
      <c r="P19" s="350" t="s">
        <v>935</v>
      </c>
      <c r="Q19" s="35"/>
      <c r="R19" s="475"/>
    </row>
    <row r="20">
      <c r="A20" s="474" t="s">
        <v>936</v>
      </c>
      <c r="B20" s="35"/>
      <c r="C20" s="343"/>
      <c r="D20" s="342" t="s">
        <v>937</v>
      </c>
      <c r="E20" s="35"/>
      <c r="F20" s="35"/>
      <c r="G20" s="363" t="s">
        <v>938</v>
      </c>
      <c r="H20" s="35"/>
      <c r="I20" s="35"/>
      <c r="J20" s="342" t="s">
        <v>939</v>
      </c>
      <c r="K20" s="35"/>
      <c r="L20" s="35"/>
      <c r="M20" s="342" t="s">
        <v>940</v>
      </c>
      <c r="N20" s="35"/>
      <c r="O20" s="343"/>
      <c r="P20" s="342" t="s">
        <v>941</v>
      </c>
      <c r="Q20" s="35"/>
      <c r="R20" s="475"/>
    </row>
    <row r="21">
      <c r="A21" s="490" t="s">
        <v>942</v>
      </c>
      <c r="B21" s="478"/>
      <c r="C21" s="479"/>
      <c r="D21" s="491" t="s">
        <v>943</v>
      </c>
      <c r="E21" s="478"/>
      <c r="F21" s="478"/>
      <c r="G21" s="492" t="s">
        <v>944</v>
      </c>
      <c r="H21" s="478"/>
      <c r="I21" s="478"/>
      <c r="J21" s="491" t="s">
        <v>748</v>
      </c>
      <c r="K21" s="478"/>
      <c r="L21" s="478"/>
      <c r="M21" s="491" t="s">
        <v>945</v>
      </c>
      <c r="N21" s="478"/>
      <c r="O21" s="479"/>
      <c r="P21" s="491" t="s">
        <v>946</v>
      </c>
      <c r="Q21" s="478"/>
      <c r="R21" s="482"/>
    </row>
    <row r="22">
      <c r="M22" s="155"/>
      <c r="N22" s="369"/>
      <c r="O22" s="369"/>
      <c r="P22" s="369"/>
      <c r="Q22" s="155"/>
    </row>
    <row r="23">
      <c r="K23" s="155"/>
      <c r="M23" s="155"/>
      <c r="N23" s="369"/>
      <c r="O23" s="369"/>
      <c r="P23" s="369"/>
      <c r="Q23" s="155"/>
    </row>
    <row r="24">
      <c r="M24" s="155"/>
      <c r="N24" s="369"/>
      <c r="O24" s="369"/>
      <c r="P24" s="369"/>
      <c r="Q24" s="155"/>
    </row>
    <row r="25">
      <c r="M25" s="155"/>
      <c r="N25" s="369"/>
      <c r="O25" s="369"/>
      <c r="P25" s="7" t="s">
        <v>736</v>
      </c>
      <c r="Q25" s="8"/>
      <c r="R25" s="9"/>
    </row>
    <row r="26">
      <c r="M26" s="369"/>
      <c r="N26" s="369"/>
      <c r="O26" s="369"/>
      <c r="P26" s="357" t="s">
        <v>15</v>
      </c>
      <c r="Q26" s="358"/>
      <c r="R26" s="359"/>
    </row>
    <row r="27">
      <c r="M27" s="369"/>
      <c r="N27" s="369"/>
      <c r="O27" s="369"/>
      <c r="P27" s="369"/>
      <c r="Q27" s="155"/>
    </row>
    <row r="28">
      <c r="M28" s="369"/>
      <c r="N28" s="369"/>
      <c r="O28" s="369"/>
      <c r="P28" s="369"/>
      <c r="Q28" s="155"/>
    </row>
    <row r="29">
      <c r="M29" s="369"/>
      <c r="N29" s="369"/>
      <c r="O29" s="369"/>
      <c r="P29" s="369"/>
      <c r="Q29" s="155"/>
    </row>
    <row r="30">
      <c r="M30" s="369"/>
      <c r="N30" s="369"/>
      <c r="O30" s="369"/>
      <c r="P30" s="369"/>
      <c r="Q30" s="155"/>
    </row>
    <row r="31">
      <c r="K31" s="155"/>
      <c r="L31" s="155"/>
      <c r="M31" s="369"/>
      <c r="N31" s="369"/>
      <c r="O31" s="369"/>
      <c r="P31" s="369"/>
      <c r="Q31" s="155"/>
    </row>
    <row r="32">
      <c r="L32" s="155"/>
      <c r="M32" s="369"/>
      <c r="N32" s="369"/>
      <c r="O32" s="369"/>
      <c r="P32" s="369"/>
      <c r="Q32" s="155"/>
    </row>
    <row r="33">
      <c r="L33" s="155"/>
      <c r="M33" s="155"/>
      <c r="N33" s="369"/>
      <c r="O33" s="369"/>
      <c r="P33" s="369"/>
      <c r="Q33" s="155"/>
    </row>
    <row r="34">
      <c r="L34" s="155"/>
      <c r="M34" s="155"/>
      <c r="N34" s="369"/>
      <c r="O34" s="369"/>
      <c r="P34" s="369"/>
      <c r="Q34" s="155"/>
    </row>
    <row r="35">
      <c r="A35" s="155"/>
      <c r="B35" s="369"/>
      <c r="C35" s="369"/>
      <c r="D35" s="369"/>
      <c r="E35" s="369"/>
      <c r="F35" s="369"/>
      <c r="G35" s="369"/>
      <c r="H35" s="369"/>
      <c r="I35" s="369"/>
      <c r="J35" s="369"/>
      <c r="K35" s="369"/>
      <c r="L35" s="155"/>
      <c r="M35" s="155"/>
      <c r="N35" s="369"/>
      <c r="O35" s="369"/>
      <c r="P35" s="369"/>
      <c r="Q35" s="155"/>
    </row>
    <row r="36">
      <c r="A36" s="155"/>
      <c r="L36" s="155"/>
      <c r="M36" s="155"/>
      <c r="N36" s="155"/>
      <c r="O36" s="155"/>
      <c r="P36" s="155"/>
      <c r="Q36" s="155"/>
    </row>
    <row r="37">
      <c r="A37" s="155"/>
      <c r="L37" s="155"/>
      <c r="M37" s="155"/>
    </row>
    <row r="38">
      <c r="A38" s="155"/>
      <c r="L38" s="155"/>
      <c r="M38" s="155"/>
    </row>
    <row r="39">
      <c r="A39" s="155"/>
      <c r="L39" s="155"/>
      <c r="M39" s="155"/>
    </row>
    <row r="40">
      <c r="A40" s="155"/>
      <c r="L40" s="155"/>
      <c r="M40" s="155"/>
    </row>
    <row r="41">
      <c r="A41" s="155"/>
      <c r="L41" s="155"/>
      <c r="M41" s="155"/>
    </row>
    <row r="42">
      <c r="A42" s="155"/>
      <c r="L42" s="155"/>
      <c r="M42" s="155"/>
    </row>
    <row r="43">
      <c r="A43" s="155"/>
      <c r="B43" s="155"/>
      <c r="C43" s="155"/>
      <c r="D43" s="155"/>
      <c r="E43" s="155"/>
      <c r="F43" s="155"/>
      <c r="G43" s="155"/>
      <c r="H43" s="155"/>
      <c r="I43" s="155"/>
      <c r="J43" s="155"/>
      <c r="K43" s="155"/>
      <c r="L43" s="155"/>
      <c r="M43" s="155"/>
    </row>
    <row r="44">
      <c r="A44" s="155"/>
      <c r="B44" s="155"/>
      <c r="C44" s="155"/>
      <c r="D44" s="155"/>
      <c r="E44" s="155"/>
      <c r="F44" s="155"/>
      <c r="G44" s="155"/>
      <c r="H44" s="155"/>
      <c r="I44" s="155"/>
      <c r="J44" s="155"/>
      <c r="K44" s="155"/>
      <c r="L44" s="155"/>
      <c r="M44" s="155"/>
    </row>
    <row r="45">
      <c r="A45" s="155"/>
      <c r="B45" s="155"/>
      <c r="C45" s="155"/>
      <c r="D45" s="155"/>
      <c r="E45" s="155"/>
      <c r="F45" s="155"/>
      <c r="G45" s="155"/>
      <c r="H45" s="155"/>
      <c r="I45" s="155"/>
      <c r="J45" s="155"/>
      <c r="K45" s="155"/>
      <c r="L45" s="155"/>
      <c r="M45" s="155"/>
    </row>
    <row r="46">
      <c r="A46" s="155"/>
      <c r="B46" s="155"/>
      <c r="C46" s="370"/>
      <c r="D46" s="370"/>
      <c r="E46" s="370"/>
      <c r="F46" s="370"/>
      <c r="G46" s="370"/>
      <c r="H46" s="370"/>
      <c r="I46" s="370"/>
      <c r="J46" s="370"/>
      <c r="K46" s="370"/>
      <c r="L46" s="155"/>
      <c r="M46" s="155"/>
    </row>
    <row r="47">
      <c r="A47" s="155"/>
      <c r="B47" s="372"/>
      <c r="C47" s="373"/>
      <c r="D47" s="373"/>
      <c r="E47" s="373"/>
      <c r="F47" s="373"/>
      <c r="G47" s="373"/>
      <c r="H47" s="373"/>
      <c r="I47" s="373"/>
      <c r="J47" s="373"/>
      <c r="K47" s="155"/>
      <c r="L47" s="155"/>
      <c r="M47" s="155"/>
    </row>
    <row r="48">
      <c r="A48" s="155"/>
      <c r="B48" s="372"/>
      <c r="C48" s="373"/>
      <c r="D48" s="373"/>
      <c r="E48" s="373"/>
      <c r="F48" s="373"/>
      <c r="G48" s="373"/>
      <c r="H48" s="373"/>
      <c r="I48" s="373"/>
      <c r="J48" s="373"/>
      <c r="K48" s="155"/>
      <c r="L48" s="155"/>
      <c r="M48" s="155"/>
    </row>
    <row r="49">
      <c r="A49" s="155"/>
      <c r="B49" s="372"/>
      <c r="C49" s="373"/>
      <c r="D49" s="373"/>
      <c r="E49" s="373"/>
      <c r="F49" s="373"/>
      <c r="G49" s="373"/>
      <c r="H49" s="373"/>
      <c r="I49" s="373"/>
      <c r="J49" s="373"/>
      <c r="K49" s="155"/>
      <c r="L49" s="155"/>
      <c r="M49" s="155"/>
    </row>
    <row r="50">
      <c r="A50" s="155"/>
      <c r="B50" s="155"/>
      <c r="C50" s="155"/>
      <c r="D50" s="155"/>
      <c r="E50" s="155"/>
      <c r="F50" s="155"/>
      <c r="G50" s="155"/>
      <c r="H50" s="155"/>
      <c r="I50" s="155"/>
      <c r="J50" s="155"/>
      <c r="K50" s="155"/>
      <c r="L50" s="155"/>
      <c r="M50" s="155"/>
    </row>
    <row r="51">
      <c r="A51" s="155"/>
      <c r="B51" s="155"/>
      <c r="C51" s="155"/>
      <c r="D51" s="155"/>
      <c r="E51" s="155"/>
      <c r="F51" s="155"/>
      <c r="G51" s="155"/>
      <c r="H51" s="155"/>
      <c r="I51" s="155"/>
      <c r="J51" s="155"/>
      <c r="K51" s="155"/>
      <c r="L51" s="155"/>
      <c r="M51" s="155"/>
    </row>
    <row r="52">
      <c r="A52" s="155"/>
      <c r="B52" s="155"/>
      <c r="C52" s="155"/>
      <c r="D52" s="155"/>
      <c r="E52" s="155"/>
      <c r="F52" s="155"/>
      <c r="G52" s="155"/>
      <c r="H52" s="155"/>
      <c r="I52" s="155"/>
      <c r="J52" s="155"/>
      <c r="K52" s="155"/>
      <c r="L52" s="155"/>
      <c r="M52" s="155"/>
    </row>
    <row r="53">
      <c r="A53" s="155"/>
      <c r="B53" s="155"/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</row>
  </sheetData>
  <mergeCells count="52">
    <mergeCell ref="J21:L21"/>
    <mergeCell ref="M21:O21"/>
    <mergeCell ref="A20:C20"/>
    <mergeCell ref="D20:F20"/>
    <mergeCell ref="G20:I20"/>
    <mergeCell ref="J20:L20"/>
    <mergeCell ref="M20:O20"/>
    <mergeCell ref="P20:R20"/>
    <mergeCell ref="A21:C21"/>
    <mergeCell ref="P21:R21"/>
    <mergeCell ref="A1:R1"/>
    <mergeCell ref="A2:R2"/>
    <mergeCell ref="A3:D3"/>
    <mergeCell ref="E3:H3"/>
    <mergeCell ref="I3:M3"/>
    <mergeCell ref="N3:R3"/>
    <mergeCell ref="A5:R5"/>
    <mergeCell ref="P11:Q11"/>
    <mergeCell ref="A14:R15"/>
    <mergeCell ref="B7:D7"/>
    <mergeCell ref="F7:H7"/>
    <mergeCell ref="K7:M7"/>
    <mergeCell ref="O7:Q7"/>
    <mergeCell ref="F8:H10"/>
    <mergeCell ref="O8:Q10"/>
    <mergeCell ref="G11:H11"/>
    <mergeCell ref="A18:C18"/>
    <mergeCell ref="A19:C19"/>
    <mergeCell ref="D19:F19"/>
    <mergeCell ref="G19:I19"/>
    <mergeCell ref="J19:L19"/>
    <mergeCell ref="M19:O19"/>
    <mergeCell ref="P19:R19"/>
    <mergeCell ref="B8:D10"/>
    <mergeCell ref="C11:D11"/>
    <mergeCell ref="A16:C17"/>
    <mergeCell ref="D16:F17"/>
    <mergeCell ref="G16:I17"/>
    <mergeCell ref="D18:F18"/>
    <mergeCell ref="G18:I18"/>
    <mergeCell ref="D21:F21"/>
    <mergeCell ref="G21:I21"/>
    <mergeCell ref="P18:R18"/>
    <mergeCell ref="P25:R25"/>
    <mergeCell ref="P26:R26"/>
    <mergeCell ref="K8:M10"/>
    <mergeCell ref="L11:M11"/>
    <mergeCell ref="J16:L17"/>
    <mergeCell ref="M16:O17"/>
    <mergeCell ref="P16:R17"/>
    <mergeCell ref="J18:L18"/>
    <mergeCell ref="M18:O18"/>
  </mergeCells>
  <hyperlinks>
    <hyperlink display="Открыть →" location="'Договоры и счета'!A1" ref="C11"/>
    <hyperlink display="Открыть →" location="'Самовывозшоурум'!A1" ref="G11"/>
    <hyperlink display="Открыть →" location="'Доставка СДЭКТК'!A1" ref="L11"/>
    <hyperlink display="Открыть →" location="'Шаблоны сообщений'!A1" ref="P11"/>
    <hyperlink display="Открыть →" location="'Главная'!A1" ref="P26"/>
  </hyperlinks>
  <drawing r:id="rId1"/>
</worksheet>
</file>
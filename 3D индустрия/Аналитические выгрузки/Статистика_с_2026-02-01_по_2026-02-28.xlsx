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'Sheet1'!$A$1:$AJ$26</definedName>
  </definedNames>
  <calcPr calcId="122211"/>
</workbook>
</file>

<file path=xl/sharedStrings.xml><?xml version="1.0" encoding="utf-8"?>
<sst xmlns="http://schemas.openxmlformats.org/spreadsheetml/2006/main" count="78" uniqueCount="78">
  <si>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</si>
  <si>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</si>
  <si>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</si>
  <si>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</si>
  <si>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</si>
  <si>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</si>
  <si>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</si>
  <si>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</si>
  <si>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</si>
  <si>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</si>
  <si>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</si>
  <si>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</si>
  <si>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</si>
  <si>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</si>
  <si>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</si>
  <si>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</si>
  <si>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</si>
  <si>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Целевые просмотры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</si>
  <si>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</si>
  <si>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</si>
  <si>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</si>
  <si>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</si>
  <si>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</si>
  <si>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</si>
  <si>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</si>
  <si>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</si>
  <si>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</si>
  <si>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</si>
  <si>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</si>
  <si>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</si>
  <si>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</si>
  <si>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</si>
  <si>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</si>
  <si>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</si>
  <si>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</si>
  <si>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</si>
  <si>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</si>
  <si>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</si>
  <si>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пр. Воскресенские Ворота</t>
  </si>
  <si>
    <t>Электроника</t>
  </si>
  <si>
    <t>Оргтехника и расходники</t>
  </si>
  <si>
    <t>3D-принтеры</t>
  </si>
  <si>
    <t>151 900 ₽</t>
  </si>
  <si>
    <t>2026-02-18</t>
  </si>
  <si>
    <t>2026-05-23</t>
  </si>
  <si>
    <t>239 900 ₽</t>
  </si>
  <si>
    <t>2026-07-09</t>
  </si>
  <si>
    <t>100 000 ₽</t>
  </si>
  <si>
    <t>2026-02-19</t>
  </si>
  <si>
    <t>199 900 ₽</t>
  </si>
  <si>
    <t>2026-05-01</t>
  </si>
  <si>
    <t>268 900 ₽</t>
  </si>
  <si>
    <t>Москва, пл. Революции</t>
  </si>
  <si>
    <t>Принтеры</t>
  </si>
  <si>
    <t>79 000 ₽</t>
  </si>
  <si>
    <t>2026-01-10</t>
  </si>
  <si>
    <t>2026-02-09</t>
  </si>
  <si>
    <t>Москва, Арбатско-Покровская линия</t>
  </si>
  <si>
    <t>359 000 ₽</t>
  </si>
  <si>
    <t>Москва, ул. Охотный Ряд, 2</t>
  </si>
  <si>
    <t>544 344 ₽</t>
  </si>
  <si>
    <t>Москва, Тверская ул.</t>
  </si>
  <si>
    <t>751 999 ₽</t>
  </si>
  <si>
    <t>399 000 ₽</t>
  </si>
  <si>
    <t/>
  </si>
  <si>
    <t>1 490 000 ₽</t>
  </si>
  <si>
    <t>715 000 ₽</t>
  </si>
  <si>
    <t>2 490 000 ₽</t>
  </si>
  <si>
    <t>849 000 ₽</t>
  </si>
  <si>
    <t>461 899 ₽</t>
  </si>
  <si>
    <t>890 000 ₽</t>
  </si>
  <si>
    <t>462 999 ₽</t>
  </si>
  <si>
    <t>459 000 ₽</t>
  </si>
  <si>
    <t>1 270 000 ₽</t>
  </si>
  <si>
    <t>49 000 ₽</t>
  </si>
  <si>
    <t>635 899 ₽</t>
  </si>
  <si>
    <t>624 999 ₽</t>
  </si>
  <si>
    <t>96 000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</si>
</sst>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K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23"/>
    <col customWidth="true" max="19" min="19" width="14"/>
    <col customWidth="true" max="20" min="20" width="20"/>
    <col customWidth="true" max="21" min="21" width="24"/>
    <col customWidth="true" max="22" min="22" width="41"/>
    <col customWidth="true" max="23" min="23" width="35"/>
    <col customWidth="true" max="24" min="24" width="27"/>
    <col customWidth="true" max="25" min="25" width="26"/>
    <col customWidth="true" max="26" min="26" width="49"/>
    <col customWidth="true" max="27" min="27" width="22"/>
    <col customWidth="true" max="28" min="28" width="34"/>
    <col customWidth="true" max="29" min="29" width="24"/>
    <col customWidth="true" max="30" min="30" width="36"/>
    <col customWidth="true" max="31" min="31" width="27"/>
    <col customWidth="true" max="32" min="32" width="35"/>
    <col customWidth="true" max="33" min="33" width="46"/>
    <col customWidth="true" max="34" min="34" width="28"/>
    <col customWidth="true" max="35" min="35" width="23"/>
    <col customWidth="true" max="36" min="36"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2" t="str">
        <f>HYPERLINK("https://www.avito.ru/moskva/bytovaya_elektronika/3d-printer_bambu_lab_h2s_combo_ams_2_pro_7878984963","7878984963")</f>
      </c>
      <c r="B2" t="s">
        <v>36</v>
      </c>
      <c r="C2" t="s">
        <v>37</v>
      </c>
      <c r="D2" t="s">
        <v>38</v>
      </c>
      <c r="E2" t="s">
        <v>39</v>
      </c>
      <c r="F2" t="s">
        <v>40</v>
      </c>
      <c r="G2" t="s">
        <v>41</v>
      </c>
      <c r="H2" s="3" t="str">
        <f>HYPERLINK("https://www.avito.ru/moskva/bytovaya_elektronika/3d-printer_bambu_lab_h2s_combo_ams_2_pro_7878984963","3D-принтер Bambu Lab H2S Combo + AMS 2 Pro")</f>
      </c>
      <c r="I2" t="s">
        <v>42</v>
      </c>
      <c r="J2" t="s">
        <v>43</v>
      </c>
      <c r="K2" t="s">
        <v>44</v>
      </c>
      <c r="L2">
        <v>128</v>
      </c>
      <c r="M2">
        <v>12738</v>
      </c>
      <c r="N2" s="4">
        <v>0.1832</v>
      </c>
      <c r="O2">
        <v>2334</v>
      </c>
      <c r="P2" s="5">
        <v>0.01</v>
      </c>
      <c r="Q2" s="4">
        <v>0.0299</v>
      </c>
      <c r="R2">
        <v>0</v>
      </c>
      <c r="S2">
        <v>70</v>
      </c>
      <c r="T2">
        <v>66</v>
      </c>
      <c r="U2">
        <v>3</v>
      </c>
      <c r="V2">
        <v>1</v>
      </c>
      <c r="W2">
        <v>0</v>
      </c>
      <c r="X2" s="5">
        <v>0.49</v>
      </c>
      <c r="Y2">
        <v>257</v>
      </c>
      <c r="Z2" s="4">
        <v>0.0004</v>
      </c>
      <c r="AA2">
        <v>1</v>
      </c>
      <c r="AB2" s="5">
        <v>132540</v>
      </c>
      <c r="AC2">
        <v>0</v>
      </c>
      <c r="AD2" s="5">
        <v>0</v>
      </c>
      <c r="AE2" s="5">
        <v>34.53</v>
      </c>
      <c r="AF2" s="5">
        <v>0</v>
      </c>
      <c r="AG2" s="5">
        <v>34.53</v>
      </c>
      <c r="AH2" s="5">
        <v>0</v>
      </c>
      <c r="AI2" s="5">
        <v>0</v>
      </c>
      <c r="AJ2" s="5">
        <v>0</v>
      </c>
    </row>
    <row r="3">
      <c r="A3" s="2" t="str">
        <f>HYPERLINK("https://www.avito.ru/moskva/bytovaya_elektronika/v_nalichii_bambu_lab_h2c_eu_combo_7879814122","7879814122")</f>
      </c>
      <c r="B3" t="s">
        <v>36</v>
      </c>
      <c r="C3" t="s">
        <v>37</v>
      </c>
      <c r="D3" t="s">
        <v>38</v>
      </c>
      <c r="E3" t="s">
        <v>39</v>
      </c>
      <c r="F3" t="s">
        <v>40</v>
      </c>
      <c r="G3" t="s">
        <v>41</v>
      </c>
      <c r="H3" s="3" t="str">
        <f>HYPERLINK("https://www.avito.ru/moskva/bytovaya_elektronika/v_nalichii_bambu_lab_h2c_eu_combo_7879814122","В Наличии Bambu Lab H2C EU Combo")</f>
      </c>
      <c r="I3" t="s">
        <v>45</v>
      </c>
      <c r="J3" t="s">
        <v>43</v>
      </c>
      <c r="K3" t="s">
        <v>46</v>
      </c>
      <c r="L3">
        <v>128</v>
      </c>
      <c r="M3">
        <v>3420</v>
      </c>
      <c r="N3" s="4">
        <v>0.1929</v>
      </c>
      <c r="O3">
        <v>660</v>
      </c>
      <c r="P3" s="5">
        <v>0.24</v>
      </c>
      <c r="Q3" s="4">
        <v>0.0227</v>
      </c>
      <c r="R3">
        <v>0</v>
      </c>
      <c r="S3">
        <v>15</v>
      </c>
      <c r="T3">
        <v>14</v>
      </c>
      <c r="U3">
        <v>0</v>
      </c>
      <c r="V3">
        <v>1</v>
      </c>
      <c r="W3">
        <v>0</v>
      </c>
      <c r="X3" s="5">
        <v>10.96</v>
      </c>
      <c r="Y3">
        <v>98</v>
      </c>
      <c r="Z3" s="4">
        <v>0</v>
      </c>
      <c r="AA3">
        <v>0</v>
      </c>
      <c r="AB3" s="5">
        <v>0</v>
      </c>
      <c r="AC3">
        <v>0</v>
      </c>
      <c r="AD3" s="5">
        <v>0</v>
      </c>
      <c r="AE3" s="5">
        <v>164.53</v>
      </c>
      <c r="AF3" s="5">
        <v>0</v>
      </c>
      <c r="AG3" s="5">
        <v>34.53</v>
      </c>
      <c r="AH3" s="5">
        <v>130</v>
      </c>
      <c r="AI3" s="5">
        <v>0</v>
      </c>
      <c r="AJ3" s="5">
        <v>0</v>
      </c>
    </row>
    <row r="4">
      <c r="A4" s="2" t="str">
        <f>HYPERLINK("https://www.avito.ru/moskva/bytovaya_elektronika/tsvetnoy_3d-printer_snapmaker_u1_7879904280","7879904280")</f>
      </c>
      <c r="B4" t="s">
        <v>36</v>
      </c>
      <c r="C4" t="s">
        <v>37</v>
      </c>
      <c r="D4" t="s">
        <v>37</v>
      </c>
      <c r="E4" t="s">
        <v>39</v>
      </c>
      <c r="F4" t="s">
        <v>40</v>
      </c>
      <c r="G4" t="s">
        <v>41</v>
      </c>
      <c r="H4" s="3" t="str">
        <f>HYPERLINK("https://www.avito.ru/moskva/bytovaya_elektronika/tsvetnoy_3d-printer_snapmaker_u1_7879904280","Цветной 3D-принтер Snapmaker U1")</f>
      </c>
      <c r="I4" t="s">
        <v>47</v>
      </c>
      <c r="J4" t="s">
        <v>48</v>
      </c>
      <c r="K4" t="s">
        <v>44</v>
      </c>
      <c r="L4">
        <v>127</v>
      </c>
      <c r="M4">
        <v>2077</v>
      </c>
      <c r="N4" s="4">
        <v>0.2108</v>
      </c>
      <c r="O4">
        <v>438</v>
      </c>
      <c r="P4" s="5">
        <v>0.55</v>
      </c>
      <c r="Q4" s="4">
        <v>0.0228</v>
      </c>
      <c r="R4">
        <v>0</v>
      </c>
      <c r="S4">
        <v>10</v>
      </c>
      <c r="T4">
        <v>9</v>
      </c>
      <c r="U4">
        <v>1</v>
      </c>
      <c r="V4">
        <v>0</v>
      </c>
      <c r="W4">
        <v>0</v>
      </c>
      <c r="X4" s="5">
        <v>24.14</v>
      </c>
      <c r="Y4">
        <v>21</v>
      </c>
      <c r="Z4" s="4">
        <v>0</v>
      </c>
      <c r="AA4">
        <v>0</v>
      </c>
      <c r="AB4" s="5">
        <v>0</v>
      </c>
      <c r="AC4">
        <v>0</v>
      </c>
      <c r="AD4" s="5">
        <v>0</v>
      </c>
      <c r="AE4" s="5">
        <v>241.4</v>
      </c>
      <c r="AF4" s="5">
        <v>0</v>
      </c>
      <c r="AG4" s="5">
        <v>31.4</v>
      </c>
      <c r="AH4" s="5">
        <v>210</v>
      </c>
      <c r="AI4" s="5">
        <v>0</v>
      </c>
      <c r="AJ4" s="5">
        <v>0</v>
      </c>
    </row>
    <row r="5">
      <c r="A5" s="2" t="str">
        <f>HYPERLINK("https://www.avito.ru/moskva/bytovaya_elektronika/3d-printer_bambu_lab_h2d_eu_combo_ams_7879399282","7879399282")</f>
      </c>
      <c r="B5" t="s">
        <v>36</v>
      </c>
      <c r="C5" t="s">
        <v>37</v>
      </c>
      <c r="D5" t="s">
        <v>38</v>
      </c>
      <c r="E5" t="s">
        <v>39</v>
      </c>
      <c r="F5" t="s">
        <v>40</v>
      </c>
      <c r="G5" t="s">
        <v>41</v>
      </c>
      <c r="H5" s="3" t="str">
        <f>HYPERLINK("https://www.avito.ru/moskva/bytovaya_elektronika/3d-printer_bambu_lab_h2d_eu_combo_ams_7879399282","3D-принтер Bambu Lab H2D EU Combo (AMS)")</f>
      </c>
      <c r="I5" t="s">
        <v>49</v>
      </c>
      <c r="J5" t="s">
        <v>43</v>
      </c>
      <c r="K5" t="s">
        <v>50</v>
      </c>
      <c r="L5">
        <v>128</v>
      </c>
      <c r="M5">
        <v>1191</v>
      </c>
      <c r="N5" s="4">
        <v>0.2325</v>
      </c>
      <c r="O5">
        <v>277</v>
      </c>
      <c r="P5" s="5">
        <v>0.02</v>
      </c>
      <c r="Q5" s="4">
        <v>0.0252</v>
      </c>
      <c r="R5">
        <v>0</v>
      </c>
      <c r="S5">
        <v>7</v>
      </c>
      <c r="T5">
        <v>6</v>
      </c>
      <c r="U5">
        <v>1</v>
      </c>
      <c r="V5">
        <v>0</v>
      </c>
      <c r="W5">
        <v>0</v>
      </c>
      <c r="X5" s="5">
        <v>0.89</v>
      </c>
      <c r="Y5">
        <v>22</v>
      </c>
      <c r="Z5" s="4">
        <v>0</v>
      </c>
      <c r="AA5">
        <v>0</v>
      </c>
      <c r="AB5" s="5">
        <v>0</v>
      </c>
      <c r="AC5">
        <v>0</v>
      </c>
      <c r="AD5" s="5">
        <v>0</v>
      </c>
      <c r="AE5" s="5">
        <v>6.28</v>
      </c>
      <c r="AF5" s="5">
        <v>0</v>
      </c>
      <c r="AG5" s="5">
        <v>6.28</v>
      </c>
      <c r="AH5" s="5">
        <v>0</v>
      </c>
      <c r="AI5" s="5">
        <v>0</v>
      </c>
      <c r="AJ5" s="5">
        <v>0</v>
      </c>
    </row>
    <row r="6">
      <c r="A6" s="2" t="str">
        <f>HYPERLINK("https://www.avito.ru/moskva/bytovaya_elektronika/3d-printer_bambu_lab_h2d_laser_full_combo_10w_7879496987","7879496987")</f>
      </c>
      <c r="B6" t="s">
        <v>36</v>
      </c>
      <c r="C6" t="s">
        <v>37</v>
      </c>
      <c r="D6" t="s">
        <v>38</v>
      </c>
      <c r="E6" t="s">
        <v>39</v>
      </c>
      <c r="F6" t="s">
        <v>40</v>
      </c>
      <c r="G6" t="s">
        <v>41</v>
      </c>
      <c r="H6" s="3" t="str">
        <f>HYPERLINK("https://www.avito.ru/moskva/bytovaya_elektronika/3d-printer_bambu_lab_h2d_laser_full_combo_10w_7879496987","3D-принтер Bambu Lab H2D Laser Full Combo 10W")</f>
      </c>
      <c r="I6" t="s">
        <v>51</v>
      </c>
      <c r="J6" t="s">
        <v>43</v>
      </c>
      <c r="K6" t="s">
        <v>44</v>
      </c>
      <c r="L6">
        <v>128</v>
      </c>
      <c r="M6">
        <v>1428</v>
      </c>
      <c r="N6" s="4">
        <v>0.1204</v>
      </c>
      <c r="O6">
        <v>172</v>
      </c>
      <c r="P6" s="5">
        <v>0.93</v>
      </c>
      <c r="Q6" s="4">
        <v>0.0232</v>
      </c>
      <c r="R6">
        <v>0</v>
      </c>
      <c r="S6">
        <v>4</v>
      </c>
      <c r="T6">
        <v>4</v>
      </c>
      <c r="U6">
        <v>0</v>
      </c>
      <c r="V6">
        <v>0</v>
      </c>
      <c r="W6">
        <v>0</v>
      </c>
      <c r="X6" s="5">
        <v>40.35</v>
      </c>
      <c r="Y6">
        <v>19</v>
      </c>
      <c r="Z6" s="4">
        <v>0</v>
      </c>
      <c r="AA6">
        <v>0</v>
      </c>
      <c r="AB6" s="5">
        <v>0</v>
      </c>
      <c r="AC6">
        <v>0</v>
      </c>
      <c r="AD6" s="5">
        <v>0</v>
      </c>
      <c r="AE6" s="5">
        <v>161.4</v>
      </c>
      <c r="AF6" s="5">
        <v>0</v>
      </c>
      <c r="AG6" s="5">
        <v>31.4</v>
      </c>
      <c r="AH6" s="5">
        <v>130</v>
      </c>
      <c r="AI6" s="5">
        <v>0</v>
      </c>
      <c r="AJ6" s="5">
        <v>0</v>
      </c>
    </row>
    <row r="7">
      <c r="A7" s="2" t="str">
        <f>HYPERLINK("https://www.avito.ru/moskva/bytovaya_elektronika/3d_printer_reality_k2_pro_combo_7815140897","7815140897")</f>
      </c>
      <c r="B7" t="s">
        <v>36</v>
      </c>
      <c r="C7" t="s">
        <v>37</v>
      </c>
      <c r="D7" t="s">
        <v>52</v>
      </c>
      <c r="E7" t="s">
        <v>39</v>
      </c>
      <c r="F7" t="s">
        <v>40</v>
      </c>
      <c r="G7" t="s">
        <v>53</v>
      </c>
      <c r="H7" s="3" t="str">
        <f>HYPERLINK("https://www.avito.ru/moskva/bytovaya_elektronika/3d_printer_reality_k2_pro_combo_7815140897","3D принтер reality k2 pro combo")</f>
      </c>
      <c r="I7" t="s">
        <v>54</v>
      </c>
      <c r="J7" t="s">
        <v>55</v>
      </c>
      <c r="K7" t="s">
        <v>56</v>
      </c>
      <c r="L7">
        <v>167</v>
      </c>
      <c r="M7">
        <v>717</v>
      </c>
      <c r="N7" s="4">
        <v>0.1785</v>
      </c>
      <c r="O7">
        <v>128</v>
      </c>
      <c r="P7" s="5">
        <v>0</v>
      </c>
      <c r="Q7" s="4">
        <v>0.0234</v>
      </c>
      <c r="R7">
        <v>0</v>
      </c>
      <c r="S7">
        <v>3</v>
      </c>
      <c r="T7">
        <v>2</v>
      </c>
      <c r="U7">
        <v>1</v>
      </c>
      <c r="V7">
        <v>0</v>
      </c>
      <c r="W7">
        <v>0</v>
      </c>
      <c r="X7" s="5">
        <v>0</v>
      </c>
      <c r="Y7">
        <v>9</v>
      </c>
      <c r="Z7" s="4">
        <v>0</v>
      </c>
      <c r="AA7">
        <v>0</v>
      </c>
      <c r="AB7" s="5">
        <v>0</v>
      </c>
      <c r="AC7">
        <v>0</v>
      </c>
      <c r="AD7" s="5">
        <v>0</v>
      </c>
      <c r="AE7" s="5">
        <v>0</v>
      </c>
      <c r="AF7" s="5">
        <v>0</v>
      </c>
      <c r="AG7" s="5">
        <v>0</v>
      </c>
      <c r="AH7" s="5">
        <v>0</v>
      </c>
      <c r="AI7" s="5">
        <v>0</v>
      </c>
      <c r="AJ7" s="5">
        <v>0</v>
      </c>
    </row>
    <row r="8">
      <c r="A8" s="2" t="str">
        <f>HYPERLINK("https://www.avito.ru/moskva/bytovaya_elektronika/3d_printer_promyshlennyy_dowell_dm-8_800800800_7815457665","7815457665")</f>
      </c>
      <c r="B8" t="s">
        <v>36</v>
      </c>
      <c r="C8" t="s">
        <v>37</v>
      </c>
      <c r="D8" t="s">
        <v>57</v>
      </c>
      <c r="E8" t="s">
        <v>39</v>
      </c>
      <c r="F8" t="s">
        <v>40</v>
      </c>
      <c r="G8" t="s">
        <v>53</v>
      </c>
      <c r="H8" s="3" t="str">
        <f>HYPERLINK("https://www.avito.ru/moskva/bytovaya_elektronika/3d_printer_promyshlennyy_dowell_dm-8_800800800_7815457665","3Д принтер промышленный DoWell DM-8 800*800*800")</f>
      </c>
      <c r="I8" t="s">
        <v>58</v>
      </c>
      <c r="J8" t="s">
        <v>55</v>
      </c>
      <c r="K8" t="s">
        <v>56</v>
      </c>
      <c r="L8">
        <v>167</v>
      </c>
      <c r="M8">
        <v>1101</v>
      </c>
      <c r="N8" s="4">
        <v>0.2016</v>
      </c>
      <c r="O8">
        <v>222</v>
      </c>
      <c r="P8" s="5">
        <v>0.12</v>
      </c>
      <c r="Q8" s="4">
        <v>0.009</v>
      </c>
      <c r="R8">
        <v>0</v>
      </c>
      <c r="S8">
        <v>2</v>
      </c>
      <c r="T8">
        <v>0</v>
      </c>
      <c r="U8">
        <v>1</v>
      </c>
      <c r="V8">
        <v>1</v>
      </c>
      <c r="W8">
        <v>0</v>
      </c>
      <c r="X8" s="5">
        <v>14.08</v>
      </c>
      <c r="Y8">
        <v>25</v>
      </c>
      <c r="Z8" s="4">
        <v>0</v>
      </c>
      <c r="AA8">
        <v>0</v>
      </c>
      <c r="AB8" s="5">
        <v>0</v>
      </c>
      <c r="AC8">
        <v>0</v>
      </c>
      <c r="AD8" s="5">
        <v>0</v>
      </c>
      <c r="AE8" s="5">
        <v>28.17</v>
      </c>
      <c r="AF8" s="5">
        <v>0</v>
      </c>
      <c r="AG8" s="5">
        <v>28.17</v>
      </c>
      <c r="AH8" s="5">
        <v>0</v>
      </c>
      <c r="AI8" s="5">
        <v>0</v>
      </c>
      <c r="AJ8" s="5">
        <v>0</v>
      </c>
    </row>
    <row r="9">
      <c r="A9" s="2" t="str">
        <f>HYPERLINK("https://www.avito.ru/moskva/bytovaya_elektronika/3d_printer_bolshoy_dowell_dm-8_plus_7815224623","7815224623")</f>
      </c>
      <c r="B9" t="s">
        <v>36</v>
      </c>
      <c r="C9" t="s">
        <v>37</v>
      </c>
      <c r="D9" t="s">
        <v>57</v>
      </c>
      <c r="E9" t="s">
        <v>39</v>
      </c>
      <c r="F9" t="s">
        <v>40</v>
      </c>
      <c r="G9" t="s">
        <v>53</v>
      </c>
      <c r="H9" s="3" t="str">
        <f>HYPERLINK("https://www.avito.ru/moskva/bytovaya_elektronika/3d_printer_bolshoy_dowell_dm-8_plus_7815224623","3Д принтер большой DoWell DM-8 Plus")</f>
      </c>
      <c r="I9" t="s">
        <v>58</v>
      </c>
      <c r="J9" t="s">
        <v>55</v>
      </c>
      <c r="K9" t="s">
        <v>56</v>
      </c>
      <c r="L9">
        <v>167</v>
      </c>
      <c r="M9">
        <v>70</v>
      </c>
      <c r="N9" s="4">
        <v>0.2142</v>
      </c>
      <c r="O9">
        <v>15</v>
      </c>
      <c r="P9" s="5">
        <v>1.66</v>
      </c>
      <c r="Q9" s="4">
        <v>0.0666</v>
      </c>
      <c r="R9">
        <v>0</v>
      </c>
      <c r="S9">
        <v>1</v>
      </c>
      <c r="T9">
        <v>0</v>
      </c>
      <c r="U9">
        <v>1</v>
      </c>
      <c r="V9">
        <v>0</v>
      </c>
      <c r="W9">
        <v>0</v>
      </c>
      <c r="X9" s="5">
        <v>25.04</v>
      </c>
      <c r="Y9">
        <v>2</v>
      </c>
      <c r="Z9" s="4">
        <v>0</v>
      </c>
      <c r="AA9">
        <v>0</v>
      </c>
      <c r="AB9" s="5">
        <v>0</v>
      </c>
      <c r="AC9">
        <v>0</v>
      </c>
      <c r="AD9" s="5">
        <v>0</v>
      </c>
      <c r="AE9" s="5">
        <v>25.04</v>
      </c>
      <c r="AF9" s="5">
        <v>0</v>
      </c>
      <c r="AG9" s="5">
        <v>25.04</v>
      </c>
      <c r="AH9" s="5">
        <v>0</v>
      </c>
      <c r="AI9" s="5">
        <v>0</v>
      </c>
      <c r="AJ9" s="5">
        <v>0</v>
      </c>
    </row>
    <row r="10">
      <c r="A10" s="2" t="str">
        <f>HYPERLINK("https://www.avito.ru/moskva/bytovaya_elektronika/3d-printer_bolshoy_fdm_dowell_dm10-8_plus_7815850388","7815850388")</f>
      </c>
      <c r="B10" t="s">
        <v>36</v>
      </c>
      <c r="C10" t="s">
        <v>37</v>
      </c>
      <c r="D10" t="s">
        <v>59</v>
      </c>
      <c r="E10" t="s">
        <v>39</v>
      </c>
      <c r="F10" t="s">
        <v>40</v>
      </c>
      <c r="G10" t="s">
        <v>53</v>
      </c>
      <c r="H10" s="3" t="str">
        <f>HYPERLINK("https://www.avito.ru/moskva/bytovaya_elektronika/3d-printer_bolshoy_fdm_dowell_dm10-8_plus_7815850388","3D-принтер большой FDM DoWell DM10-8 Plus")</f>
      </c>
      <c r="I10" t="s">
        <v>60</v>
      </c>
      <c r="J10" t="s">
        <v>55</v>
      </c>
      <c r="K10" t="s">
        <v>56</v>
      </c>
      <c r="L10">
        <v>167</v>
      </c>
      <c r="M10">
        <v>148</v>
      </c>
      <c r="N10" s="4">
        <v>0.1891</v>
      </c>
      <c r="O10">
        <v>28</v>
      </c>
      <c r="P10" s="5">
        <v>1</v>
      </c>
      <c r="Q10" s="4">
        <v>0.0357</v>
      </c>
      <c r="R10">
        <v>0</v>
      </c>
      <c r="S10">
        <v>1</v>
      </c>
      <c r="T10">
        <v>0</v>
      </c>
      <c r="U10">
        <v>0</v>
      </c>
      <c r="V10">
        <v>1</v>
      </c>
      <c r="W10">
        <v>0</v>
      </c>
      <c r="X10" s="5">
        <v>28.17</v>
      </c>
      <c r="Y10">
        <v>2</v>
      </c>
      <c r="Z10" s="4">
        <v>0</v>
      </c>
      <c r="AA10">
        <v>0</v>
      </c>
      <c r="AB10" s="5">
        <v>0</v>
      </c>
      <c r="AC10">
        <v>0</v>
      </c>
      <c r="AD10" s="5">
        <v>0</v>
      </c>
      <c r="AE10" s="5">
        <v>28.17</v>
      </c>
      <c r="AF10" s="5">
        <v>0</v>
      </c>
      <c r="AG10" s="5">
        <v>28.17</v>
      </c>
      <c r="AH10" s="5">
        <v>0</v>
      </c>
      <c r="AI10" s="5">
        <v>0</v>
      </c>
      <c r="AJ10" s="5">
        <v>0</v>
      </c>
    </row>
    <row r="11">
      <c r="A11" s="2" t="str">
        <f>HYPERLINK("https://www.avito.ru/moskva/bytovaya_elektronika/3d_printer_bolshoy_fdm_dowell_dm1016-10plus_7815908573","7815908573")</f>
      </c>
      <c r="B11" t="s">
        <v>36</v>
      </c>
      <c r="C11" t="s">
        <v>37</v>
      </c>
      <c r="D11" t="s">
        <v>61</v>
      </c>
      <c r="E11" t="s">
        <v>39</v>
      </c>
      <c r="F11" t="s">
        <v>40</v>
      </c>
      <c r="G11" t="s">
        <v>53</v>
      </c>
      <c r="H11" s="3" t="str">
        <f>HYPERLINK("https://www.avito.ru/moskva/bytovaya_elektronika/3d_printer_bolshoy_fdm_dowell_dm1016-10plus_7815908573","3D принтер большой FDM DoWell DM1016-10Plus")</f>
      </c>
      <c r="I11" t="s">
        <v>62</v>
      </c>
      <c r="J11" t="s">
        <v>55</v>
      </c>
      <c r="K11" t="s">
        <v>56</v>
      </c>
      <c r="L11">
        <v>167</v>
      </c>
      <c r="M11">
        <v>54</v>
      </c>
      <c r="N11" s="4">
        <v>0.1851</v>
      </c>
      <c r="O11">
        <v>10</v>
      </c>
      <c r="P11" s="5">
        <v>2.5</v>
      </c>
      <c r="Q11" s="4">
        <v>0.1</v>
      </c>
      <c r="R11">
        <v>0</v>
      </c>
      <c r="S11">
        <v>1</v>
      </c>
      <c r="T11">
        <v>1</v>
      </c>
      <c r="U11">
        <v>0</v>
      </c>
      <c r="V11">
        <v>0</v>
      </c>
      <c r="W11">
        <v>0</v>
      </c>
      <c r="X11" s="5">
        <v>25.04</v>
      </c>
      <c r="Y11">
        <v>0</v>
      </c>
      <c r="Z11" s="4">
        <v>0</v>
      </c>
      <c r="AA11">
        <v>0</v>
      </c>
      <c r="AB11" s="5">
        <v>0</v>
      </c>
      <c r="AC11">
        <v>0</v>
      </c>
      <c r="AD11" s="5">
        <v>0</v>
      </c>
      <c r="AE11" s="5">
        <v>25.04</v>
      </c>
      <c r="AF11" s="5">
        <v>0</v>
      </c>
      <c r="AG11" s="5">
        <v>25.04</v>
      </c>
      <c r="AH11" s="5">
        <v>0</v>
      </c>
      <c r="AI11" s="5">
        <v>0</v>
      </c>
      <c r="AJ11" s="5">
        <v>0</v>
      </c>
    </row>
    <row r="12">
      <c r="A12" s="2" t="str">
        <f>HYPERLINK("https://www.avito.ru/moskva/bytovaya_elektronika/3d_printer_promyshlennyy_dowell_dm8_plus_zakrytyy_7814969622","7814969622")</f>
      </c>
      <c r="B12" t="s">
        <v>36</v>
      </c>
      <c r="C12" t="s">
        <v>37</v>
      </c>
      <c r="D12" t="s">
        <v>61</v>
      </c>
      <c r="E12" t="s">
        <v>39</v>
      </c>
      <c r="F12" t="s">
        <v>40</v>
      </c>
      <c r="G12" t="s">
        <v>53</v>
      </c>
      <c r="H12" s="3" t="str">
        <f>HYPERLINK("https://www.avito.ru/moskva/bytovaya_elektronika/3d_printer_promyshlennyy_dowell_dm8_plus_zakrytyy_7814969622","3Д принтер промышленный DoWell DM8 plus закрытый")</f>
      </c>
      <c r="I12" t="s">
        <v>63</v>
      </c>
      <c r="J12" t="s">
        <v>55</v>
      </c>
      <c r="K12" t="s">
        <v>56</v>
      </c>
      <c r="L12">
        <v>167</v>
      </c>
      <c r="M12">
        <v>80</v>
      </c>
      <c r="N12" s="4">
        <v>0.1625</v>
      </c>
      <c r="O12">
        <v>13</v>
      </c>
      <c r="P12" s="5">
        <v>1.92</v>
      </c>
      <c r="Q12" s="4">
        <v>0</v>
      </c>
      <c r="R12">
        <v>0</v>
      </c>
      <c r="S12">
        <v>0</v>
      </c>
      <c r="T12">
        <v>0</v>
      </c>
      <c r="U12">
        <v>0</v>
      </c>
      <c r="V12">
        <v>0</v>
      </c>
      <c r="W12">
        <v>0</v>
      </c>
      <c r="X12" s="5" t="s">
        <v>64</v>
      </c>
      <c r="Y12">
        <v>0</v>
      </c>
      <c r="Z12" s="4">
        <v>0</v>
      </c>
      <c r="AA12">
        <v>0</v>
      </c>
      <c r="AB12" s="5">
        <v>0</v>
      </c>
      <c r="AC12">
        <v>0</v>
      </c>
      <c r="AD12" s="5">
        <v>0</v>
      </c>
      <c r="AE12" s="5">
        <v>25.04</v>
      </c>
      <c r="AF12" s="5">
        <v>0</v>
      </c>
      <c r="AG12" s="5">
        <v>25.04</v>
      </c>
      <c r="AH12" s="5">
        <v>0</v>
      </c>
      <c r="AI12" s="5">
        <v>0</v>
      </c>
      <c r="AJ12" s="5">
        <v>0</v>
      </c>
    </row>
    <row r="13">
      <c r="A13" s="2" t="str">
        <f>HYPERLINK("https://www.avito.ru/moskva/bytovaya_elektronika/3d_printer_bolshoy_100010001000_mingda_7815208145","7815208145")</f>
      </c>
      <c r="B13" t="s">
        <v>36</v>
      </c>
      <c r="C13" t="s">
        <v>37</v>
      </c>
      <c r="D13" t="s">
        <v>61</v>
      </c>
      <c r="E13" t="s">
        <v>39</v>
      </c>
      <c r="F13" t="s">
        <v>40</v>
      </c>
      <c r="G13" t="s">
        <v>53</v>
      </c>
      <c r="H13" s="3" t="str">
        <f>HYPERLINK("https://www.avito.ru/moskva/bytovaya_elektronika/3d_printer_bolshoy_100010001000_mingda_7815208145","3Д принтер большой 1000*1000*1000 mingda")</f>
      </c>
      <c r="I13" t="s">
        <v>65</v>
      </c>
      <c r="J13" t="s">
        <v>55</v>
      </c>
      <c r="K13" t="s">
        <v>56</v>
      </c>
      <c r="L13">
        <v>167</v>
      </c>
      <c r="M13">
        <v>348</v>
      </c>
      <c r="N13" s="4">
        <v>0.2816</v>
      </c>
      <c r="O13">
        <v>98</v>
      </c>
      <c r="P13" s="5">
        <v>0.25</v>
      </c>
      <c r="Q13" s="4">
        <v>0</v>
      </c>
      <c r="R13">
        <v>0</v>
      </c>
      <c r="S13">
        <v>0</v>
      </c>
      <c r="T13">
        <v>0</v>
      </c>
      <c r="U13">
        <v>0</v>
      </c>
      <c r="V13">
        <v>0</v>
      </c>
      <c r="W13">
        <v>0</v>
      </c>
      <c r="X13" s="5" t="s">
        <v>64</v>
      </c>
      <c r="Y13">
        <v>7</v>
      </c>
      <c r="Z13" s="4">
        <v>0</v>
      </c>
      <c r="AA13">
        <v>0</v>
      </c>
      <c r="AB13" s="5">
        <v>0</v>
      </c>
      <c r="AC13">
        <v>0</v>
      </c>
      <c r="AD13" s="5">
        <v>0</v>
      </c>
      <c r="AE13" s="5">
        <v>25.04</v>
      </c>
      <c r="AF13" s="5">
        <v>0</v>
      </c>
      <c r="AG13" s="5">
        <v>25.04</v>
      </c>
      <c r="AH13" s="5">
        <v>0</v>
      </c>
      <c r="AI13" s="5">
        <v>0</v>
      </c>
      <c r="AJ13" s="5">
        <v>0</v>
      </c>
    </row>
    <row r="14">
      <c r="A14" s="2" t="str">
        <f>HYPERLINK("https://www.avito.ru/moskva/bytovaya_elektronika/3d-printer_bolshoy_fdm_dowell_dm12_plus_7815284683","7815284683")</f>
      </c>
      <c r="B14" t="s">
        <v>36</v>
      </c>
      <c r="C14" t="s">
        <v>37</v>
      </c>
      <c r="D14" t="s">
        <v>59</v>
      </c>
      <c r="E14" t="s">
        <v>39</v>
      </c>
      <c r="F14" t="s">
        <v>40</v>
      </c>
      <c r="G14" t="s">
        <v>53</v>
      </c>
      <c r="H14" s="3" t="str">
        <f>HYPERLINK("https://www.avito.ru/moskva/bytovaya_elektronika/3d-printer_bolshoy_fdm_dowell_dm12_plus_7815284683","3D-принтер большой FDM DoWell DM12 Plus")</f>
      </c>
      <c r="I14" t="s">
        <v>66</v>
      </c>
      <c r="J14" t="s">
        <v>55</v>
      </c>
      <c r="K14" t="s">
        <v>56</v>
      </c>
      <c r="L14">
        <v>167</v>
      </c>
      <c r="M14">
        <v>64</v>
      </c>
      <c r="N14" s="4">
        <v>0.1406</v>
      </c>
      <c r="O14">
        <v>9</v>
      </c>
      <c r="P14" s="5">
        <v>3.13</v>
      </c>
      <c r="Q14" s="4">
        <v>0</v>
      </c>
      <c r="R14">
        <v>0</v>
      </c>
      <c r="S14">
        <v>0</v>
      </c>
      <c r="T14">
        <v>0</v>
      </c>
      <c r="U14">
        <v>0</v>
      </c>
      <c r="V14">
        <v>0</v>
      </c>
      <c r="W14">
        <v>0</v>
      </c>
      <c r="X14" s="5" t="s">
        <v>64</v>
      </c>
      <c r="Y14">
        <v>2</v>
      </c>
      <c r="Z14" s="4">
        <v>0</v>
      </c>
      <c r="AA14">
        <v>0</v>
      </c>
      <c r="AB14" s="5">
        <v>0</v>
      </c>
      <c r="AC14">
        <v>0</v>
      </c>
      <c r="AD14" s="5">
        <v>0</v>
      </c>
      <c r="AE14" s="5">
        <v>28.17</v>
      </c>
      <c r="AF14" s="5">
        <v>0</v>
      </c>
      <c r="AG14" s="5">
        <v>28.17</v>
      </c>
      <c r="AH14" s="5">
        <v>0</v>
      </c>
      <c r="AI14" s="5">
        <v>0</v>
      </c>
      <c r="AJ14" s="5">
        <v>0</v>
      </c>
    </row>
    <row r="15">
      <c r="A15" s="2" t="str">
        <f>HYPERLINK("https://www.avito.ru/moskva/bytovaya_elektronika/3d_printer_fgf_160024001600_dowell_dp-a1624-16_7815308091","7815308091")</f>
      </c>
      <c r="B15" t="s">
        <v>36</v>
      </c>
      <c r="C15" t="s">
        <v>37</v>
      </c>
      <c r="D15" t="s">
        <v>57</v>
      </c>
      <c r="E15" t="s">
        <v>39</v>
      </c>
      <c r="F15" t="s">
        <v>40</v>
      </c>
      <c r="G15" t="s">
        <v>53</v>
      </c>
      <c r="H15" s="3" t="str">
        <f>HYPERLINK("https://www.avito.ru/moskva/bytovaya_elektronika/3d_printer_fgf_160024001600_dowell_dp-a1624-16_7815308091","3Д принтер FGF 1600/2400/1600 Dowell DP-A1624-16")</f>
      </c>
      <c r="I15" t="s">
        <v>67</v>
      </c>
      <c r="J15" t="s">
        <v>55</v>
      </c>
      <c r="K15" t="s">
        <v>56</v>
      </c>
      <c r="L15">
        <v>167</v>
      </c>
      <c r="M15">
        <v>110</v>
      </c>
      <c r="N15" s="4">
        <v>0.2454</v>
      </c>
      <c r="O15">
        <v>27</v>
      </c>
      <c r="P15" s="5">
        <v>1.04</v>
      </c>
      <c r="Q15" s="4">
        <v>0</v>
      </c>
      <c r="R15">
        <v>0</v>
      </c>
      <c r="S15">
        <v>0</v>
      </c>
      <c r="T15">
        <v>0</v>
      </c>
      <c r="U15">
        <v>0</v>
      </c>
      <c r="V15">
        <v>0</v>
      </c>
      <c r="W15">
        <v>0</v>
      </c>
      <c r="X15" s="5" t="s">
        <v>64</v>
      </c>
      <c r="Y15">
        <v>4</v>
      </c>
      <c r="Z15" s="4">
        <v>0</v>
      </c>
      <c r="AA15">
        <v>0</v>
      </c>
      <c r="AB15" s="5">
        <v>0</v>
      </c>
      <c r="AC15">
        <v>0</v>
      </c>
      <c r="AD15" s="5">
        <v>0</v>
      </c>
      <c r="AE15" s="5">
        <v>28.17</v>
      </c>
      <c r="AF15" s="5">
        <v>0</v>
      </c>
      <c r="AG15" s="5">
        <v>28.17</v>
      </c>
      <c r="AH15" s="5">
        <v>0</v>
      </c>
      <c r="AI15" s="5">
        <v>0</v>
      </c>
      <c r="AJ15" s="5">
        <v>0</v>
      </c>
    </row>
    <row r="16">
      <c r="A16" s="2" t="str">
        <f>HYPERLINK("https://www.avito.ru/moskva/bytovaya_elektronika/fdm-printer_dowell_dm1016-8pro_shirokoformatnyy_7815409660","7815409660")</f>
      </c>
      <c r="B16" t="s">
        <v>36</v>
      </c>
      <c r="C16" t="s">
        <v>37</v>
      </c>
      <c r="D16" t="s">
        <v>61</v>
      </c>
      <c r="E16" t="s">
        <v>39</v>
      </c>
      <c r="F16" t="s">
        <v>40</v>
      </c>
      <c r="G16" t="s">
        <v>53</v>
      </c>
      <c r="H16" s="3" t="str">
        <f>HYPERLINK("https://www.avito.ru/moskva/bytovaya_elektronika/fdm-printer_dowell_dm1016-8pro_shirokoformatnyy_7815409660","FDM-принтер DoWell DM1016-8Pro Широкоформатный")</f>
      </c>
      <c r="I16" t="s">
        <v>68</v>
      </c>
      <c r="J16" t="s">
        <v>55</v>
      </c>
      <c r="K16" t="s">
        <v>56</v>
      </c>
      <c r="L16">
        <v>167</v>
      </c>
      <c r="M16">
        <v>194</v>
      </c>
      <c r="N16" s="4">
        <v>0.2061</v>
      </c>
      <c r="O16">
        <v>40</v>
      </c>
      <c r="P16" s="5">
        <v>0.62</v>
      </c>
      <c r="Q16" s="4">
        <v>0</v>
      </c>
      <c r="R16">
        <v>0</v>
      </c>
      <c r="S16">
        <v>0</v>
      </c>
      <c r="T16">
        <v>0</v>
      </c>
      <c r="U16">
        <v>0</v>
      </c>
      <c r="V16">
        <v>0</v>
      </c>
      <c r="W16">
        <v>0</v>
      </c>
      <c r="X16" s="5" t="s">
        <v>64</v>
      </c>
      <c r="Y16">
        <v>3</v>
      </c>
      <c r="Z16" s="4">
        <v>0</v>
      </c>
      <c r="AA16">
        <v>0</v>
      </c>
      <c r="AB16" s="5">
        <v>0</v>
      </c>
      <c r="AC16">
        <v>0</v>
      </c>
      <c r="AD16" s="5">
        <v>0</v>
      </c>
      <c r="AE16" s="5">
        <v>25.04</v>
      </c>
      <c r="AF16" s="5">
        <v>0</v>
      </c>
      <c r="AG16" s="5">
        <v>25.04</v>
      </c>
      <c r="AH16" s="5">
        <v>0</v>
      </c>
      <c r="AI16" s="5">
        <v>0</v>
      </c>
      <c r="AJ16" s="5">
        <v>0</v>
      </c>
    </row>
    <row r="17">
      <c r="A17" s="2" t="str">
        <f>HYPERLINK("https://www.avito.ru/moskva/bytovaya_elektronika/3d-printer_bolshoy_fdm_dowell_dm8_plus_7815433539","7815433539")</f>
      </c>
      <c r="B17" t="s">
        <v>36</v>
      </c>
      <c r="C17" t="s">
        <v>37</v>
      </c>
      <c r="D17" t="s">
        <v>59</v>
      </c>
      <c r="E17" t="s">
        <v>39</v>
      </c>
      <c r="F17" t="s">
        <v>40</v>
      </c>
      <c r="G17" t="s">
        <v>53</v>
      </c>
      <c r="H17" s="3" t="str">
        <f>HYPERLINK("https://www.avito.ru/moskva/bytovaya_elektronika/3d-printer_bolshoy_fdm_dowell_dm8_plus_7815433539","3D-принтер большой FDM DoWell DM8 Plus")</f>
      </c>
      <c r="I17" t="s">
        <v>69</v>
      </c>
      <c r="J17" t="s">
        <v>55</v>
      </c>
      <c r="K17" t="s">
        <v>56</v>
      </c>
      <c r="L17">
        <v>167</v>
      </c>
      <c r="M17">
        <v>68</v>
      </c>
      <c r="N17" s="4">
        <v>0.1764</v>
      </c>
      <c r="O17">
        <v>12</v>
      </c>
      <c r="P17" s="5">
        <v>2.34</v>
      </c>
      <c r="Q17" s="4">
        <v>0</v>
      </c>
      <c r="R17">
        <v>0</v>
      </c>
      <c r="S17">
        <v>0</v>
      </c>
      <c r="T17">
        <v>0</v>
      </c>
      <c r="U17">
        <v>0</v>
      </c>
      <c r="V17">
        <v>0</v>
      </c>
      <c r="W17">
        <v>0</v>
      </c>
      <c r="X17" s="5" t="s">
        <v>64</v>
      </c>
      <c r="Y17">
        <v>2</v>
      </c>
      <c r="Z17" s="4">
        <v>0</v>
      </c>
      <c r="AA17">
        <v>0</v>
      </c>
      <c r="AB17" s="5">
        <v>0</v>
      </c>
      <c r="AC17">
        <v>0</v>
      </c>
      <c r="AD17" s="5">
        <v>0</v>
      </c>
      <c r="AE17" s="5">
        <v>28.17</v>
      </c>
      <c r="AF17" s="5">
        <v>0</v>
      </c>
      <c r="AG17" s="5">
        <v>28.17</v>
      </c>
      <c r="AH17" s="5">
        <v>0</v>
      </c>
      <c r="AI17" s="5">
        <v>0</v>
      </c>
      <c r="AJ17" s="5">
        <v>0</v>
      </c>
    </row>
    <row r="18">
      <c r="A18" s="2" t="str">
        <f>HYPERLINK("https://www.avito.ru/moskva/bytovaya_elektronika/3d_printer_bolshoy_600600600_mingda_7815492206","7815492206")</f>
      </c>
      <c r="B18" t="s">
        <v>36</v>
      </c>
      <c r="C18" t="s">
        <v>37</v>
      </c>
      <c r="D18" t="s">
        <v>57</v>
      </c>
      <c r="E18" t="s">
        <v>39</v>
      </c>
      <c r="F18" t="s">
        <v>40</v>
      </c>
      <c r="G18" t="s">
        <v>53</v>
      </c>
      <c r="H18" s="3" t="str">
        <f>HYPERLINK("https://www.avito.ru/moskva/bytovaya_elektronika/3d_printer_bolshoy_600600600_mingda_7815492206","3Д принтер большой 600/600/600 mingda")</f>
      </c>
      <c r="I18" t="s">
        <v>70</v>
      </c>
      <c r="J18" t="s">
        <v>55</v>
      </c>
      <c r="K18" t="s">
        <v>56</v>
      </c>
      <c r="L18">
        <v>167</v>
      </c>
      <c r="M18">
        <v>38</v>
      </c>
      <c r="N18" s="4">
        <v>0.1842</v>
      </c>
      <c r="O18">
        <v>7</v>
      </c>
      <c r="P18" s="5">
        <v>3.57</v>
      </c>
      <c r="Q18" s="4">
        <v>0</v>
      </c>
      <c r="R18">
        <v>0</v>
      </c>
      <c r="S18">
        <v>0</v>
      </c>
      <c r="T18">
        <v>0</v>
      </c>
      <c r="U18">
        <v>0</v>
      </c>
      <c r="V18">
        <v>0</v>
      </c>
      <c r="W18">
        <v>0</v>
      </c>
      <c r="X18" s="5" t="s">
        <v>64</v>
      </c>
      <c r="Y18">
        <v>1</v>
      </c>
      <c r="Z18" s="4">
        <v>0</v>
      </c>
      <c r="AA18">
        <v>0</v>
      </c>
      <c r="AB18" s="5">
        <v>0</v>
      </c>
      <c r="AC18">
        <v>0</v>
      </c>
      <c r="AD18" s="5">
        <v>0</v>
      </c>
      <c r="AE18" s="5">
        <v>25.04</v>
      </c>
      <c r="AF18" s="5">
        <v>0</v>
      </c>
      <c r="AG18" s="5">
        <v>25.04</v>
      </c>
      <c r="AH18" s="5">
        <v>0</v>
      </c>
      <c r="AI18" s="5">
        <v>0</v>
      </c>
      <c r="AJ18" s="5">
        <v>0</v>
      </c>
    </row>
    <row r="19">
      <c r="A19" s="2" t="str">
        <f>HYPERLINK("https://www.avito.ru/moskva/bytovaya_elektronika/3d-printer_bolshoy_fdm_dowell_dm6-12_plus_7815575164","7815575164")</f>
      </c>
      <c r="B19" t="s">
        <v>36</v>
      </c>
      <c r="C19" t="s">
        <v>37</v>
      </c>
      <c r="D19" t="s">
        <v>61</v>
      </c>
      <c r="E19" t="s">
        <v>39</v>
      </c>
      <c r="F19" t="s">
        <v>40</v>
      </c>
      <c r="G19" t="s">
        <v>53</v>
      </c>
      <c r="H19" s="3" t="str">
        <f>HYPERLINK("https://www.avito.ru/moskva/bytovaya_elektronika/3d-printer_bolshoy_fdm_dowell_dm6-12_plus_7815575164","3D-принтер большой FDM DoWell DM6-12 Plus")</f>
      </c>
      <c r="I19" t="s">
        <v>71</v>
      </c>
      <c r="J19" t="s">
        <v>55</v>
      </c>
      <c r="K19" t="s">
        <v>56</v>
      </c>
      <c r="L19">
        <v>167</v>
      </c>
      <c r="M19">
        <v>25</v>
      </c>
      <c r="N19" s="4">
        <v>0.04</v>
      </c>
      <c r="O19">
        <v>1</v>
      </c>
      <c r="P19" s="5">
        <v>28.17</v>
      </c>
      <c r="Q19" s="4">
        <v>0</v>
      </c>
      <c r="R19">
        <v>0</v>
      </c>
      <c r="S19">
        <v>0</v>
      </c>
      <c r="T19">
        <v>0</v>
      </c>
      <c r="U19">
        <v>0</v>
      </c>
      <c r="V19">
        <v>0</v>
      </c>
      <c r="W19">
        <v>0</v>
      </c>
      <c r="X19" s="5" t="s">
        <v>64</v>
      </c>
      <c r="Y19">
        <v>0</v>
      </c>
      <c r="Z19" s="4">
        <v>0</v>
      </c>
      <c r="AA19">
        <v>0</v>
      </c>
      <c r="AB19" s="5">
        <v>0</v>
      </c>
      <c r="AC19">
        <v>0</v>
      </c>
      <c r="AD19" s="5">
        <v>0</v>
      </c>
      <c r="AE19" s="5">
        <v>28.17</v>
      </c>
      <c r="AF19" s="5">
        <v>0</v>
      </c>
      <c r="AG19" s="5">
        <v>28.17</v>
      </c>
      <c r="AH19" s="5">
        <v>0</v>
      </c>
      <c r="AI19" s="5">
        <v>0</v>
      </c>
      <c r="AJ19" s="5">
        <v>0</v>
      </c>
    </row>
    <row r="20">
      <c r="A20" s="2" t="str">
        <f>HYPERLINK("https://www.avito.ru/moskva/bytovaya_elektronika/3d_printer_promyshlennyy_dowell_dm-10-8_7815646321","7815646321")</f>
      </c>
      <c r="B20" t="s">
        <v>36</v>
      </c>
      <c r="C20" t="s">
        <v>37</v>
      </c>
      <c r="D20" t="s">
        <v>61</v>
      </c>
      <c r="E20" t="s">
        <v>39</v>
      </c>
      <c r="F20" t="s">
        <v>40</v>
      </c>
      <c r="G20" t="s">
        <v>53</v>
      </c>
      <c r="H20" s="3" t="str">
        <f>HYPERLINK("https://www.avito.ru/moskva/bytovaya_elektronika/3d_printer_promyshlennyy_dowell_dm-10-8_7815646321","3Д принтер промышленный dowell DM-10-8")</f>
      </c>
      <c r="I20" t="s">
        <v>72</v>
      </c>
      <c r="J20" t="s">
        <v>55</v>
      </c>
      <c r="K20" t="s">
        <v>56</v>
      </c>
      <c r="L20">
        <v>167</v>
      </c>
      <c r="M20">
        <v>100</v>
      </c>
      <c r="N20" s="4">
        <v>0.33</v>
      </c>
      <c r="O20">
        <v>33</v>
      </c>
      <c r="P20" s="5">
        <v>0</v>
      </c>
      <c r="Q20" s="4">
        <v>0</v>
      </c>
      <c r="R20">
        <v>0</v>
      </c>
      <c r="S20">
        <v>0</v>
      </c>
      <c r="T20">
        <v>0</v>
      </c>
      <c r="U20">
        <v>0</v>
      </c>
      <c r="V20">
        <v>0</v>
      </c>
      <c r="W20">
        <v>0</v>
      </c>
      <c r="X20" s="5" t="s">
        <v>64</v>
      </c>
      <c r="Y20">
        <v>1</v>
      </c>
      <c r="Z20" s="4">
        <v>0</v>
      </c>
      <c r="AA20">
        <v>0</v>
      </c>
      <c r="AB20" s="5">
        <v>0</v>
      </c>
      <c r="AC20">
        <v>0</v>
      </c>
      <c r="AD20" s="5">
        <v>0</v>
      </c>
      <c r="AE20" s="5">
        <v>0</v>
      </c>
      <c r="AF20" s="5">
        <v>0</v>
      </c>
      <c r="AG20" s="5">
        <v>0</v>
      </c>
      <c r="AH20" s="5">
        <v>0</v>
      </c>
      <c r="AI20" s="5">
        <v>0</v>
      </c>
      <c r="AJ20" s="5">
        <v>0</v>
      </c>
    </row>
    <row r="21">
      <c r="A21" s="2" t="str">
        <f>HYPERLINK("https://www.avito.ru/moskva/bytovaya_elektronika/3d-printer_bolshoy_fdm_dowell_dl1220-12_7815791094","7815791094")</f>
      </c>
      <c r="B21" t="s">
        <v>36</v>
      </c>
      <c r="C21" t="s">
        <v>37</v>
      </c>
      <c r="D21" t="s">
        <v>61</v>
      </c>
      <c r="E21" t="s">
        <v>39</v>
      </c>
      <c r="F21" t="s">
        <v>40</v>
      </c>
      <c r="G21" t="s">
        <v>53</v>
      </c>
      <c r="H21" s="3" t="str">
        <f>HYPERLINK("https://www.avito.ru/moskva/bytovaya_elektronika/3d-printer_bolshoy_fdm_dowell_dl1220-12_7815791094","3D-принтер большой FDM DoWell DL1220-12")</f>
      </c>
      <c r="I21" t="s">
        <v>73</v>
      </c>
      <c r="J21" t="s">
        <v>55</v>
      </c>
      <c r="K21" t="s">
        <v>56</v>
      </c>
      <c r="L21">
        <v>167</v>
      </c>
      <c r="M21">
        <v>32</v>
      </c>
      <c r="N21" s="4">
        <v>0.1562</v>
      </c>
      <c r="O21">
        <v>5</v>
      </c>
      <c r="P21" s="5">
        <v>5.63</v>
      </c>
      <c r="Q21" s="4">
        <v>0</v>
      </c>
      <c r="R21">
        <v>0</v>
      </c>
      <c r="S21">
        <v>0</v>
      </c>
      <c r="T21">
        <v>0</v>
      </c>
      <c r="U21">
        <v>0</v>
      </c>
      <c r="V21">
        <v>0</v>
      </c>
      <c r="W21">
        <v>0</v>
      </c>
      <c r="X21" s="5" t="s">
        <v>64</v>
      </c>
      <c r="Y21">
        <v>1</v>
      </c>
      <c r="Z21" s="4">
        <v>0</v>
      </c>
      <c r="AA21">
        <v>0</v>
      </c>
      <c r="AB21" s="5">
        <v>0</v>
      </c>
      <c r="AC21">
        <v>0</v>
      </c>
      <c r="AD21" s="5">
        <v>0</v>
      </c>
      <c r="AE21" s="5">
        <v>28.17</v>
      </c>
      <c r="AF21" s="5">
        <v>0</v>
      </c>
      <c r="AG21" s="5">
        <v>28.17</v>
      </c>
      <c r="AH21" s="5">
        <v>0</v>
      </c>
      <c r="AI21" s="5">
        <v>0</v>
      </c>
      <c r="AJ21" s="5">
        <v>0</v>
      </c>
    </row>
    <row r="22">
      <c r="A22" s="2" t="str">
        <f>HYPERLINK("https://www.avito.ru/moskva/bytovaya_elektronika/3d_printer_anycubic_kobra_s1_7815801383","7815801383")</f>
      </c>
      <c r="B22" t="s">
        <v>36</v>
      </c>
      <c r="C22" t="s">
        <v>37</v>
      </c>
      <c r="D22" t="s">
        <v>57</v>
      </c>
      <c r="E22" t="s">
        <v>39</v>
      </c>
      <c r="F22" t="s">
        <v>40</v>
      </c>
      <c r="G22" t="s">
        <v>53</v>
      </c>
      <c r="H22" s="3" t="str">
        <f>HYPERLINK("https://www.avito.ru/moskva/bytovaya_elektronika/3d_printer_anycubic_kobra_s1_7815801383","3Д принтер Anycubic Kobra S1")</f>
      </c>
      <c r="I22" t="s">
        <v>74</v>
      </c>
      <c r="J22" t="s">
        <v>55</v>
      </c>
      <c r="K22" t="s">
        <v>56</v>
      </c>
      <c r="L22">
        <v>167</v>
      </c>
      <c r="M22">
        <v>70</v>
      </c>
      <c r="N22" s="4">
        <v>0.1571</v>
      </c>
      <c r="O22">
        <v>11</v>
      </c>
      <c r="P22" s="5">
        <v>2.56</v>
      </c>
      <c r="Q22" s="4">
        <v>0</v>
      </c>
      <c r="R22">
        <v>0</v>
      </c>
      <c r="S22">
        <v>0</v>
      </c>
      <c r="T22">
        <v>0</v>
      </c>
      <c r="U22">
        <v>0</v>
      </c>
      <c r="V22">
        <v>0</v>
      </c>
      <c r="W22">
        <v>0</v>
      </c>
      <c r="X22" s="5" t="s">
        <v>64</v>
      </c>
      <c r="Y22">
        <v>0</v>
      </c>
      <c r="Z22" s="4">
        <v>0</v>
      </c>
      <c r="AA22">
        <v>0</v>
      </c>
      <c r="AB22" s="5">
        <v>0</v>
      </c>
      <c r="AC22">
        <v>0</v>
      </c>
      <c r="AD22" s="5">
        <v>0</v>
      </c>
      <c r="AE22" s="5">
        <v>28.17</v>
      </c>
      <c r="AF22" s="5">
        <v>0</v>
      </c>
      <c r="AG22" s="5">
        <v>28.17</v>
      </c>
      <c r="AH22" s="5">
        <v>0</v>
      </c>
      <c r="AI22" s="5">
        <v>0</v>
      </c>
      <c r="AJ22" s="5">
        <v>0</v>
      </c>
    </row>
    <row r="23">
      <c r="A23" s="2" t="str">
        <f>HYPERLINK("https://www.avito.ru/moskva/bytovaya_elektronika/3d-printer_bolshoy_fdm_dowell_dm8-16_plus_7815860196","7815860196")</f>
      </c>
      <c r="B23" t="s">
        <v>36</v>
      </c>
      <c r="C23" t="s">
        <v>37</v>
      </c>
      <c r="D23" t="s">
        <v>57</v>
      </c>
      <c r="E23" t="s">
        <v>39</v>
      </c>
      <c r="F23" t="s">
        <v>40</v>
      </c>
      <c r="G23" t="s">
        <v>53</v>
      </c>
      <c r="H23" s="3" t="str">
        <f>HYPERLINK("https://www.avito.ru/moskva/bytovaya_elektronika/3d-printer_bolshoy_fdm_dowell_dm8-16_plus_7815860196","3D-принтер большой FDM DoWell DM8-16 Plus")</f>
      </c>
      <c r="I23" t="s">
        <v>75</v>
      </c>
      <c r="J23" t="s">
        <v>55</v>
      </c>
      <c r="K23" t="s">
        <v>56</v>
      </c>
      <c r="L23">
        <v>167</v>
      </c>
      <c r="M23">
        <v>83</v>
      </c>
      <c r="N23" s="4">
        <v>0.0843</v>
      </c>
      <c r="O23">
        <v>7</v>
      </c>
      <c r="P23" s="5">
        <v>4.02</v>
      </c>
      <c r="Q23" s="4">
        <v>0</v>
      </c>
      <c r="R23">
        <v>0</v>
      </c>
      <c r="S23">
        <v>0</v>
      </c>
      <c r="T23">
        <v>0</v>
      </c>
      <c r="U23">
        <v>0</v>
      </c>
      <c r="V23">
        <v>0</v>
      </c>
      <c r="W23">
        <v>0</v>
      </c>
      <c r="X23" s="5" t="s">
        <v>64</v>
      </c>
      <c r="Y23">
        <v>1</v>
      </c>
      <c r="Z23" s="4">
        <v>0</v>
      </c>
      <c r="AA23">
        <v>0</v>
      </c>
      <c r="AB23" s="5">
        <v>0</v>
      </c>
      <c r="AC23">
        <v>0</v>
      </c>
      <c r="AD23" s="5">
        <v>0</v>
      </c>
      <c r="AE23" s="5">
        <v>28.17</v>
      </c>
      <c r="AF23" s="5">
        <v>0</v>
      </c>
      <c r="AG23" s="5">
        <v>28.17</v>
      </c>
      <c r="AH23" s="5">
        <v>0</v>
      </c>
      <c r="AI23" s="5">
        <v>0</v>
      </c>
      <c r="AJ23" s="5">
        <v>0</v>
      </c>
    </row>
    <row r="24">
      <c r="A24" s="2" t="str">
        <f>HYPERLINK("https://www.avito.ru/moskva/bytovaya_elektronika/3d-printer_bolshoy_fdm_dowell_dm1016-10_plus_7815930864","7815930864")</f>
      </c>
      <c r="B24" t="s">
        <v>36</v>
      </c>
      <c r="C24" t="s">
        <v>37</v>
      </c>
      <c r="D24" t="s">
        <v>61</v>
      </c>
      <c r="E24" t="s">
        <v>39</v>
      </c>
      <c r="F24" t="s">
        <v>40</v>
      </c>
      <c r="G24" t="s">
        <v>53</v>
      </c>
      <c r="H24" s="3" t="str">
        <f>HYPERLINK("https://www.avito.ru/moskva/bytovaya_elektronika/3d-printer_bolshoy_fdm_dowell_dm1016-10_plus_7815930864","3D-принтер большой FDM DoWell DM1016-10 Plus")</f>
      </c>
      <c r="I24" t="s">
        <v>76</v>
      </c>
      <c r="J24" t="s">
        <v>55</v>
      </c>
      <c r="K24" t="s">
        <v>56</v>
      </c>
      <c r="L24">
        <v>167</v>
      </c>
      <c r="M24">
        <v>361</v>
      </c>
      <c r="N24" s="4">
        <v>0.2326</v>
      </c>
      <c r="O24">
        <v>84</v>
      </c>
      <c r="P24" s="5">
        <v>0.33</v>
      </c>
      <c r="Q24" s="4">
        <v>0</v>
      </c>
      <c r="R24">
        <v>0</v>
      </c>
      <c r="S24">
        <v>0</v>
      </c>
      <c r="T24">
        <v>0</v>
      </c>
      <c r="U24">
        <v>0</v>
      </c>
      <c r="V24">
        <v>0</v>
      </c>
      <c r="W24">
        <v>0</v>
      </c>
      <c r="X24" s="5" t="s">
        <v>64</v>
      </c>
      <c r="Y24">
        <v>15</v>
      </c>
      <c r="Z24" s="4">
        <v>0</v>
      </c>
      <c r="AA24">
        <v>0</v>
      </c>
      <c r="AB24" s="5">
        <v>0</v>
      </c>
      <c r="AC24">
        <v>0</v>
      </c>
      <c r="AD24" s="5">
        <v>0</v>
      </c>
      <c r="AE24" s="5">
        <v>28.17</v>
      </c>
      <c r="AF24" s="5">
        <v>0</v>
      </c>
      <c r="AG24" s="5">
        <v>28.17</v>
      </c>
      <c r="AH24" s="5">
        <v>0</v>
      </c>
      <c r="AI24" s="5">
        <v>0</v>
      </c>
      <c r="AJ24" s="5">
        <v>0</v>
      </c>
    </row>
    <row r="25">
      <c r="A25" s="2" t="str">
        <f>HYPERLINK("https://www.avito.ru/moskva/bytovaya_elektronika/3d-printer_bambu_lab_p2s_combo_ams_7879812293","7879812293")</f>
      </c>
      <c r="B25" t="s">
        <v>36</v>
      </c>
      <c r="C25" t="s">
        <v>37</v>
      </c>
      <c r="D25" t="s">
        <v>37</v>
      </c>
      <c r="E25" t="s">
        <v>39</v>
      </c>
      <c r="F25" t="s">
        <v>40</v>
      </c>
      <c r="G25" t="s">
        <v>41</v>
      </c>
      <c r="H25" s="3" t="str">
        <f>HYPERLINK("https://www.avito.ru/moskva/bytovaya_elektronika/3d-printer_bambu_lab_p2s_combo_ams_7879812293","3D-принтер Bambu Lab P2S Combo (AMS)")</f>
      </c>
      <c r="I25" t="s">
        <v>77</v>
      </c>
      <c r="J25" t="s">
        <v>43</v>
      </c>
      <c r="K25" t="s">
        <v>44</v>
      </c>
      <c r="L25">
        <v>128</v>
      </c>
      <c r="M25">
        <v>638</v>
      </c>
      <c r="N25" s="4">
        <v>0.1081</v>
      </c>
      <c r="O25">
        <v>69</v>
      </c>
      <c r="P25" s="5">
        <v>0.5</v>
      </c>
      <c r="Q25" s="4">
        <v>0</v>
      </c>
      <c r="R25">
        <v>0</v>
      </c>
      <c r="S25">
        <v>0</v>
      </c>
      <c r="T25">
        <v>0</v>
      </c>
      <c r="U25">
        <v>0</v>
      </c>
      <c r="V25">
        <v>0</v>
      </c>
      <c r="W25">
        <v>0</v>
      </c>
      <c r="X25" s="5" t="s">
        <v>64</v>
      </c>
      <c r="Y25">
        <v>3</v>
      </c>
      <c r="Z25" s="4">
        <v>0</v>
      </c>
      <c r="AA25">
        <v>0</v>
      </c>
      <c r="AB25" s="5">
        <v>0</v>
      </c>
      <c r="AC25">
        <v>0</v>
      </c>
      <c r="AD25" s="5">
        <v>0</v>
      </c>
      <c r="AE25" s="5">
        <v>34.53</v>
      </c>
      <c r="AF25" s="5">
        <v>0</v>
      </c>
      <c r="AG25" s="5">
        <v>34.53</v>
      </c>
      <c r="AH25" s="5">
        <v>0</v>
      </c>
      <c r="AI25" s="5">
        <v>0</v>
      </c>
      <c r="AJ25" s="5">
        <v>0</v>
      </c>
    </row>
  </sheetData>
  <autoFilter ref="$A$1:$AJ$2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
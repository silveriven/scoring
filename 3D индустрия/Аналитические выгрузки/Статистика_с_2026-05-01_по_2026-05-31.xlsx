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'Sheet1'!$A$1:$AJ$308</definedName>
  </definedNames>
  <calcPr calcId="122211"/>
</workbook>
</file>

<file path=xl/sharedStrings.xml><?xml version="1.0" encoding="utf-8"?>
<sst xmlns="http://schemas.openxmlformats.org/spreadsheetml/2006/main" count="290" uniqueCount="290">
  <si>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</si>
  <si>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</si>
  <si>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</si>
  <si>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</si>
  <si>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</si>
  <si>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</si>
  <si>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</si>
  <si>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</si>
  <si>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</si>
  <si>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</si>
  <si>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</si>
  <si>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</si>
  <si>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Показы</t>
  </si>
  <si>
    <t>Конверсия из показов в просмотры</t>
  </si>
  <si>
    <t>Просмотры</t>
  </si>
  <si>
    <t>Средняя цена просмотра</t>
  </si>
  <si>
    <t>Конверсия из просмотров в контакты</t>
  </si>
  <si>
    <t>Целевые просмотры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</si>
  <si>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</si>
  <si>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</si>
  <si>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</si>
  <si>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</si>
  <si>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</si>
  <si>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</si>
  <si>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</si>
  <si>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Конверсия из просмотров в заказанные товары</t>
  </si>
  <si>
    <t>Заказано товаров</t>
  </si>
  <si>
    <t>Стоимость заказанных товаров</t>
  </si>
  <si>
    <t>Доставлено товаров</t>
  </si>
  <si>
    <t>Стоимость доставленных товаров</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</si>
  <si>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</si>
  <si>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</si>
  <si>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</si>
  <si>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</si>
  <si>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</si>
  <si>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Комиссия</t>
  </si>
  <si>
    <t>Все регионы</t>
  </si>
  <si>
    <t>Москва</t>
  </si>
  <si>
    <t>Москва, Дмитровское ш., 56</t>
  </si>
  <si>
    <t>Электроника</t>
  </si>
  <si>
    <t>Оргтехника и расходники</t>
  </si>
  <si>
    <t>3D-принтеры</t>
  </si>
  <si>
    <t>274 200 ₽</t>
  </si>
  <si>
    <t>2026-05-22</t>
  </si>
  <si>
    <t>2026-07-21</t>
  </si>
  <si>
    <t>Москва, пр. Воскресенские Ворота</t>
  </si>
  <si>
    <t>151 900 ₽</t>
  </si>
  <si>
    <t>2026-02-18</t>
  </si>
  <si>
    <t>2026-05-23</t>
  </si>
  <si>
    <t>239 900 ₽</t>
  </si>
  <si>
    <t>2026-07-09</t>
  </si>
  <si>
    <t>309 200 ₽</t>
  </si>
  <si>
    <t>Москва, Бескудниковский б-р, 3</t>
  </si>
  <si>
    <t>Объявление удалено</t>
  </si>
  <si>
    <t/>
  </si>
  <si>
    <t>2026-05-27</t>
  </si>
  <si>
    <t>2026-06-26</t>
  </si>
  <si>
    <t>Москва, Дубнинская ул., 6</t>
  </si>
  <si>
    <t>Краснодарский край</t>
  </si>
  <si>
    <t>Краснодар</t>
  </si>
  <si>
    <t>Краснодар, Ставропольская ул., 184</t>
  </si>
  <si>
    <t>239 000 ₽</t>
  </si>
  <si>
    <t>2026-07-23</t>
  </si>
  <si>
    <t>Москва, ул. Лескова, 19А</t>
  </si>
  <si>
    <t>195 200 ₽</t>
  </si>
  <si>
    <t>268 900 ₽</t>
  </si>
  <si>
    <t>Краснодар, Новороссийская ул., 180</t>
  </si>
  <si>
    <t>199 300 ₽</t>
  </si>
  <si>
    <t>Москва, Алтуфьевское ш., 23с1</t>
  </si>
  <si>
    <t>149 250 ₽</t>
  </si>
  <si>
    <t>Ростовская область</t>
  </si>
  <si>
    <t>Ростов-на-Дону</t>
  </si>
  <si>
    <t>Ростов-на-Дону, Ворошиловский пр-т, 91/1</t>
  </si>
  <si>
    <t>269 200 ₽</t>
  </si>
  <si>
    <t>Омская область</t>
  </si>
  <si>
    <t>Омск</t>
  </si>
  <si>
    <t>Омск, ул. Ленина, 14</t>
  </si>
  <si>
    <t>149 200 ₽</t>
  </si>
  <si>
    <t>2026-05-28</t>
  </si>
  <si>
    <t>2026-06-27</t>
  </si>
  <si>
    <t>149 300 ₽</t>
  </si>
  <si>
    <t>Удмуртия</t>
  </si>
  <si>
    <t>Ижевск</t>
  </si>
  <si>
    <t>Ижевск, Пушкинская ул., 216</t>
  </si>
  <si>
    <t>2026-06-28</t>
  </si>
  <si>
    <t>Саратовская область</t>
  </si>
  <si>
    <t>Саратов</t>
  </si>
  <si>
    <t>Саратов, Московская ул., 115</t>
  </si>
  <si>
    <t>199 150 ₽</t>
  </si>
  <si>
    <t>2026-05-29</t>
  </si>
  <si>
    <t>Санкт-Петербург</t>
  </si>
  <si>
    <t>Санкт-Петербург, пр-т Науки, 25</t>
  </si>
  <si>
    <t>Алтайский край</t>
  </si>
  <si>
    <t>Барнаул</t>
  </si>
  <si>
    <t>Барнаул, пр-т Ленина, 42</t>
  </si>
  <si>
    <t>Краснодар, ул. Селезнёва, 4/9</t>
  </si>
  <si>
    <t>199 200 ₽</t>
  </si>
  <si>
    <t>Татарстан</t>
  </si>
  <si>
    <t>Казань</t>
  </si>
  <si>
    <t>Казань, Малая Красная ул., 3</t>
  </si>
  <si>
    <t>Ульяновская область</t>
  </si>
  <si>
    <t>Ульяновск</t>
  </si>
  <si>
    <t>Ульяновск, ул. Гончарова, 23/11</t>
  </si>
  <si>
    <t>159 200 ₽</t>
  </si>
  <si>
    <t>Санкт-Петербург, Гражданский пр-т, 41к2Б</t>
  </si>
  <si>
    <t>Волгоградская область</t>
  </si>
  <si>
    <t>Волгоград</t>
  </si>
  <si>
    <t>Волгоград, пр-т имени В.И. Ленина, 15</t>
  </si>
  <si>
    <t>289 100 ₽</t>
  </si>
  <si>
    <t>289 200 ₽</t>
  </si>
  <si>
    <t>Санкт-Петербург, пр-т Просвещения, 53к1</t>
  </si>
  <si>
    <t>195 300 ₽</t>
  </si>
  <si>
    <t>Белгородская область</t>
  </si>
  <si>
    <t>Белгород</t>
  </si>
  <si>
    <t>Белгород, Гражданский пр-т, 32</t>
  </si>
  <si>
    <t>Санкт-Петербург, ул. Ушинского, 19к2</t>
  </si>
  <si>
    <t>2026-06-21</t>
  </si>
  <si>
    <t>199 900 ₽</t>
  </si>
  <si>
    <t>2026-05-01</t>
  </si>
  <si>
    <t>96 000 ₽</t>
  </si>
  <si>
    <t>100 000 ₽</t>
  </si>
  <si>
    <t>2026-02-19</t>
  </si>
  <si>
    <t>Новосибирская область</t>
  </si>
  <si>
    <t>Новосибирск</t>
  </si>
  <si>
    <t>Новосибирск, Красный пр-т, 77Б</t>
  </si>
  <si>
    <t>229 250 ₽</t>
  </si>
  <si>
    <t>Пермский край</t>
  </si>
  <si>
    <t>Пермь</t>
  </si>
  <si>
    <t>Пермь, ул. Куйбышева, 37</t>
  </si>
  <si>
    <t>269 250 ₽</t>
  </si>
  <si>
    <t>Иркутская область</t>
  </si>
  <si>
    <t>Иркутск</t>
  </si>
  <si>
    <t>Иркутск, ул. Карла Маркса, 30</t>
  </si>
  <si>
    <t>Ярославская область</t>
  </si>
  <si>
    <t>Ярославль</t>
  </si>
  <si>
    <t>Ярославль, ул. Свободы, 34</t>
  </si>
  <si>
    <t>2026-06-30</t>
  </si>
  <si>
    <t>Нижегородская область</t>
  </si>
  <si>
    <t>Нижний Новгород</t>
  </si>
  <si>
    <t>Нижний Новгород, ул. Белинского, 38</t>
  </si>
  <si>
    <t>289 000 ₽</t>
  </si>
  <si>
    <t>279 080 ₽</t>
  </si>
  <si>
    <t>199 250 ₽</t>
  </si>
  <si>
    <t>Самарская область</t>
  </si>
  <si>
    <t>Самара</t>
  </si>
  <si>
    <t>Самара, Ленинградская ул., 48</t>
  </si>
  <si>
    <t>309 250 ₽</t>
  </si>
  <si>
    <t>Калининградская область</t>
  </si>
  <si>
    <t>Калининград</t>
  </si>
  <si>
    <t>Калининград, пл. Победы, 4</t>
  </si>
  <si>
    <t>Хабаровский край</t>
  </si>
  <si>
    <t>Хабаровск</t>
  </si>
  <si>
    <t>Хабаровск, ул. Муравьёва-Амурского, 22</t>
  </si>
  <si>
    <t>Краснодар, ул. Селезнёва, 13</t>
  </si>
  <si>
    <t>309 300 ₽</t>
  </si>
  <si>
    <t>279 250 ₽</t>
  </si>
  <si>
    <t>Красноярский край</t>
  </si>
  <si>
    <t>Красноярск</t>
  </si>
  <si>
    <t>Красноярск, пр-т Мира, 100</t>
  </si>
  <si>
    <t>159 300 ₽</t>
  </si>
  <si>
    <t>279 050 ₽</t>
  </si>
  <si>
    <t>Иркутск, ул. Карла Маркса, 21</t>
  </si>
  <si>
    <t>Башкортостан</t>
  </si>
  <si>
    <t>Уфа</t>
  </si>
  <si>
    <t>Уфа, ул. Ленина, 31</t>
  </si>
  <si>
    <t>Санкт-Петербург, ул. Ушинского, 22/97</t>
  </si>
  <si>
    <t>195 000 ₽</t>
  </si>
  <si>
    <t>Москва, Верхнелихоборская ул., 4с8</t>
  </si>
  <si>
    <t>159 250 ₽</t>
  </si>
  <si>
    <t>Воронежская область</t>
  </si>
  <si>
    <t>Воронеж</t>
  </si>
  <si>
    <t>Воронеж, ул. Куколкина, 18</t>
  </si>
  <si>
    <t>279 030 ₽</t>
  </si>
  <si>
    <t>274 000 ₽</t>
  </si>
  <si>
    <t>279 190 ₽</t>
  </si>
  <si>
    <t>Челябинская область</t>
  </si>
  <si>
    <t>Челябинск</t>
  </si>
  <si>
    <t>Челябинск, ул. Цвиллинга, 44</t>
  </si>
  <si>
    <t>279 015 ₽</t>
  </si>
  <si>
    <t>Рязанская область</t>
  </si>
  <si>
    <t>Рязань</t>
  </si>
  <si>
    <t>Рязань, Первомайский пр-т, 37</t>
  </si>
  <si>
    <t>Свердловская область</t>
  </si>
  <si>
    <t>Екатеринбург</t>
  </si>
  <si>
    <t>Екатеринбург, ул. Малышева, 42</t>
  </si>
  <si>
    <t>259 200 ₽</t>
  </si>
  <si>
    <t>Казань, ул. Карла Маркса, 39</t>
  </si>
  <si>
    <t>279 120 ₽</t>
  </si>
  <si>
    <t>229 300 ₽</t>
  </si>
  <si>
    <t>299 400 ₽</t>
  </si>
  <si>
    <t>289 300 ₽</t>
  </si>
  <si>
    <t>Новгородская область</t>
  </si>
  <si>
    <t>Великий Новгород</t>
  </si>
  <si>
    <t>Великий Новгород, Большая Санкт-Петербургская ул., 6/11</t>
  </si>
  <si>
    <t>299 250 ₽</t>
  </si>
  <si>
    <t>Воронеж, пр-т Революции, 23</t>
  </si>
  <si>
    <t>Ставропольский край</t>
  </si>
  <si>
    <t>Ставрополь</t>
  </si>
  <si>
    <t>Ставрополь, ул. Дзержинского, 160</t>
  </si>
  <si>
    <t>279 045 ₽</t>
  </si>
  <si>
    <t>259 300 ₽</t>
  </si>
  <si>
    <t>299 300 ₽</t>
  </si>
  <si>
    <t>Пензенская область</t>
  </si>
  <si>
    <t>Пенза</t>
  </si>
  <si>
    <t>Пенза, Московская ул., 63</t>
  </si>
  <si>
    <t>289 150 ₽</t>
  </si>
  <si>
    <t>Новосибирск, ул. Державина, 92</t>
  </si>
  <si>
    <t>Кемеровская область</t>
  </si>
  <si>
    <t>Кемерово</t>
  </si>
  <si>
    <t>Кемерово, Советский пр-т, 38</t>
  </si>
  <si>
    <t>194 900 ₽</t>
  </si>
  <si>
    <t>Рязань, Почтовая ул., 54</t>
  </si>
  <si>
    <t>Астраханская область</t>
  </si>
  <si>
    <t>Астрахань</t>
  </si>
  <si>
    <t>Астрахань, ул. Кирова, 20</t>
  </si>
  <si>
    <t>199 000 ₽</t>
  </si>
  <si>
    <t>159 100 ₽</t>
  </si>
  <si>
    <t>279 145 ₽</t>
  </si>
  <si>
    <t>274 250 ₽</t>
  </si>
  <si>
    <t>279 170 ₽</t>
  </si>
  <si>
    <t>259 250 ₽</t>
  </si>
  <si>
    <t>299 200 ₽</t>
  </si>
  <si>
    <t>95 100 ₽</t>
  </si>
  <si>
    <t>149 050 ₽</t>
  </si>
  <si>
    <t>274 100 ₽</t>
  </si>
  <si>
    <t>279 099 ₽</t>
  </si>
  <si>
    <t>149 000 ₽</t>
  </si>
  <si>
    <t>Москва, Коровинское ш., 22к1</t>
  </si>
  <si>
    <t>195 250 ₽</t>
  </si>
  <si>
    <t>274 300 ₽</t>
  </si>
  <si>
    <t>Москва, Большая Грузинская ул., 69</t>
  </si>
  <si>
    <t>274 050 ₽</t>
  </si>
  <si>
    <t>269 150 ₽</t>
  </si>
  <si>
    <t>2026-05-24</t>
  </si>
  <si>
    <t>309 150 ₽</t>
  </si>
  <si>
    <t>269 100 ₽</t>
  </si>
  <si>
    <t>Самара, Ленинградская ул., 43</t>
  </si>
  <si>
    <t>279 215 ₽</t>
  </si>
  <si>
    <t>289 250 ₽</t>
  </si>
  <si>
    <t>95 200 ₽</t>
  </si>
  <si>
    <t>229 200 ₽</t>
  </si>
  <si>
    <t>95 150 ₽</t>
  </si>
  <si>
    <t>309 100 ₽</t>
  </si>
  <si>
    <t>Тюменская область</t>
  </si>
  <si>
    <t>Тюмень</t>
  </si>
  <si>
    <t>Тюмень, ул. Максима Горького, 74</t>
  </si>
  <si>
    <t>Москва, Дмитровское ш., 89</t>
  </si>
  <si>
    <t>Дагестан</t>
  </si>
  <si>
    <t>Махачкала</t>
  </si>
  <si>
    <t>Махачкала, пр-т Расула Гамзатова, 18</t>
  </si>
  <si>
    <t>Екатеринбург, ул. Радищева, 33</t>
  </si>
  <si>
    <t>279 000 ₽</t>
  </si>
  <si>
    <t>2026-07-22</t>
  </si>
  <si>
    <t>Чувашия</t>
  </si>
  <si>
    <t>Чебоксары</t>
  </si>
  <si>
    <t>Чебоксары, пр-т Ленина, 19</t>
  </si>
  <si>
    <t>Красноярск, пр-т Мира, 70</t>
  </si>
  <si>
    <t>299 350 ₽</t>
  </si>
  <si>
    <t>Томская область</t>
  </si>
  <si>
    <t>Томск</t>
  </si>
  <si>
    <t>Томск, пр-т Ленина, 60</t>
  </si>
  <si>
    <t>299 150 ₽</t>
  </si>
  <si>
    <t>94 900 ₽</t>
  </si>
  <si>
    <t>95 050 ₽</t>
  </si>
  <si>
    <t>Ростов-на-Дону, Красноармейская ул., 33Б</t>
  </si>
  <si>
    <t>279 150 ₽</t>
  </si>
  <si>
    <t>195 100 ₽</t>
  </si>
  <si>
    <t>95 300 ₽</t>
  </si>
  <si>
    <t>309 000 ₽</t>
  </si>
  <si>
    <t>309 050 ₽</t>
  </si>
  <si>
    <t>Рязань, ул. Есенина, 64/32</t>
  </si>
  <si>
    <t>289 050 ₽</t>
  </si>
  <si>
    <t>269 050 ₽</t>
  </si>
  <si>
    <t>95 250 ₽</t>
  </si>
  <si>
    <t>199 100 ₽</t>
  </si>
  <si>
    <t>149 100 ₽</t>
  </si>
  <si>
    <t>269 300 ₽</t>
  </si>
  <si>
    <t>Екатеринбург, ул. Хохрякова, 74</t>
  </si>
  <si>
    <t>229 150 ₽</t>
  </si>
  <si>
    <t>159 150 ₽</t>
  </si>
  <si>
    <t>Новосибирск, ул. Семьи Шамшиных, 20</t>
  </si>
  <si>
    <t>269 000 ₽</t>
  </si>
  <si>
    <t>149 150 ₽</t>
  </si>
  <si>
    <t>159 050 ₽</t>
  </si>
  <si>
    <t>194 950 ₽</t>
  </si>
  <si>
    <t>274 150 ₽</t>
  </si>
  <si>
    <t>299 000 ₽</t>
  </si>
  <si>
    <t>195 050 ₽</t>
  </si>
  <si>
    <t>199 050 ₽</t>
  </si>
  <si>
    <t>159 000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</si>
</sst>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K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2"/>
    <col customWidth="true" max="14" min="14" width="38"/>
    <col customWidth="true" max="15" min="15" width="15"/>
    <col customWidth="true" max="16" min="16" width="28"/>
    <col customWidth="true" max="17" min="17" width="40"/>
    <col customWidth="true" max="18" min="18" width="23"/>
    <col customWidth="true" max="19" min="19" width="14"/>
    <col customWidth="true" max="20" min="20" width="20"/>
    <col customWidth="true" max="21" min="21" width="24"/>
    <col customWidth="true" max="22" min="22" width="41"/>
    <col customWidth="true" max="23" min="23" width="35"/>
    <col customWidth="true" max="24" min="24" width="27"/>
    <col customWidth="true" max="25" min="25" width="26"/>
    <col customWidth="true" max="26" min="26" width="49"/>
    <col customWidth="true" max="27" min="27" width="22"/>
    <col customWidth="true" max="28" min="28" width="34"/>
    <col customWidth="true" max="29" min="29" width="24"/>
    <col customWidth="true" max="30" min="30" width="36"/>
    <col customWidth="true" max="31" min="31" width="27"/>
    <col customWidth="true" max="32" min="32" width="35"/>
    <col customWidth="true" max="33" min="33" width="46"/>
    <col customWidth="true" max="34" min="34" width="28"/>
    <col customWidth="true" max="35" min="35" width="23"/>
    <col customWidth="true" max="36" min="36"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 r="A2" s="2" t="str">
        <f>HYPERLINK("https://www.avito.ru/moskva/bytovaya_elektronika/bambu_lab_h2c_laser_10w_eu_3d-pechat_lazer_plotter_8070925459","8070925459")</f>
      </c>
      <c r="B2" t="s">
        <v>36</v>
      </c>
      <c r="C2" t="s">
        <v>37</v>
      </c>
      <c r="D2" t="s">
        <v>38</v>
      </c>
      <c r="E2" t="s">
        <v>39</v>
      </c>
      <c r="F2" t="s">
        <v>40</v>
      </c>
      <c r="G2" t="s">
        <v>41</v>
      </c>
      <c r="H2" s="3" t="str">
        <f>HYPERLINK("https://www.avito.ru/moskva/bytovaya_elektronika/bambu_lab_h2c_laser_10w_eu_3d-pechat_lazer_plotter_8070925459","Bambu Lab H2C Laser 10W EU — 3D-печать + лазер + плоттер")</f>
      </c>
      <c r="I2" t="s">
        <v>42</v>
      </c>
      <c r="J2" t="s">
        <v>43</v>
      </c>
      <c r="K2" t="s">
        <v>44</v>
      </c>
      <c r="L2">
        <v>35</v>
      </c>
      <c r="M2">
        <v>2614</v>
      </c>
      <c r="N2" s="4">
        <v>0.2448</v>
      </c>
      <c r="O2">
        <v>640</v>
      </c>
      <c r="P2" s="5">
        <v>0.13</v>
      </c>
      <c r="Q2" s="4">
        <v>0.0234</v>
      </c>
      <c r="R2">
        <v>0</v>
      </c>
      <c r="S2">
        <v>15</v>
      </c>
      <c r="T2">
        <v>15</v>
      </c>
      <c r="U2">
        <v>0</v>
      </c>
      <c r="V2">
        <v>0</v>
      </c>
      <c r="W2">
        <v>0</v>
      </c>
      <c r="X2" s="5">
        <v>5.66</v>
      </c>
      <c r="Y2">
        <v>49</v>
      </c>
      <c r="Z2" s="4">
        <v>0</v>
      </c>
      <c r="AA2">
        <v>0</v>
      </c>
      <c r="AB2" s="5">
        <v>0</v>
      </c>
      <c r="AC2">
        <v>0</v>
      </c>
      <c r="AD2" s="5">
        <v>0</v>
      </c>
      <c r="AE2" s="5">
        <v>85</v>
      </c>
      <c r="AF2" s="5">
        <v>0</v>
      </c>
      <c r="AG2" s="5">
        <v>85</v>
      </c>
      <c r="AH2" s="5">
        <v>0</v>
      </c>
      <c r="AI2" s="5">
        <v>0</v>
      </c>
      <c r="AJ2" s="5">
        <v>0</v>
      </c>
    </row>
    <row r="3">
      <c r="A3" s="2" t="str">
        <f>HYPERLINK("https://www.avito.ru/moskva/bytovaya_elektronika/3d-printer_bambu_lab_h2s_combo_ams_2_pro_7878984963","7878984963")</f>
      </c>
      <c r="B3" t="s">
        <v>36</v>
      </c>
      <c r="C3" t="s">
        <v>37</v>
      </c>
      <c r="D3" t="s">
        <v>45</v>
      </c>
      <c r="E3" t="s">
        <v>39</v>
      </c>
      <c r="F3" t="s">
        <v>40</v>
      </c>
      <c r="G3" t="s">
        <v>41</v>
      </c>
      <c r="H3" s="3" t="str">
        <f>HYPERLINK("https://www.avito.ru/moskva/bytovaya_elektronika/3d-printer_bambu_lab_h2s_combo_ams_2_pro_7878984963","3D-принтер Bambu Lab H2S Combo + AMS 2 Pro")</f>
      </c>
      <c r="I3" t="s">
        <v>46</v>
      </c>
      <c r="J3" t="s">
        <v>47</v>
      </c>
      <c r="K3" t="s">
        <v>48</v>
      </c>
      <c r="L3">
        <v>128</v>
      </c>
      <c r="M3">
        <v>561</v>
      </c>
      <c r="N3" s="4">
        <v>0.1693</v>
      </c>
      <c r="O3">
        <v>95</v>
      </c>
      <c r="P3" s="5">
        <v>0.64</v>
      </c>
      <c r="Q3" s="4">
        <v>0.0315</v>
      </c>
      <c r="R3">
        <v>0</v>
      </c>
      <c r="S3">
        <v>3</v>
      </c>
      <c r="T3">
        <v>3</v>
      </c>
      <c r="U3">
        <v>0</v>
      </c>
      <c r="V3">
        <v>0</v>
      </c>
      <c r="W3">
        <v>0</v>
      </c>
      <c r="X3" s="5">
        <v>20.53</v>
      </c>
      <c r="Y3">
        <v>5</v>
      </c>
      <c r="Z3" s="4">
        <v>0</v>
      </c>
      <c r="AA3">
        <v>0</v>
      </c>
      <c r="AB3" s="5">
        <v>0</v>
      </c>
      <c r="AC3">
        <v>0</v>
      </c>
      <c r="AD3" s="5">
        <v>0</v>
      </c>
      <c r="AE3" s="5">
        <v>61.6</v>
      </c>
      <c r="AF3" s="5">
        <v>0</v>
      </c>
      <c r="AG3" s="5">
        <v>61.6</v>
      </c>
      <c r="AH3" s="5">
        <v>0</v>
      </c>
      <c r="AI3" s="5">
        <v>0</v>
      </c>
      <c r="AJ3" s="5">
        <v>0</v>
      </c>
    </row>
    <row r="4">
      <c r="A4" s="2" t="str">
        <f>HYPERLINK("https://www.avito.ru/moskva/bytovaya_elektronika/v_nalichii_bambu_lab_h2c_eu_combo_7879814122","7879814122")</f>
      </c>
      <c r="B4" t="s">
        <v>36</v>
      </c>
      <c r="C4" t="s">
        <v>37</v>
      </c>
      <c r="D4" t="s">
        <v>45</v>
      </c>
      <c r="E4" t="s">
        <v>39</v>
      </c>
      <c r="F4" t="s">
        <v>40</v>
      </c>
      <c r="G4" t="s">
        <v>41</v>
      </c>
      <c r="H4" s="3" t="str">
        <f>HYPERLINK("https://www.avito.ru/moskva/bytovaya_elektronika/v_nalichii_bambu_lab_h2c_eu_combo_7879814122","В Наличии Bambu Lab H2C EU Combo")</f>
      </c>
      <c r="I4" t="s">
        <v>49</v>
      </c>
      <c r="J4" t="s">
        <v>47</v>
      </c>
      <c r="K4" t="s">
        <v>50</v>
      </c>
      <c r="L4">
        <v>128</v>
      </c>
      <c r="M4">
        <v>304</v>
      </c>
      <c r="N4" s="4">
        <v>0.2236</v>
      </c>
      <c r="O4">
        <v>68</v>
      </c>
      <c r="P4" s="5">
        <v>0.9</v>
      </c>
      <c r="Q4" s="4">
        <v>0.0294</v>
      </c>
      <c r="R4">
        <v>0</v>
      </c>
      <c r="S4">
        <v>2</v>
      </c>
      <c r="T4">
        <v>2</v>
      </c>
      <c r="U4">
        <v>0</v>
      </c>
      <c r="V4">
        <v>0</v>
      </c>
      <c r="W4">
        <v>0</v>
      </c>
      <c r="X4" s="5">
        <v>30.8</v>
      </c>
      <c r="Y4">
        <v>3</v>
      </c>
      <c r="Z4" s="4">
        <v>0</v>
      </c>
      <c r="AA4">
        <v>0</v>
      </c>
      <c r="AB4" s="5">
        <v>0</v>
      </c>
      <c r="AC4">
        <v>0</v>
      </c>
      <c r="AD4" s="5">
        <v>0</v>
      </c>
      <c r="AE4" s="5">
        <v>61.6</v>
      </c>
      <c r="AF4" s="5">
        <v>0</v>
      </c>
      <c r="AG4" s="5">
        <v>61.6</v>
      </c>
      <c r="AH4" s="5">
        <v>0</v>
      </c>
      <c r="AI4" s="5">
        <v>0</v>
      </c>
      <c r="AJ4" s="5">
        <v>0</v>
      </c>
    </row>
    <row r="5">
      <c r="A5" s="2" t="str">
        <f>HYPERLINK("https://www.avito.ru/moskva/bytovaya_elektronika/bambu_lab_h2c_laser_40w_eu_moschnyy_lazer_3d-pechat_8071256524","8071256524")</f>
      </c>
      <c r="B5" t="s">
        <v>36</v>
      </c>
      <c r="C5" t="s">
        <v>37</v>
      </c>
      <c r="D5" t="s">
        <v>38</v>
      </c>
      <c r="E5" t="s">
        <v>39</v>
      </c>
      <c r="F5" t="s">
        <v>40</v>
      </c>
      <c r="G5" t="s">
        <v>41</v>
      </c>
      <c r="H5" s="3" t="str">
        <f>HYPERLINK("https://www.avito.ru/moskva/bytovaya_elektronika/bambu_lab_h2c_laser_40w_eu_moschnyy_lazer_3d-pechat_8071256524","Bambu Lab H2C Laser 40W EU — мощный лазер + 3D-печать")</f>
      </c>
      <c r="I5" t="s">
        <v>51</v>
      </c>
      <c r="J5" t="s">
        <v>43</v>
      </c>
      <c r="K5" t="s">
        <v>44</v>
      </c>
      <c r="L5">
        <v>35</v>
      </c>
      <c r="M5">
        <v>368</v>
      </c>
      <c r="N5" s="4">
        <v>0.2717</v>
      </c>
      <c r="O5">
        <v>100</v>
      </c>
      <c r="P5" s="5">
        <v>0.85</v>
      </c>
      <c r="Q5" s="4">
        <v>0.02</v>
      </c>
      <c r="R5">
        <v>0</v>
      </c>
      <c r="S5">
        <v>2</v>
      </c>
      <c r="T5">
        <v>2</v>
      </c>
      <c r="U5">
        <v>0</v>
      </c>
      <c r="V5">
        <v>0</v>
      </c>
      <c r="W5">
        <v>0</v>
      </c>
      <c r="X5" s="5">
        <v>42.5</v>
      </c>
      <c r="Y5">
        <v>19</v>
      </c>
      <c r="Z5" s="4">
        <v>0</v>
      </c>
      <c r="AA5">
        <v>0</v>
      </c>
      <c r="AB5" s="5">
        <v>0</v>
      </c>
      <c r="AC5">
        <v>0</v>
      </c>
      <c r="AD5" s="5">
        <v>0</v>
      </c>
      <c r="AE5" s="5">
        <v>85</v>
      </c>
      <c r="AF5" s="5">
        <v>0</v>
      </c>
      <c r="AG5" s="5">
        <v>85</v>
      </c>
      <c r="AH5" s="5">
        <v>0</v>
      </c>
      <c r="AI5" s="5">
        <v>0</v>
      </c>
      <c r="AJ5" s="5">
        <v>0</v>
      </c>
    </row>
    <row r="6">
      <c r="A6">
        <v>8071328987</v>
      </c>
      <c r="B6" t="s">
        <v>36</v>
      </c>
      <c r="C6" t="s">
        <v>37</v>
      </c>
      <c r="D6" t="s">
        <v>52</v>
      </c>
      <c r="E6" t="s">
        <v>39</v>
      </c>
      <c r="F6" t="s">
        <v>40</v>
      </c>
      <c r="G6" t="s">
        <v>41</v>
      </c>
      <c r="H6" t="s">
        <v>53</v>
      </c>
      <c r="I6" t="s">
        <v>54</v>
      </c>
      <c r="J6" t="s">
        <v>55</v>
      </c>
      <c r="K6" t="s">
        <v>56</v>
      </c>
      <c r="L6">
        <v>30</v>
      </c>
      <c r="M6">
        <v>317</v>
      </c>
      <c r="N6" s="4">
        <v>0.2649</v>
      </c>
      <c r="O6">
        <v>84</v>
      </c>
      <c r="P6" s="5">
        <v>1.01</v>
      </c>
      <c r="Q6" s="4">
        <v>0.0238</v>
      </c>
      <c r="R6">
        <v>0</v>
      </c>
      <c r="S6">
        <v>2</v>
      </c>
      <c r="T6">
        <v>2</v>
      </c>
      <c r="U6">
        <v>0</v>
      </c>
      <c r="V6">
        <v>0</v>
      </c>
      <c r="W6">
        <v>0</v>
      </c>
      <c r="X6" s="5">
        <v>42.5</v>
      </c>
      <c r="Y6">
        <v>5</v>
      </c>
      <c r="Z6" s="4">
        <v>0</v>
      </c>
      <c r="AA6">
        <v>0</v>
      </c>
      <c r="AB6" s="5">
        <v>0</v>
      </c>
      <c r="AC6">
        <v>0</v>
      </c>
      <c r="AD6" s="5">
        <v>0</v>
      </c>
      <c r="AE6" s="5">
        <v>85</v>
      </c>
      <c r="AF6" s="5">
        <v>0</v>
      </c>
      <c r="AG6" s="5">
        <v>85</v>
      </c>
      <c r="AH6" s="5">
        <v>0</v>
      </c>
      <c r="AI6" s="5">
        <v>0</v>
      </c>
      <c r="AJ6" s="5">
        <v>0</v>
      </c>
    </row>
    <row r="7">
      <c r="A7" s="2" t="str">
        <f>HYPERLINK("https://www.avito.ru/moskva/bytovaya_elektronika/3d_printer_h2c_laser_40w_eu_3_v_1_pod_zakaz_8071376009","8071376009")</f>
      </c>
      <c r="B7" t="s">
        <v>36</v>
      </c>
      <c r="C7" t="s">
        <v>37</v>
      </c>
      <c r="D7" t="s">
        <v>57</v>
      </c>
      <c r="E7" t="s">
        <v>39</v>
      </c>
      <c r="F7" t="s">
        <v>40</v>
      </c>
      <c r="G7" t="s">
        <v>41</v>
      </c>
      <c r="H7" s="3" t="str">
        <f>HYPERLINK("https://www.avito.ru/moskva/bytovaya_elektronika/3d_printer_h2c_laser_40w_eu_3_v_1_pod_zakaz_8071376009","3D принтер H2C Laser 40W EU — 3 в 1, под заказ")</f>
      </c>
      <c r="I7" t="s">
        <v>51</v>
      </c>
      <c r="J7" t="s">
        <v>55</v>
      </c>
      <c r="K7" t="s">
        <v>56</v>
      </c>
      <c r="L7">
        <v>30</v>
      </c>
      <c r="M7">
        <v>67</v>
      </c>
      <c r="N7" s="4">
        <v>0.2835</v>
      </c>
      <c r="O7">
        <v>19</v>
      </c>
      <c r="P7" s="5">
        <v>4.47</v>
      </c>
      <c r="Q7" s="4">
        <v>0.1052</v>
      </c>
      <c r="R7">
        <v>0</v>
      </c>
      <c r="S7">
        <v>2</v>
      </c>
      <c r="T7">
        <v>2</v>
      </c>
      <c r="U7">
        <v>0</v>
      </c>
      <c r="V7">
        <v>0</v>
      </c>
      <c r="W7">
        <v>0</v>
      </c>
      <c r="X7" s="5">
        <v>42.5</v>
      </c>
      <c r="Y7">
        <v>3</v>
      </c>
      <c r="Z7" s="4">
        <v>0</v>
      </c>
      <c r="AA7">
        <v>0</v>
      </c>
      <c r="AB7" s="5">
        <v>0</v>
      </c>
      <c r="AC7">
        <v>0</v>
      </c>
      <c r="AD7" s="5">
        <v>0</v>
      </c>
      <c r="AE7" s="5">
        <v>85</v>
      </c>
      <c r="AF7" s="5">
        <v>0</v>
      </c>
      <c r="AG7" s="5">
        <v>85</v>
      </c>
      <c r="AH7" s="5">
        <v>0</v>
      </c>
      <c r="AI7" s="5">
        <v>0</v>
      </c>
      <c r="AJ7" s="5">
        <v>0</v>
      </c>
    </row>
    <row r="8">
      <c r="A8" s="2" t="str">
        <f>HYPERLINK("https://www.avito.ru/krasnodar/bytovaya_elektronika/3d_printer_h2c_combo_eu_nalichie_dostavka_37_dney_8071581223","8071581223")</f>
      </c>
      <c r="B8" t="s">
        <v>58</v>
      </c>
      <c r="C8" t="s">
        <v>59</v>
      </c>
      <c r="D8" t="s">
        <v>60</v>
      </c>
      <c r="E8" t="s">
        <v>39</v>
      </c>
      <c r="F8" t="s">
        <v>40</v>
      </c>
      <c r="G8" t="s">
        <v>41</v>
      </c>
      <c r="H8" s="3" t="str">
        <f>HYPERLINK("https://www.avito.ru/krasnodar/bytovaya_elektronika/3d_printer_h2c_combo_eu_nalichie_dostavka_37_dney_8071581223","3D принтер H2C Combo EU — наличие, доставка 3–7 дней")</f>
      </c>
      <c r="I8" t="s">
        <v>61</v>
      </c>
      <c r="J8" t="s">
        <v>43</v>
      </c>
      <c r="K8" t="s">
        <v>62</v>
      </c>
      <c r="L8">
        <v>35</v>
      </c>
      <c r="M8">
        <v>176</v>
      </c>
      <c r="N8" s="4">
        <v>0.25</v>
      </c>
      <c r="O8">
        <v>44</v>
      </c>
      <c r="P8" s="5">
        <v>1.27</v>
      </c>
      <c r="Q8" s="4">
        <v>0.0454</v>
      </c>
      <c r="R8">
        <v>0</v>
      </c>
      <c r="S8">
        <v>2</v>
      </c>
      <c r="T8">
        <v>2</v>
      </c>
      <c r="U8">
        <v>0</v>
      </c>
      <c r="V8">
        <v>0</v>
      </c>
      <c r="W8">
        <v>0</v>
      </c>
      <c r="X8" s="5">
        <v>28</v>
      </c>
      <c r="Y8">
        <v>2</v>
      </c>
      <c r="Z8" s="4">
        <v>0</v>
      </c>
      <c r="AA8">
        <v>0</v>
      </c>
      <c r="AB8" s="5">
        <v>0</v>
      </c>
      <c r="AC8">
        <v>0</v>
      </c>
      <c r="AD8" s="5">
        <v>0</v>
      </c>
      <c r="AE8" s="5">
        <v>56</v>
      </c>
      <c r="AF8" s="5">
        <v>0</v>
      </c>
      <c r="AG8" s="5">
        <v>56</v>
      </c>
      <c r="AH8" s="5">
        <v>0</v>
      </c>
      <c r="AI8" s="5">
        <v>0</v>
      </c>
      <c r="AJ8" s="5">
        <v>0</v>
      </c>
    </row>
    <row r="9">
      <c r="A9" s="2" t="str">
        <f>HYPERLINK("https://www.avito.ru/moskva/bytovaya_elektronika/bambu_lab_h2c_combo_cn_vortek_ams_2_pro_tsena_nizhe_eu_8071601781","8071601781")</f>
      </c>
      <c r="B9" t="s">
        <v>36</v>
      </c>
      <c r="C9" t="s">
        <v>37</v>
      </c>
      <c r="D9" t="s">
        <v>63</v>
      </c>
      <c r="E9" t="s">
        <v>39</v>
      </c>
      <c r="F9" t="s">
        <v>40</v>
      </c>
      <c r="G9" t="s">
        <v>41</v>
      </c>
      <c r="H9" s="3" t="str">
        <f>HYPERLINK("https://www.avito.ru/moskva/bytovaya_elektronika/bambu_lab_h2c_combo_cn_vortek_ams_2_pro_tsena_nizhe_eu_8071601781","Bambu Lab H2C Combo CN — Vortek + AMS 2 Pro, цена ниже EU")</f>
      </c>
      <c r="I9" t="s">
        <v>64</v>
      </c>
      <c r="J9" t="s">
        <v>43</v>
      </c>
      <c r="K9" t="s">
        <v>44</v>
      </c>
      <c r="L9">
        <v>35</v>
      </c>
      <c r="M9">
        <v>423</v>
      </c>
      <c r="N9" s="4">
        <v>0.3096</v>
      </c>
      <c r="O9">
        <v>131</v>
      </c>
      <c r="P9" s="5">
        <v>0.64</v>
      </c>
      <c r="Q9" s="4">
        <v>0.0152</v>
      </c>
      <c r="R9">
        <v>0</v>
      </c>
      <c r="S9">
        <v>2</v>
      </c>
      <c r="T9">
        <v>2</v>
      </c>
      <c r="U9">
        <v>0</v>
      </c>
      <c r="V9">
        <v>0</v>
      </c>
      <c r="W9">
        <v>0</v>
      </c>
      <c r="X9" s="5">
        <v>42.5</v>
      </c>
      <c r="Y9">
        <v>10</v>
      </c>
      <c r="Z9" s="4">
        <v>0</v>
      </c>
      <c r="AA9">
        <v>0</v>
      </c>
      <c r="AB9" s="5">
        <v>0</v>
      </c>
      <c r="AC9">
        <v>0</v>
      </c>
      <c r="AD9" s="5">
        <v>0</v>
      </c>
      <c r="AE9" s="5">
        <v>85</v>
      </c>
      <c r="AF9" s="5">
        <v>0</v>
      </c>
      <c r="AG9" s="5">
        <v>85</v>
      </c>
      <c r="AH9" s="5">
        <v>0</v>
      </c>
      <c r="AI9" s="5">
        <v>0</v>
      </c>
      <c r="AJ9" s="5">
        <v>0</v>
      </c>
    </row>
    <row r="10">
      <c r="A10" s="2" t="str">
        <f>HYPERLINK("https://www.avito.ru/moskva/bytovaya_elektronika/3d-printer_bambu_lab_h2d_laser_full_combo_10w_7879496987","7879496987")</f>
      </c>
      <c r="B10" t="s">
        <v>36</v>
      </c>
      <c r="C10" t="s">
        <v>37</v>
      </c>
      <c r="D10" t="s">
        <v>45</v>
      </c>
      <c r="E10" t="s">
        <v>39</v>
      </c>
      <c r="F10" t="s">
        <v>40</v>
      </c>
      <c r="G10" t="s">
        <v>41</v>
      </c>
      <c r="H10" s="3" t="str">
        <f>HYPERLINK("https://www.avito.ru/moskva/bytovaya_elektronika/3d-printer_bambu_lab_h2d_laser_full_combo_10w_7879496987","3D-принтер Bambu Lab H2D Laser Full Combo 10W")</f>
      </c>
      <c r="I10" t="s">
        <v>65</v>
      </c>
      <c r="J10" t="s">
        <v>47</v>
      </c>
      <c r="K10" t="s">
        <v>48</v>
      </c>
      <c r="L10">
        <v>128</v>
      </c>
      <c r="M10">
        <v>124</v>
      </c>
      <c r="N10" s="4">
        <v>0.1774</v>
      </c>
      <c r="O10">
        <v>22</v>
      </c>
      <c r="P10" s="5">
        <v>2.8</v>
      </c>
      <c r="Q10" s="4">
        <v>0.0454</v>
      </c>
      <c r="R10">
        <v>0</v>
      </c>
      <c r="S10">
        <v>1</v>
      </c>
      <c r="T10">
        <v>1</v>
      </c>
      <c r="U10">
        <v>0</v>
      </c>
      <c r="V10">
        <v>0</v>
      </c>
      <c r="W10">
        <v>0</v>
      </c>
      <c r="X10" s="5">
        <v>61.6</v>
      </c>
      <c r="Y10">
        <v>0</v>
      </c>
      <c r="Z10" s="4">
        <v>0</v>
      </c>
      <c r="AA10">
        <v>0</v>
      </c>
      <c r="AB10" s="5">
        <v>0</v>
      </c>
      <c r="AC10">
        <v>0</v>
      </c>
      <c r="AD10" s="5">
        <v>0</v>
      </c>
      <c r="AE10" s="5">
        <v>61.6</v>
      </c>
      <c r="AF10" s="5">
        <v>0</v>
      </c>
      <c r="AG10" s="5">
        <v>61.6</v>
      </c>
      <c r="AH10" s="5">
        <v>0</v>
      </c>
      <c r="AI10" s="5">
        <v>0</v>
      </c>
      <c r="AJ10" s="5">
        <v>0</v>
      </c>
    </row>
    <row r="11">
      <c r="A11" s="2" t="str">
        <f>HYPERLINK("https://www.avito.ru/krasnodar/bytovaya_elektronika/bambu_lab_h2d_eu_slozhnye_prototipy_s_podderzhkami_8070925681","8070925681")</f>
      </c>
      <c r="B11" t="s">
        <v>58</v>
      </c>
      <c r="C11" t="s">
        <v>59</v>
      </c>
      <c r="D11" t="s">
        <v>66</v>
      </c>
      <c r="E11" t="s">
        <v>39</v>
      </c>
      <c r="F11" t="s">
        <v>40</v>
      </c>
      <c r="G11" t="s">
        <v>41</v>
      </c>
      <c r="H11" s="3" t="str">
        <f>HYPERLINK("https://www.avito.ru/krasnodar/bytovaya_elektronika/bambu_lab_h2d_eu_slozhnye_prototipy_s_podderzhkami_8070925681","Bambu Lab H2D EU — сложные прототипы с поддержками")</f>
      </c>
      <c r="I11" t="s">
        <v>67</v>
      </c>
      <c r="J11" t="s">
        <v>43</v>
      </c>
      <c r="K11" t="s">
        <v>44</v>
      </c>
      <c r="L11">
        <v>35</v>
      </c>
      <c r="M11">
        <v>279</v>
      </c>
      <c r="N11" s="4">
        <v>0.172</v>
      </c>
      <c r="O11">
        <v>48</v>
      </c>
      <c r="P11" s="5">
        <v>1.16</v>
      </c>
      <c r="Q11" s="4">
        <v>0.0208</v>
      </c>
      <c r="R11">
        <v>0</v>
      </c>
      <c r="S11">
        <v>1</v>
      </c>
      <c r="T11">
        <v>1</v>
      </c>
      <c r="U11">
        <v>0</v>
      </c>
      <c r="V11">
        <v>0</v>
      </c>
      <c r="W11">
        <v>0</v>
      </c>
      <c r="X11" s="5">
        <v>56</v>
      </c>
      <c r="Y11">
        <v>1</v>
      </c>
      <c r="Z11" s="4">
        <v>0</v>
      </c>
      <c r="AA11">
        <v>0</v>
      </c>
      <c r="AB11" s="5">
        <v>0</v>
      </c>
      <c r="AC11">
        <v>0</v>
      </c>
      <c r="AD11" s="5">
        <v>0</v>
      </c>
      <c r="AE11" s="5">
        <v>56</v>
      </c>
      <c r="AF11" s="5">
        <v>0</v>
      </c>
      <c r="AG11" s="5">
        <v>56</v>
      </c>
      <c r="AH11" s="5">
        <v>0</v>
      </c>
      <c r="AI11" s="5">
        <v>0</v>
      </c>
      <c r="AJ11" s="5">
        <v>0</v>
      </c>
    </row>
    <row r="12">
      <c r="A12" s="2" t="str">
        <f>HYPERLINK("https://www.avito.ru/moskva/bytovaya_elektronika/3d_printer_bambu_lab_h2s_eu_abs_asa_pa_pc_pod_zakaz_8070977370","8070977370")</f>
      </c>
      <c r="B12" t="s">
        <v>36</v>
      </c>
      <c r="C12" t="s">
        <v>37</v>
      </c>
      <c r="D12" t="s">
        <v>68</v>
      </c>
      <c r="E12" t="s">
        <v>39</v>
      </c>
      <c r="F12" t="s">
        <v>40</v>
      </c>
      <c r="G12" t="s">
        <v>41</v>
      </c>
      <c r="H12" s="3" t="str">
        <f>HYPERLINK("https://www.avito.ru/moskva/bytovaya_elektronika/3d_printer_bambu_lab_h2s_eu_abs_asa_pa_pc_pod_zakaz_8070977370","3D принтер Bambu Lab H2S EU — ABS, ASA, PA, PC под заказ")</f>
      </c>
      <c r="I12" t="s">
        <v>69</v>
      </c>
      <c r="J12" t="s">
        <v>55</v>
      </c>
      <c r="K12" t="s">
        <v>56</v>
      </c>
      <c r="L12">
        <v>30</v>
      </c>
      <c r="M12">
        <v>86</v>
      </c>
      <c r="N12" s="4">
        <v>0.1511</v>
      </c>
      <c r="O12">
        <v>13</v>
      </c>
      <c r="P12" s="5">
        <v>6.53</v>
      </c>
      <c r="Q12" s="4">
        <v>0.0769</v>
      </c>
      <c r="R12">
        <v>0</v>
      </c>
      <c r="S12">
        <v>1</v>
      </c>
      <c r="T12">
        <v>1</v>
      </c>
      <c r="U12">
        <v>0</v>
      </c>
      <c r="V12">
        <v>0</v>
      </c>
      <c r="W12">
        <v>0</v>
      </c>
      <c r="X12" s="5">
        <v>85</v>
      </c>
      <c r="Y12">
        <v>1</v>
      </c>
      <c r="Z12" s="4">
        <v>0</v>
      </c>
      <c r="AA12">
        <v>0</v>
      </c>
      <c r="AB12" s="5">
        <v>0</v>
      </c>
      <c r="AC12">
        <v>0</v>
      </c>
      <c r="AD12" s="5">
        <v>0</v>
      </c>
      <c r="AE12" s="5">
        <v>85</v>
      </c>
      <c r="AF12" s="5">
        <v>0</v>
      </c>
      <c r="AG12" s="5">
        <v>85</v>
      </c>
      <c r="AH12" s="5">
        <v>0</v>
      </c>
      <c r="AI12" s="5">
        <v>0</v>
      </c>
      <c r="AJ12" s="5">
        <v>0</v>
      </c>
    </row>
    <row r="13">
      <c r="A13" s="2" t="str">
        <f>HYPERLINK("https://www.avito.ru/rostov-na-donu/bytovaya_elektronika/3d_printer_h2s_eu_bambu_lab_ams_2_pro_pod_zakaz_8071031893","8071031893")</f>
      </c>
      <c r="B13" t="s">
        <v>70</v>
      </c>
      <c r="C13" t="s">
        <v>71</v>
      </c>
      <c r="D13" t="s">
        <v>72</v>
      </c>
      <c r="E13" t="s">
        <v>39</v>
      </c>
      <c r="F13" t="s">
        <v>40</v>
      </c>
      <c r="G13" t="s">
        <v>41</v>
      </c>
      <c r="H13" s="3" t="str">
        <f>HYPERLINK("https://www.avito.ru/rostov-na-donu/bytovaya_elektronika/3d_printer_h2s_eu_bambu_lab_ams_2_pro_pod_zakaz_8071031893","3D принтер H2S EU Bambu Lab — AMS 2 Pro, под заказ")</f>
      </c>
      <c r="I13" t="s">
        <v>69</v>
      </c>
      <c r="J13" t="s">
        <v>43</v>
      </c>
      <c r="K13" t="s">
        <v>44</v>
      </c>
      <c r="L13">
        <v>35</v>
      </c>
      <c r="M13">
        <v>689</v>
      </c>
      <c r="N13" s="4">
        <v>0.0943</v>
      </c>
      <c r="O13">
        <v>65</v>
      </c>
      <c r="P13" s="5">
        <v>0.86</v>
      </c>
      <c r="Q13" s="4">
        <v>0.0153</v>
      </c>
      <c r="R13">
        <v>0</v>
      </c>
      <c r="S13">
        <v>1</v>
      </c>
      <c r="T13">
        <v>1</v>
      </c>
      <c r="U13">
        <v>0</v>
      </c>
      <c r="V13">
        <v>0</v>
      </c>
      <c r="W13">
        <v>0</v>
      </c>
      <c r="X13" s="5">
        <v>56</v>
      </c>
      <c r="Y13">
        <v>0</v>
      </c>
      <c r="Z13" s="4">
        <v>0</v>
      </c>
      <c r="AA13">
        <v>0</v>
      </c>
      <c r="AB13" s="5">
        <v>0</v>
      </c>
      <c r="AC13">
        <v>0</v>
      </c>
      <c r="AD13" s="5">
        <v>0</v>
      </c>
      <c r="AE13" s="5">
        <v>56</v>
      </c>
      <c r="AF13" s="5">
        <v>0</v>
      </c>
      <c r="AG13" s="5">
        <v>56</v>
      </c>
      <c r="AH13" s="5">
        <v>0</v>
      </c>
      <c r="AI13" s="5">
        <v>0</v>
      </c>
      <c r="AJ13" s="5">
        <v>0</v>
      </c>
    </row>
    <row r="14">
      <c r="A14" s="2" t="str">
        <f>HYPERLINK("https://www.avito.ru/moskva/bytovaya_elektronika/bambu_lab_h2d_laser_10w_eu_3d-pechat_lazer_plotter_8071067275","8071067275")</f>
      </c>
      <c r="B14" t="s">
        <v>36</v>
      </c>
      <c r="C14" t="s">
        <v>37</v>
      </c>
      <c r="D14" t="s">
        <v>38</v>
      </c>
      <c r="E14" t="s">
        <v>39</v>
      </c>
      <c r="F14" t="s">
        <v>40</v>
      </c>
      <c r="G14" t="s">
        <v>41</v>
      </c>
      <c r="H14" s="3" t="str">
        <f>HYPERLINK("https://www.avito.ru/moskva/bytovaya_elektronika/bambu_lab_h2d_laser_10w_eu_3d-pechat_lazer_plotter_8071067275","Bambu Lab H2D Laser 10W EU — 3D-печать + лазер + плоттер")</f>
      </c>
      <c r="I14" t="s">
        <v>73</v>
      </c>
      <c r="J14" t="s">
        <v>43</v>
      </c>
      <c r="K14" t="s">
        <v>44</v>
      </c>
      <c r="L14">
        <v>35</v>
      </c>
      <c r="M14">
        <v>118</v>
      </c>
      <c r="N14" s="4">
        <v>0.1949</v>
      </c>
      <c r="O14">
        <v>23</v>
      </c>
      <c r="P14" s="5">
        <v>3.69</v>
      </c>
      <c r="Q14" s="4">
        <v>0.0434</v>
      </c>
      <c r="R14">
        <v>0</v>
      </c>
      <c r="S14">
        <v>1</v>
      </c>
      <c r="T14">
        <v>1</v>
      </c>
      <c r="U14">
        <v>0</v>
      </c>
      <c r="V14">
        <v>0</v>
      </c>
      <c r="W14">
        <v>0</v>
      </c>
      <c r="X14" s="5">
        <v>85</v>
      </c>
      <c r="Y14">
        <v>2</v>
      </c>
      <c r="Z14" s="4">
        <v>0</v>
      </c>
      <c r="AA14">
        <v>0</v>
      </c>
      <c r="AB14" s="5">
        <v>0</v>
      </c>
      <c r="AC14">
        <v>0</v>
      </c>
      <c r="AD14" s="5">
        <v>0</v>
      </c>
      <c r="AE14" s="5">
        <v>85</v>
      </c>
      <c r="AF14" s="5">
        <v>0</v>
      </c>
      <c r="AG14" s="5">
        <v>85</v>
      </c>
      <c r="AH14" s="5">
        <v>0</v>
      </c>
      <c r="AI14" s="5">
        <v>0</v>
      </c>
      <c r="AJ14" s="5">
        <v>0</v>
      </c>
    </row>
    <row r="15">
      <c r="A15" s="2" t="str">
        <f>HYPERLINK("https://www.avito.ru/omsk/bytovaya_elektronika/3d_printer_h2s_eu_bambu_lab_ams_2_pro_pod_zakaz_8071082784","8071082784")</f>
      </c>
      <c r="B15" t="s">
        <v>74</v>
      </c>
      <c r="C15" t="s">
        <v>75</v>
      </c>
      <c r="D15" t="s">
        <v>76</v>
      </c>
      <c r="E15" t="s">
        <v>39</v>
      </c>
      <c r="F15" t="s">
        <v>40</v>
      </c>
      <c r="G15" t="s">
        <v>41</v>
      </c>
      <c r="H15" s="3" t="str">
        <f>HYPERLINK("https://www.avito.ru/omsk/bytovaya_elektronika/3d_printer_h2s_eu_bambu_lab_ams_2_pro_pod_zakaz_8071082784","3D принтер H2S EU Bambu Lab — AMS 2 Pro, под заказ")</f>
      </c>
      <c r="I15" t="s">
        <v>77</v>
      </c>
      <c r="J15" t="s">
        <v>78</v>
      </c>
      <c r="K15" t="s">
        <v>79</v>
      </c>
      <c r="L15">
        <v>29</v>
      </c>
      <c r="M15">
        <v>168</v>
      </c>
      <c r="N15" s="4">
        <v>0.113</v>
      </c>
      <c r="O15">
        <v>19</v>
      </c>
      <c r="P15" s="5">
        <v>2.94</v>
      </c>
      <c r="Q15" s="4">
        <v>0.0526</v>
      </c>
      <c r="R15">
        <v>0</v>
      </c>
      <c r="S15">
        <v>1</v>
      </c>
      <c r="T15">
        <v>1</v>
      </c>
      <c r="U15">
        <v>0</v>
      </c>
      <c r="V15">
        <v>0</v>
      </c>
      <c r="W15">
        <v>0</v>
      </c>
      <c r="X15" s="5">
        <v>56</v>
      </c>
      <c r="Y15">
        <v>2</v>
      </c>
      <c r="Z15" s="4">
        <v>0</v>
      </c>
      <c r="AA15">
        <v>0</v>
      </c>
      <c r="AB15" s="5">
        <v>0</v>
      </c>
      <c r="AC15">
        <v>0</v>
      </c>
      <c r="AD15" s="5">
        <v>0</v>
      </c>
      <c r="AE15" s="5">
        <v>56</v>
      </c>
      <c r="AF15" s="5">
        <v>0</v>
      </c>
      <c r="AG15" s="5">
        <v>56</v>
      </c>
      <c r="AH15" s="5">
        <v>0</v>
      </c>
      <c r="AI15" s="5">
        <v>0</v>
      </c>
      <c r="AJ15" s="5">
        <v>0</v>
      </c>
    </row>
    <row r="16">
      <c r="A16" s="2" t="str">
        <f>HYPERLINK("https://www.avito.ru/krasnodar/bytovaya_elektronika/bambu_h2s_eu_ams_2_pro_prototipy_i_proizvodstvo_8071188231","8071188231")</f>
      </c>
      <c r="B16" t="s">
        <v>58</v>
      </c>
      <c r="C16" t="s">
        <v>59</v>
      </c>
      <c r="D16" t="s">
        <v>66</v>
      </c>
      <c r="E16" t="s">
        <v>39</v>
      </c>
      <c r="F16" t="s">
        <v>40</v>
      </c>
      <c r="G16" t="s">
        <v>41</v>
      </c>
      <c r="H16" s="3" t="str">
        <f>HYPERLINK("https://www.avito.ru/krasnodar/bytovaya_elektronika/bambu_h2s_eu_ams_2_pro_prototipy_i_proizvodstvo_8071188231","Bambu H2S EU AMS 2 Pro — прототипы и производство")</f>
      </c>
      <c r="I16" t="s">
        <v>80</v>
      </c>
      <c r="J16" t="s">
        <v>43</v>
      </c>
      <c r="K16" t="s">
        <v>44</v>
      </c>
      <c r="L16">
        <v>35</v>
      </c>
      <c r="M16">
        <v>87</v>
      </c>
      <c r="N16" s="4">
        <v>0.1724</v>
      </c>
      <c r="O16">
        <v>15</v>
      </c>
      <c r="P16" s="5">
        <v>3.73</v>
      </c>
      <c r="Q16" s="4">
        <v>0.0666</v>
      </c>
      <c r="R16">
        <v>0</v>
      </c>
      <c r="S16">
        <v>1</v>
      </c>
      <c r="T16">
        <v>1</v>
      </c>
      <c r="U16">
        <v>0</v>
      </c>
      <c r="V16">
        <v>0</v>
      </c>
      <c r="W16">
        <v>0</v>
      </c>
      <c r="X16" s="5">
        <v>56</v>
      </c>
      <c r="Y16">
        <v>0</v>
      </c>
      <c r="Z16" s="4">
        <v>0</v>
      </c>
      <c r="AA16">
        <v>0</v>
      </c>
      <c r="AB16" s="5">
        <v>0</v>
      </c>
      <c r="AC16">
        <v>0</v>
      </c>
      <c r="AD16" s="5">
        <v>0</v>
      </c>
      <c r="AE16" s="5">
        <v>56</v>
      </c>
      <c r="AF16" s="5">
        <v>0</v>
      </c>
      <c r="AG16" s="5">
        <v>56</v>
      </c>
      <c r="AH16" s="5">
        <v>0</v>
      </c>
      <c r="AI16" s="5">
        <v>0</v>
      </c>
      <c r="AJ16" s="5">
        <v>0</v>
      </c>
    </row>
    <row r="17">
      <c r="A17" s="2" t="str">
        <f>HYPERLINK("https://www.avito.ru/izhevsk/bytovaya_elektronika/bambu_lab_h2s_combo_ams_2_pro_eu_dostavka_po_rf_8071238070","8071238070")</f>
      </c>
      <c r="B17" t="s">
        <v>81</v>
      </c>
      <c r="C17" t="s">
        <v>82</v>
      </c>
      <c r="D17" t="s">
        <v>83</v>
      </c>
      <c r="E17" t="s">
        <v>39</v>
      </c>
      <c r="F17" t="s">
        <v>40</v>
      </c>
      <c r="G17" t="s">
        <v>41</v>
      </c>
      <c r="H17" s="3" t="str">
        <f>HYPERLINK("https://www.avito.ru/izhevsk/bytovaya_elektronika/bambu_lab_h2s_combo_ams_2_pro_eu_dostavka_po_rf_8071238070","Bambu Lab H2S Combo AMS 2 Pro EU — доставка по РФ")</f>
      </c>
      <c r="I17" t="s">
        <v>69</v>
      </c>
      <c r="J17" t="s">
        <v>78</v>
      </c>
      <c r="K17" t="s">
        <v>84</v>
      </c>
      <c r="L17">
        <v>29</v>
      </c>
      <c r="M17">
        <v>39</v>
      </c>
      <c r="N17" s="4">
        <v>0.1282</v>
      </c>
      <c r="O17">
        <v>5</v>
      </c>
      <c r="P17" s="5">
        <v>11.2</v>
      </c>
      <c r="Q17" s="4">
        <v>0.2</v>
      </c>
      <c r="R17">
        <v>0</v>
      </c>
      <c r="S17">
        <v>1</v>
      </c>
      <c r="T17">
        <v>0</v>
      </c>
      <c r="U17">
        <v>1</v>
      </c>
      <c r="V17">
        <v>0</v>
      </c>
      <c r="W17">
        <v>0</v>
      </c>
      <c r="X17" s="5">
        <v>56</v>
      </c>
      <c r="Y17">
        <v>0</v>
      </c>
      <c r="Z17" s="4">
        <v>0</v>
      </c>
      <c r="AA17">
        <v>0</v>
      </c>
      <c r="AB17" s="5">
        <v>0</v>
      </c>
      <c r="AC17">
        <v>0</v>
      </c>
      <c r="AD17" s="5">
        <v>0</v>
      </c>
      <c r="AE17" s="5">
        <v>56</v>
      </c>
      <c r="AF17" s="5">
        <v>0</v>
      </c>
      <c r="AG17" s="5">
        <v>56</v>
      </c>
      <c r="AH17" s="5">
        <v>0</v>
      </c>
      <c r="AI17" s="5">
        <v>0</v>
      </c>
      <c r="AJ17" s="5">
        <v>0</v>
      </c>
    </row>
    <row r="18">
      <c r="A18" s="2" t="str">
        <f>HYPERLINK("https://www.avito.ru/saratov/bytovaya_elektronika/bambu_lab_h2d_eu_slozhnye_prototipy_s_podderzhkami_8071267776","8071267776")</f>
      </c>
      <c r="B18" t="s">
        <v>85</v>
      </c>
      <c r="C18" t="s">
        <v>86</v>
      </c>
      <c r="D18" t="s">
        <v>87</v>
      </c>
      <c r="E18" t="s">
        <v>39</v>
      </c>
      <c r="F18" t="s">
        <v>40</v>
      </c>
      <c r="G18" t="s">
        <v>41</v>
      </c>
      <c r="H18" s="3" t="str">
        <f>HYPERLINK("https://www.avito.ru/saratov/bytovaya_elektronika/bambu_lab_h2d_eu_slozhnye_prototipy_s_podderzhkami_8071267776","Bambu Lab H2D EU — сложные прототипы с поддержками")</f>
      </c>
      <c r="I18" t="s">
        <v>88</v>
      </c>
      <c r="J18" t="s">
        <v>89</v>
      </c>
      <c r="K18" t="s">
        <v>84</v>
      </c>
      <c r="L18">
        <v>28</v>
      </c>
      <c r="M18">
        <v>242</v>
      </c>
      <c r="N18" s="4">
        <v>0.0247</v>
      </c>
      <c r="O18">
        <v>6</v>
      </c>
      <c r="P18" s="5">
        <v>9.33</v>
      </c>
      <c r="Q18" s="4">
        <v>0.1666</v>
      </c>
      <c r="R18">
        <v>0</v>
      </c>
      <c r="S18">
        <v>1</v>
      </c>
      <c r="T18">
        <v>1</v>
      </c>
      <c r="U18">
        <v>0</v>
      </c>
      <c r="V18">
        <v>0</v>
      </c>
      <c r="W18">
        <v>0</v>
      </c>
      <c r="X18" s="5">
        <v>56</v>
      </c>
      <c r="Y18">
        <v>0</v>
      </c>
      <c r="Z18" s="4">
        <v>0</v>
      </c>
      <c r="AA18">
        <v>0</v>
      </c>
      <c r="AB18" s="5">
        <v>0</v>
      </c>
      <c r="AC18">
        <v>0</v>
      </c>
      <c r="AD18" s="5">
        <v>0</v>
      </c>
      <c r="AE18" s="5">
        <v>56</v>
      </c>
      <c r="AF18" s="5">
        <v>0</v>
      </c>
      <c r="AG18" s="5">
        <v>56</v>
      </c>
      <c r="AH18" s="5">
        <v>0</v>
      </c>
      <c r="AI18" s="5">
        <v>0</v>
      </c>
      <c r="AJ18" s="5">
        <v>0</v>
      </c>
    </row>
    <row r="19">
      <c r="A19" s="2" t="str">
        <f>HYPERLINK("https://www.avito.ru/sankt-peterburg/bytovaya_elektronika/3d_printer_h2s_eu_bambu_lab_ams_2_pro_pod_zakaz_8071345072","8071345072")</f>
      </c>
      <c r="B19" t="s">
        <v>36</v>
      </c>
      <c r="C19" t="s">
        <v>90</v>
      </c>
      <c r="D19" t="s">
        <v>91</v>
      </c>
      <c r="E19" t="s">
        <v>39</v>
      </c>
      <c r="F19" t="s">
        <v>40</v>
      </c>
      <c r="G19" t="s">
        <v>41</v>
      </c>
      <c r="H19" s="3" t="str">
        <f>HYPERLINK("https://www.avito.ru/sankt-peterburg/bytovaya_elektronika/3d_printer_h2s_eu_bambu_lab_ams_2_pro_pod_zakaz_8071345072","3D принтер H2S EU Bambu Lab — AMS 2 Pro, под заказ")</f>
      </c>
      <c r="I19" t="s">
        <v>69</v>
      </c>
      <c r="J19" t="s">
        <v>55</v>
      </c>
      <c r="K19" t="s">
        <v>56</v>
      </c>
      <c r="L19">
        <v>30</v>
      </c>
      <c r="M19">
        <v>350</v>
      </c>
      <c r="N19" s="4">
        <v>0.1228</v>
      </c>
      <c r="O19">
        <v>43</v>
      </c>
      <c r="P19" s="5">
        <v>1.3</v>
      </c>
      <c r="Q19" s="4">
        <v>0.0232</v>
      </c>
      <c r="R19">
        <v>0</v>
      </c>
      <c r="S19">
        <v>1</v>
      </c>
      <c r="T19">
        <v>1</v>
      </c>
      <c r="U19">
        <v>0</v>
      </c>
      <c r="V19">
        <v>0</v>
      </c>
      <c r="W19">
        <v>0</v>
      </c>
      <c r="X19" s="5">
        <v>56</v>
      </c>
      <c r="Y19">
        <v>1</v>
      </c>
      <c r="Z19" s="4">
        <v>0</v>
      </c>
      <c r="AA19">
        <v>0</v>
      </c>
      <c r="AB19" s="5">
        <v>0</v>
      </c>
      <c r="AC19">
        <v>0</v>
      </c>
      <c r="AD19" s="5">
        <v>0</v>
      </c>
      <c r="AE19" s="5">
        <v>56</v>
      </c>
      <c r="AF19" s="5">
        <v>0</v>
      </c>
      <c r="AG19" s="5">
        <v>56</v>
      </c>
      <c r="AH19" s="5">
        <v>0</v>
      </c>
      <c r="AI19" s="5">
        <v>0</v>
      </c>
      <c r="AJ19" s="5">
        <v>0</v>
      </c>
    </row>
    <row r="20">
      <c r="A20" s="2" t="str">
        <f>HYPERLINK("https://www.avito.ru/barnaul/bytovaya_elektronika/3d_printer_bambu_lab_h2s_eu_abs_asa_pa_pc_pod_zakaz_8071345559","8071345559")</f>
      </c>
      <c r="B20" t="s">
        <v>92</v>
      </c>
      <c r="C20" t="s">
        <v>93</v>
      </c>
      <c r="D20" t="s">
        <v>94</v>
      </c>
      <c r="E20" t="s">
        <v>39</v>
      </c>
      <c r="F20" t="s">
        <v>40</v>
      </c>
      <c r="G20" t="s">
        <v>41</v>
      </c>
      <c r="H20" s="3" t="str">
        <f>HYPERLINK("https://www.avito.ru/barnaul/bytovaya_elektronika/3d_printer_bambu_lab_h2s_eu_abs_asa_pa_pc_pod_zakaz_8071345559","3D принтер Bambu Lab H2S EU — ABS, ASA, PA, PC под заказ")</f>
      </c>
      <c r="I20" t="s">
        <v>77</v>
      </c>
      <c r="J20" t="s">
        <v>78</v>
      </c>
      <c r="K20" t="s">
        <v>79</v>
      </c>
      <c r="L20">
        <v>29</v>
      </c>
      <c r="M20">
        <v>231</v>
      </c>
      <c r="N20" s="4">
        <v>0.0995</v>
      </c>
      <c r="O20">
        <v>23</v>
      </c>
      <c r="P20" s="5">
        <v>2.43</v>
      </c>
      <c r="Q20" s="4">
        <v>0.0434</v>
      </c>
      <c r="R20">
        <v>0</v>
      </c>
      <c r="S20">
        <v>1</v>
      </c>
      <c r="T20">
        <v>1</v>
      </c>
      <c r="U20">
        <v>0</v>
      </c>
      <c r="V20">
        <v>0</v>
      </c>
      <c r="W20">
        <v>0</v>
      </c>
      <c r="X20" s="5">
        <v>56</v>
      </c>
      <c r="Y20">
        <v>0</v>
      </c>
      <c r="Z20" s="4">
        <v>0</v>
      </c>
      <c r="AA20">
        <v>0</v>
      </c>
      <c r="AB20" s="5">
        <v>0</v>
      </c>
      <c r="AC20">
        <v>0</v>
      </c>
      <c r="AD20" s="5">
        <v>0</v>
      </c>
      <c r="AE20" s="5">
        <v>56</v>
      </c>
      <c r="AF20" s="5">
        <v>0</v>
      </c>
      <c r="AG20" s="5">
        <v>56</v>
      </c>
      <c r="AH20" s="5">
        <v>0</v>
      </c>
      <c r="AI20" s="5">
        <v>0</v>
      </c>
      <c r="AJ20" s="5">
        <v>0</v>
      </c>
    </row>
    <row r="21">
      <c r="A21" s="2" t="str">
        <f>HYPERLINK("https://www.avito.ru/krasnodar/bytovaya_elektronika/3d_printer_bambu_h2d_combo_eu_pod_zakaz_sdek_rf_8071355081","8071355081")</f>
      </c>
      <c r="B21" t="s">
        <v>58</v>
      </c>
      <c r="C21" t="s">
        <v>59</v>
      </c>
      <c r="D21" t="s">
        <v>95</v>
      </c>
      <c r="E21" t="s">
        <v>39</v>
      </c>
      <c r="F21" t="s">
        <v>40</v>
      </c>
      <c r="G21" t="s">
        <v>41</v>
      </c>
      <c r="H21" s="3" t="str">
        <f>HYPERLINK("https://www.avito.ru/krasnodar/bytovaya_elektronika/3d_printer_bambu_h2d_combo_eu_pod_zakaz_sdek_rf_8071355081","3D принтер Bambu H2D Combo EU — под заказ, сдэк РФ")</f>
      </c>
      <c r="I21" t="s">
        <v>96</v>
      </c>
      <c r="J21" t="s">
        <v>55</v>
      </c>
      <c r="K21" t="s">
        <v>56</v>
      </c>
      <c r="L21">
        <v>30</v>
      </c>
      <c r="M21">
        <v>37</v>
      </c>
      <c r="N21" s="4">
        <v>0.1081</v>
      </c>
      <c r="O21">
        <v>4</v>
      </c>
      <c r="P21" s="5">
        <v>14</v>
      </c>
      <c r="Q21" s="4">
        <v>0.25</v>
      </c>
      <c r="R21">
        <v>0</v>
      </c>
      <c r="S21">
        <v>1</v>
      </c>
      <c r="T21">
        <v>0</v>
      </c>
      <c r="U21">
        <v>1</v>
      </c>
      <c r="V21">
        <v>0</v>
      </c>
      <c r="W21">
        <v>0</v>
      </c>
      <c r="X21" s="5">
        <v>56</v>
      </c>
      <c r="Y21">
        <v>0</v>
      </c>
      <c r="Z21" s="4">
        <v>0</v>
      </c>
      <c r="AA21">
        <v>0</v>
      </c>
      <c r="AB21" s="5">
        <v>0</v>
      </c>
      <c r="AC21">
        <v>0</v>
      </c>
      <c r="AD21" s="5">
        <v>0</v>
      </c>
      <c r="AE21" s="5">
        <v>56</v>
      </c>
      <c r="AF21" s="5">
        <v>0</v>
      </c>
      <c r="AG21" s="5">
        <v>56</v>
      </c>
      <c r="AH21" s="5">
        <v>0</v>
      </c>
      <c r="AI21" s="5">
        <v>0</v>
      </c>
      <c r="AJ21" s="5">
        <v>0</v>
      </c>
    </row>
    <row r="22">
      <c r="A22" s="2" t="str">
        <f>HYPERLINK("https://www.avito.ru/kazan/bytovaya_elektronika/3d_printer_h2c_combo_eu_est_v_nalichii_vortek_ams_2_pro_8071431656","8071431656")</f>
      </c>
      <c r="B22" t="s">
        <v>97</v>
      </c>
      <c r="C22" t="s">
        <v>98</v>
      </c>
      <c r="D22" t="s">
        <v>99</v>
      </c>
      <c r="E22" t="s">
        <v>39</v>
      </c>
      <c r="F22" t="s">
        <v>40</v>
      </c>
      <c r="G22" t="s">
        <v>41</v>
      </c>
      <c r="H22" s="3" t="str">
        <f>HYPERLINK("https://www.avito.ru/kazan/bytovaya_elektronika/3d_printer_h2c_combo_eu_est_v_nalichii_vortek_ams_2_pro_8071431656","3D принтер H2C Combo EU — есть в наличии, Vortek + AMS 2 Pro")</f>
      </c>
      <c r="I22" t="s">
        <v>61</v>
      </c>
      <c r="J22" t="s">
        <v>43</v>
      </c>
      <c r="K22" t="s">
        <v>44</v>
      </c>
      <c r="L22">
        <v>35</v>
      </c>
      <c r="M22">
        <v>326</v>
      </c>
      <c r="N22" s="4">
        <v>0.0889</v>
      </c>
      <c r="O22">
        <v>29</v>
      </c>
      <c r="P22" s="5">
        <v>1.93</v>
      </c>
      <c r="Q22" s="4">
        <v>0.0344</v>
      </c>
      <c r="R22">
        <v>0</v>
      </c>
      <c r="S22">
        <v>1</v>
      </c>
      <c r="T22">
        <v>1</v>
      </c>
      <c r="U22">
        <v>0</v>
      </c>
      <c r="V22">
        <v>0</v>
      </c>
      <c r="W22">
        <v>0</v>
      </c>
      <c r="X22" s="5">
        <v>56</v>
      </c>
      <c r="Y22">
        <v>0</v>
      </c>
      <c r="Z22" s="4">
        <v>0</v>
      </c>
      <c r="AA22">
        <v>0</v>
      </c>
      <c r="AB22" s="5">
        <v>0</v>
      </c>
      <c r="AC22">
        <v>0</v>
      </c>
      <c r="AD22" s="5">
        <v>0</v>
      </c>
      <c r="AE22" s="5">
        <v>56</v>
      </c>
      <c r="AF22" s="5">
        <v>0</v>
      </c>
      <c r="AG22" s="5">
        <v>56</v>
      </c>
      <c r="AH22" s="5">
        <v>0</v>
      </c>
      <c r="AI22" s="5">
        <v>0</v>
      </c>
      <c r="AJ22" s="5">
        <v>0</v>
      </c>
    </row>
    <row r="23">
      <c r="A23" s="2" t="str">
        <f>HYPERLINK("https://www.avito.ru/ulyanovsk/bytovaya_elektronika/bambu_h2s_eu_ams_2_pro_prototipy_i_proizvodstvo_8071442729","8071442729")</f>
      </c>
      <c r="B23" t="s">
        <v>100</v>
      </c>
      <c r="C23" t="s">
        <v>101</v>
      </c>
      <c r="D23" t="s">
        <v>102</v>
      </c>
      <c r="E23" t="s">
        <v>39</v>
      </c>
      <c r="F23" t="s">
        <v>40</v>
      </c>
      <c r="G23" t="s">
        <v>41</v>
      </c>
      <c r="H23" s="3" t="str">
        <f>HYPERLINK("https://www.avito.ru/ulyanovsk/bytovaya_elektronika/bambu_h2s_eu_ams_2_pro_prototipy_i_proizvodstvo_8071442729","Bambu H2S EU AMS 2 Pro — прототипы и производство")</f>
      </c>
      <c r="I23" t="s">
        <v>69</v>
      </c>
      <c r="J23" t="s">
        <v>78</v>
      </c>
      <c r="K23" t="s">
        <v>79</v>
      </c>
      <c r="L23">
        <v>29</v>
      </c>
      <c r="M23">
        <v>436</v>
      </c>
      <c r="N23" s="4">
        <v>0.0596</v>
      </c>
      <c r="O23">
        <v>26</v>
      </c>
      <c r="P23" s="5">
        <v>2.15</v>
      </c>
      <c r="Q23" s="4">
        <v>0.0384</v>
      </c>
      <c r="R23">
        <v>0</v>
      </c>
      <c r="S23">
        <v>1</v>
      </c>
      <c r="T23">
        <v>0</v>
      </c>
      <c r="U23">
        <v>1</v>
      </c>
      <c r="V23">
        <v>0</v>
      </c>
      <c r="W23">
        <v>0</v>
      </c>
      <c r="X23" s="5">
        <v>56</v>
      </c>
      <c r="Y23">
        <v>1</v>
      </c>
      <c r="Z23" s="4">
        <v>0</v>
      </c>
      <c r="AA23">
        <v>0</v>
      </c>
      <c r="AB23" s="5">
        <v>0</v>
      </c>
      <c r="AC23">
        <v>0</v>
      </c>
      <c r="AD23" s="5">
        <v>0</v>
      </c>
      <c r="AE23" s="5">
        <v>56</v>
      </c>
      <c r="AF23" s="5">
        <v>0</v>
      </c>
      <c r="AG23" s="5">
        <v>56</v>
      </c>
      <c r="AH23" s="5">
        <v>0</v>
      </c>
      <c r="AI23" s="5">
        <v>0</v>
      </c>
      <c r="AJ23" s="5">
        <v>0</v>
      </c>
    </row>
    <row r="24">
      <c r="A24" s="2" t="str">
        <f>HYPERLINK("https://www.avito.ru/moskva/bytovaya_elektronika/h2d_combo_ams_2_pro_cn_polnyy_funktsional_tsena_nizhe_eu_8071472808","8071472808")</f>
      </c>
      <c r="B24" t="s">
        <v>36</v>
      </c>
      <c r="C24" t="s">
        <v>37</v>
      </c>
      <c r="D24" t="s">
        <v>38</v>
      </c>
      <c r="E24" t="s">
        <v>39</v>
      </c>
      <c r="F24" t="s">
        <v>40</v>
      </c>
      <c r="G24" t="s">
        <v>41</v>
      </c>
      <c r="H24" s="3" t="str">
        <f>HYPERLINK("https://www.avito.ru/moskva/bytovaya_elektronika/h2d_combo_ams_2_pro_cn_polnyy_funktsional_tsena_nizhe_eu_8071472808","H2D Combo AMS 2 Pro CN — полный функционал, цена ниже EU")</f>
      </c>
      <c r="I24" t="s">
        <v>103</v>
      </c>
      <c r="J24" t="s">
        <v>43</v>
      </c>
      <c r="K24" t="s">
        <v>44</v>
      </c>
      <c r="L24">
        <v>35</v>
      </c>
      <c r="M24">
        <v>233</v>
      </c>
      <c r="N24" s="4">
        <v>0.2403</v>
      </c>
      <c r="O24">
        <v>56</v>
      </c>
      <c r="P24" s="5">
        <v>1.51</v>
      </c>
      <c r="Q24" s="4">
        <v>0.0178</v>
      </c>
      <c r="R24">
        <v>0</v>
      </c>
      <c r="S24">
        <v>1</v>
      </c>
      <c r="T24">
        <v>1</v>
      </c>
      <c r="U24">
        <v>0</v>
      </c>
      <c r="V24">
        <v>0</v>
      </c>
      <c r="W24">
        <v>0</v>
      </c>
      <c r="X24" s="5">
        <v>85</v>
      </c>
      <c r="Y24">
        <v>4</v>
      </c>
      <c r="Z24" s="4">
        <v>0</v>
      </c>
      <c r="AA24">
        <v>0</v>
      </c>
      <c r="AB24" s="5">
        <v>0</v>
      </c>
      <c r="AC24">
        <v>0</v>
      </c>
      <c r="AD24" s="5">
        <v>0</v>
      </c>
      <c r="AE24" s="5">
        <v>85</v>
      </c>
      <c r="AF24" s="5">
        <v>0</v>
      </c>
      <c r="AG24" s="5">
        <v>85</v>
      </c>
      <c r="AH24" s="5">
        <v>0</v>
      </c>
      <c r="AI24" s="5">
        <v>0</v>
      </c>
      <c r="AJ24" s="5">
        <v>0</v>
      </c>
    </row>
    <row r="25">
      <c r="A25" s="2" t="str">
        <f>HYPERLINK("https://www.avito.ru/sankt-peterburg/bytovaya_elektronika/3d_printer_bambu_lab_h2c_combo_eu_ams_2_pro_8071516922","8071516922")</f>
      </c>
      <c r="B25" t="s">
        <v>36</v>
      </c>
      <c r="C25" t="s">
        <v>90</v>
      </c>
      <c r="D25" t="s">
        <v>104</v>
      </c>
      <c r="E25" t="s">
        <v>39</v>
      </c>
      <c r="F25" t="s">
        <v>40</v>
      </c>
      <c r="G25" t="s">
        <v>41</v>
      </c>
      <c r="H25" s="3" t="str">
        <f>HYPERLINK("https://www.avito.ru/sankt-peterburg/bytovaya_elektronika/3d_printer_bambu_lab_h2c_combo_eu_ams_2_pro_8071516922","3D принтер Bambu Lab H2C Combo EU AMS 2 Pro")</f>
      </c>
      <c r="I25" t="s">
        <v>61</v>
      </c>
      <c r="J25" t="s">
        <v>55</v>
      </c>
      <c r="K25" t="s">
        <v>56</v>
      </c>
      <c r="L25">
        <v>30</v>
      </c>
      <c r="M25">
        <v>167</v>
      </c>
      <c r="N25" s="4">
        <v>0.2634</v>
      </c>
      <c r="O25">
        <v>44</v>
      </c>
      <c r="P25" s="5">
        <v>1.27</v>
      </c>
      <c r="Q25" s="4">
        <v>0.0227</v>
      </c>
      <c r="R25">
        <v>0</v>
      </c>
      <c r="S25">
        <v>1</v>
      </c>
      <c r="T25">
        <v>1</v>
      </c>
      <c r="U25">
        <v>0</v>
      </c>
      <c r="V25">
        <v>0</v>
      </c>
      <c r="W25">
        <v>0</v>
      </c>
      <c r="X25" s="5">
        <v>56</v>
      </c>
      <c r="Y25">
        <v>2</v>
      </c>
      <c r="Z25" s="4">
        <v>0</v>
      </c>
      <c r="AA25">
        <v>0</v>
      </c>
      <c r="AB25" s="5">
        <v>0</v>
      </c>
      <c r="AC25">
        <v>0</v>
      </c>
      <c r="AD25" s="5">
        <v>0</v>
      </c>
      <c r="AE25" s="5">
        <v>56</v>
      </c>
      <c r="AF25" s="5">
        <v>0</v>
      </c>
      <c r="AG25" s="5">
        <v>56</v>
      </c>
      <c r="AH25" s="5">
        <v>0</v>
      </c>
      <c r="AI25" s="5">
        <v>0</v>
      </c>
      <c r="AJ25" s="5">
        <v>0</v>
      </c>
    </row>
    <row r="26">
      <c r="A26" s="2" t="str">
        <f>HYPERLINK("https://www.avito.ru/volgograd/bytovaya_elektronika/bambu_lab_h2d_laser_40w_eu_moschnyy_lazer_3d-pechat_8071539314","8071539314")</f>
      </c>
      <c r="B26" t="s">
        <v>105</v>
      </c>
      <c r="C26" t="s">
        <v>106</v>
      </c>
      <c r="D26" t="s">
        <v>107</v>
      </c>
      <c r="E26" t="s">
        <v>39</v>
      </c>
      <c r="F26" t="s">
        <v>40</v>
      </c>
      <c r="G26" t="s">
        <v>41</v>
      </c>
      <c r="H26" s="3" t="str">
        <f>HYPERLINK("https://www.avito.ru/volgograd/bytovaya_elektronika/bambu_lab_h2d_laser_40w_eu_moschnyy_lazer_3d-pechat_8071539314","Bambu Lab H2D Laser 40W EU — мощный лазер + 3D-печать")</f>
      </c>
      <c r="I26" t="s">
        <v>108</v>
      </c>
      <c r="J26" t="s">
        <v>89</v>
      </c>
      <c r="K26" t="s">
        <v>84</v>
      </c>
      <c r="L26">
        <v>28</v>
      </c>
      <c r="M26">
        <v>213</v>
      </c>
      <c r="N26" s="4">
        <v>0.0375</v>
      </c>
      <c r="O26">
        <v>8</v>
      </c>
      <c r="P26" s="5">
        <v>7</v>
      </c>
      <c r="Q26" s="4">
        <v>0.125</v>
      </c>
      <c r="R26">
        <v>0</v>
      </c>
      <c r="S26">
        <v>1</v>
      </c>
      <c r="T26">
        <v>1</v>
      </c>
      <c r="U26">
        <v>0</v>
      </c>
      <c r="V26">
        <v>0</v>
      </c>
      <c r="W26">
        <v>0</v>
      </c>
      <c r="X26" s="5">
        <v>56</v>
      </c>
      <c r="Y26">
        <v>0</v>
      </c>
      <c r="Z26" s="4">
        <v>0</v>
      </c>
      <c r="AA26">
        <v>0</v>
      </c>
      <c r="AB26" s="5">
        <v>0</v>
      </c>
      <c r="AC26">
        <v>0</v>
      </c>
      <c r="AD26" s="5">
        <v>0</v>
      </c>
      <c r="AE26" s="5">
        <v>56</v>
      </c>
      <c r="AF26" s="5">
        <v>0</v>
      </c>
      <c r="AG26" s="5">
        <v>56</v>
      </c>
      <c r="AH26" s="5">
        <v>0</v>
      </c>
      <c r="AI26" s="5">
        <v>0</v>
      </c>
      <c r="AJ26" s="5">
        <v>0</v>
      </c>
    </row>
    <row r="27">
      <c r="A27" s="2" t="str">
        <f>HYPERLINK("https://www.avito.ru/moskva/bytovaya_elektronika/bambu_lab_h2d_laser_40w_eu_moschnyy_lazer_3d-pechat_8071540574","8071540574")</f>
      </c>
      <c r="B27" t="s">
        <v>36</v>
      </c>
      <c r="C27" t="s">
        <v>37</v>
      </c>
      <c r="D27" t="s">
        <v>38</v>
      </c>
      <c r="E27" t="s">
        <v>39</v>
      </c>
      <c r="F27" t="s">
        <v>40</v>
      </c>
      <c r="G27" t="s">
        <v>41</v>
      </c>
      <c r="H27" s="3" t="str">
        <f>HYPERLINK("https://www.avito.ru/moskva/bytovaya_elektronika/bambu_lab_h2d_laser_40w_eu_moschnyy_lazer_3d-pechat_8071540574","Bambu Lab H2D Laser 40W EU — мощный лазер + 3D-печать")</f>
      </c>
      <c r="I27" t="s">
        <v>109</v>
      </c>
      <c r="J27" t="s">
        <v>43</v>
      </c>
      <c r="K27" t="s">
        <v>44</v>
      </c>
      <c r="L27">
        <v>35</v>
      </c>
      <c r="M27">
        <v>201</v>
      </c>
      <c r="N27" s="4">
        <v>0.2238</v>
      </c>
      <c r="O27">
        <v>45</v>
      </c>
      <c r="P27" s="5">
        <v>1.88</v>
      </c>
      <c r="Q27" s="4">
        <v>0.0222</v>
      </c>
      <c r="R27">
        <v>0</v>
      </c>
      <c r="S27">
        <v>1</v>
      </c>
      <c r="T27">
        <v>1</v>
      </c>
      <c r="U27">
        <v>0</v>
      </c>
      <c r="V27">
        <v>0</v>
      </c>
      <c r="W27">
        <v>0</v>
      </c>
      <c r="X27" s="5">
        <v>85</v>
      </c>
      <c r="Y27">
        <v>5</v>
      </c>
      <c r="Z27" s="4">
        <v>0</v>
      </c>
      <c r="AA27">
        <v>0</v>
      </c>
      <c r="AB27" s="5">
        <v>0</v>
      </c>
      <c r="AC27">
        <v>0</v>
      </c>
      <c r="AD27" s="5">
        <v>0</v>
      </c>
      <c r="AE27" s="5">
        <v>85</v>
      </c>
      <c r="AF27" s="5">
        <v>0</v>
      </c>
      <c r="AG27" s="5">
        <v>85</v>
      </c>
      <c r="AH27" s="5">
        <v>0</v>
      </c>
      <c r="AI27" s="5">
        <v>0</v>
      </c>
      <c r="AJ27" s="5">
        <v>0</v>
      </c>
    </row>
    <row r="28">
      <c r="A28" s="2" t="str">
        <f>HYPERLINK("https://www.avito.ru/sankt-peterburg/bytovaya_elektronika/bambu_lab_h2d_eu_slozhnye_prototipy_s_podderzhkami_8071561616","8071561616")</f>
      </c>
      <c r="B28" t="s">
        <v>36</v>
      </c>
      <c r="C28" t="s">
        <v>90</v>
      </c>
      <c r="D28" t="s">
        <v>91</v>
      </c>
      <c r="E28" t="s">
        <v>39</v>
      </c>
      <c r="F28" t="s">
        <v>40</v>
      </c>
      <c r="G28" t="s">
        <v>41</v>
      </c>
      <c r="H28" s="3" t="str">
        <f>HYPERLINK("https://www.avito.ru/sankt-peterburg/bytovaya_elektronika/bambu_lab_h2d_eu_slozhnye_prototipy_s_podderzhkami_8071561616","Bambu Lab H2D EU — сложные прототипы с поддержками")</f>
      </c>
      <c r="I28" t="s">
        <v>67</v>
      </c>
      <c r="J28" t="s">
        <v>55</v>
      </c>
      <c r="K28" t="s">
        <v>56</v>
      </c>
      <c r="L28">
        <v>30</v>
      </c>
      <c r="M28">
        <v>251</v>
      </c>
      <c r="N28" s="4">
        <v>0.1713</v>
      </c>
      <c r="O28">
        <v>43</v>
      </c>
      <c r="P28" s="5">
        <v>1.3</v>
      </c>
      <c r="Q28" s="4">
        <v>0.0232</v>
      </c>
      <c r="R28">
        <v>0</v>
      </c>
      <c r="S28">
        <v>1</v>
      </c>
      <c r="T28">
        <v>1</v>
      </c>
      <c r="U28">
        <v>0</v>
      </c>
      <c r="V28">
        <v>0</v>
      </c>
      <c r="W28">
        <v>0</v>
      </c>
      <c r="X28" s="5">
        <v>56</v>
      </c>
      <c r="Y28">
        <v>3</v>
      </c>
      <c r="Z28" s="4">
        <v>0</v>
      </c>
      <c r="AA28">
        <v>0</v>
      </c>
      <c r="AB28" s="5">
        <v>0</v>
      </c>
      <c r="AC28">
        <v>0</v>
      </c>
      <c r="AD28" s="5">
        <v>0</v>
      </c>
      <c r="AE28" s="5">
        <v>56</v>
      </c>
      <c r="AF28" s="5">
        <v>0</v>
      </c>
      <c r="AG28" s="5">
        <v>56</v>
      </c>
      <c r="AH28" s="5">
        <v>0</v>
      </c>
      <c r="AI28" s="5">
        <v>0</v>
      </c>
      <c r="AJ28" s="5">
        <v>0</v>
      </c>
    </row>
    <row r="29">
      <c r="A29" s="2" t="str">
        <f>HYPERLINK("https://www.avito.ru/sankt-peterburg/bytovaya_elektronika/3d_printer_h2c_combo_cn_polnyy_funktsional_ekonomiya_8071618134","8071618134")</f>
      </c>
      <c r="B29" t="s">
        <v>36</v>
      </c>
      <c r="C29" t="s">
        <v>90</v>
      </c>
      <c r="D29" t="s">
        <v>110</v>
      </c>
      <c r="E29" t="s">
        <v>39</v>
      </c>
      <c r="F29" t="s">
        <v>40</v>
      </c>
      <c r="G29" t="s">
        <v>41</v>
      </c>
      <c r="H29" s="3" t="str">
        <f>HYPERLINK("https://www.avito.ru/sankt-peterburg/bytovaya_elektronika/3d_printer_h2c_combo_cn_polnyy_funktsional_ekonomiya_8071618134","3D принтер H2C Combo CN — полный функционал, экономия")</f>
      </c>
      <c r="I29" t="s">
        <v>111</v>
      </c>
      <c r="J29" t="s">
        <v>55</v>
      </c>
      <c r="K29" t="s">
        <v>56</v>
      </c>
      <c r="L29">
        <v>30</v>
      </c>
      <c r="M29">
        <v>236</v>
      </c>
      <c r="N29" s="4">
        <v>0.1355</v>
      </c>
      <c r="O29">
        <v>32</v>
      </c>
      <c r="P29" s="5">
        <v>1.75</v>
      </c>
      <c r="Q29" s="4">
        <v>0.0312</v>
      </c>
      <c r="R29">
        <v>0</v>
      </c>
      <c r="S29">
        <v>1</v>
      </c>
      <c r="T29">
        <v>1</v>
      </c>
      <c r="U29">
        <v>0</v>
      </c>
      <c r="V29">
        <v>0</v>
      </c>
      <c r="W29">
        <v>0</v>
      </c>
      <c r="X29" s="5">
        <v>56</v>
      </c>
      <c r="Y29">
        <v>1</v>
      </c>
      <c r="Z29" s="4">
        <v>0</v>
      </c>
      <c r="AA29">
        <v>0</v>
      </c>
      <c r="AB29" s="5">
        <v>0</v>
      </c>
      <c r="AC29">
        <v>0</v>
      </c>
      <c r="AD29" s="5">
        <v>0</v>
      </c>
      <c r="AE29" s="5">
        <v>56</v>
      </c>
      <c r="AF29" s="5">
        <v>0</v>
      </c>
      <c r="AG29" s="5">
        <v>56</v>
      </c>
      <c r="AH29" s="5">
        <v>0</v>
      </c>
      <c r="AI29" s="5">
        <v>0</v>
      </c>
      <c r="AJ29" s="5">
        <v>0</v>
      </c>
    </row>
    <row r="30">
      <c r="A30" s="2" t="str">
        <f>HYPERLINK("https://www.avito.ru/belgorod/bytovaya_elektronika/bambu_h2s_eu_ams_2_pro_prototipy_i_proizvodstvo_8071631692","8071631692")</f>
      </c>
      <c r="B30" t="s">
        <v>112</v>
      </c>
      <c r="C30" t="s">
        <v>113</v>
      </c>
      <c r="D30" t="s">
        <v>114</v>
      </c>
      <c r="E30" t="s">
        <v>39</v>
      </c>
      <c r="F30" t="s">
        <v>40</v>
      </c>
      <c r="G30" t="s">
        <v>41</v>
      </c>
      <c r="H30" s="3" t="str">
        <f>HYPERLINK("https://www.avito.ru/belgorod/bytovaya_elektronika/bambu_h2s_eu_ams_2_pro_prototipy_i_proizvodstvo_8071631692","Bambu H2S EU AMS 2 Pro — прототипы и производство")</f>
      </c>
      <c r="I30" t="s">
        <v>69</v>
      </c>
      <c r="J30" t="s">
        <v>78</v>
      </c>
      <c r="K30" t="s">
        <v>79</v>
      </c>
      <c r="L30">
        <v>29</v>
      </c>
      <c r="M30">
        <v>143</v>
      </c>
      <c r="N30" s="4">
        <v>0.0699</v>
      </c>
      <c r="O30">
        <v>10</v>
      </c>
      <c r="P30" s="5">
        <v>5.6</v>
      </c>
      <c r="Q30" s="4">
        <v>0.1</v>
      </c>
      <c r="R30">
        <v>0</v>
      </c>
      <c r="S30">
        <v>1</v>
      </c>
      <c r="T30">
        <v>1</v>
      </c>
      <c r="U30">
        <v>0</v>
      </c>
      <c r="V30">
        <v>0</v>
      </c>
      <c r="W30">
        <v>0</v>
      </c>
      <c r="X30" s="5">
        <v>56</v>
      </c>
      <c r="Y30">
        <v>2</v>
      </c>
      <c r="Z30" s="4">
        <v>0</v>
      </c>
      <c r="AA30">
        <v>0</v>
      </c>
      <c r="AB30" s="5">
        <v>0</v>
      </c>
      <c r="AC30">
        <v>0</v>
      </c>
      <c r="AD30" s="5">
        <v>0</v>
      </c>
      <c r="AE30" s="5">
        <v>56</v>
      </c>
      <c r="AF30" s="5">
        <v>0</v>
      </c>
      <c r="AG30" s="5">
        <v>56</v>
      </c>
      <c r="AH30" s="5">
        <v>0</v>
      </c>
      <c r="AI30" s="5">
        <v>0</v>
      </c>
      <c r="AJ30" s="5">
        <v>0</v>
      </c>
    </row>
    <row r="31">
      <c r="A31">
        <v>8071829812</v>
      </c>
      <c r="B31" t="s">
        <v>36</v>
      </c>
      <c r="C31" t="s">
        <v>90</v>
      </c>
      <c r="D31" t="s">
        <v>115</v>
      </c>
      <c r="E31" t="s">
        <v>39</v>
      </c>
      <c r="F31" t="s">
        <v>40</v>
      </c>
      <c r="G31" t="s">
        <v>41</v>
      </c>
      <c r="H31" t="s">
        <v>53</v>
      </c>
      <c r="I31" t="s">
        <v>54</v>
      </c>
      <c r="J31" t="s">
        <v>43</v>
      </c>
      <c r="K31" t="s">
        <v>116</v>
      </c>
      <c r="L31">
        <v>35</v>
      </c>
      <c r="M31">
        <v>106</v>
      </c>
      <c r="N31" s="4">
        <v>0.1981</v>
      </c>
      <c r="O31">
        <v>21</v>
      </c>
      <c r="P31" s="5">
        <v>2.66</v>
      </c>
      <c r="Q31" s="4">
        <v>0.0476</v>
      </c>
      <c r="R31">
        <v>0</v>
      </c>
      <c r="S31">
        <v>1</v>
      </c>
      <c r="T31">
        <v>1</v>
      </c>
      <c r="U31">
        <v>0</v>
      </c>
      <c r="V31">
        <v>0</v>
      </c>
      <c r="W31">
        <v>0</v>
      </c>
      <c r="X31" s="5">
        <v>56</v>
      </c>
      <c r="Y31">
        <v>1</v>
      </c>
      <c r="Z31" s="4">
        <v>0</v>
      </c>
      <c r="AA31">
        <v>0</v>
      </c>
      <c r="AB31" s="5">
        <v>0</v>
      </c>
      <c r="AC31">
        <v>0</v>
      </c>
      <c r="AD31" s="5">
        <v>0</v>
      </c>
      <c r="AE31" s="5">
        <v>56</v>
      </c>
      <c r="AF31" s="5">
        <v>0</v>
      </c>
      <c r="AG31" s="5">
        <v>56</v>
      </c>
      <c r="AH31" s="5">
        <v>0</v>
      </c>
      <c r="AI31" s="5">
        <v>0</v>
      </c>
      <c r="AJ31" s="5">
        <v>0</v>
      </c>
    </row>
    <row r="32">
      <c r="A32" s="2" t="str">
        <f>HYPERLINK("https://www.avito.ru/moskva/bytovaya_elektronika/3d-printer_bambu_lab_h2d_eu_combo_ams_7879399282","7879399282")</f>
      </c>
      <c r="B32" t="s">
        <v>36</v>
      </c>
      <c r="C32" t="s">
        <v>37</v>
      </c>
      <c r="D32" t="s">
        <v>45</v>
      </c>
      <c r="E32" t="s">
        <v>39</v>
      </c>
      <c r="F32" t="s">
        <v>40</v>
      </c>
      <c r="G32" t="s">
        <v>41</v>
      </c>
      <c r="H32" s="3" t="str">
        <f>HYPERLINK("https://www.avito.ru/moskva/bytovaya_elektronika/3d-printer_bambu_lab_h2d_eu_combo_ams_7879399282","3D-принтер Bambu Lab H2D EU Combo (AMS)")</f>
      </c>
      <c r="I32" t="s">
        <v>117</v>
      </c>
      <c r="J32" t="s">
        <v>47</v>
      </c>
      <c r="K32" t="s">
        <v>118</v>
      </c>
      <c r="L32">
        <v>128</v>
      </c>
      <c r="M32">
        <v>3</v>
      </c>
      <c r="N32" s="4">
        <v>0</v>
      </c>
      <c r="O32">
        <v>0</v>
      </c>
      <c r="P32" s="5" t="s">
        <v>54</v>
      </c>
      <c r="Q32" s="4" t="s">
        <v>54</v>
      </c>
      <c r="R32">
        <v>0</v>
      </c>
      <c r="S32">
        <v>0</v>
      </c>
      <c r="T32">
        <v>0</v>
      </c>
      <c r="U32">
        <v>0</v>
      </c>
      <c r="V32">
        <v>0</v>
      </c>
      <c r="W32">
        <v>0</v>
      </c>
      <c r="X32" s="5" t="s">
        <v>54</v>
      </c>
      <c r="Y32">
        <v>0</v>
      </c>
      <c r="Z32" s="4" t="s">
        <v>54</v>
      </c>
      <c r="AA32">
        <v>0</v>
      </c>
      <c r="AB32" s="5">
        <v>0</v>
      </c>
      <c r="AC32">
        <v>0</v>
      </c>
      <c r="AD32" s="5">
        <v>0</v>
      </c>
      <c r="AE32" s="5">
        <v>0</v>
      </c>
      <c r="AF32" s="5">
        <v>0</v>
      </c>
      <c r="AG32" s="5">
        <v>0</v>
      </c>
      <c r="AH32" s="5">
        <v>0</v>
      </c>
      <c r="AI32" s="5">
        <v>0</v>
      </c>
      <c r="AJ32" s="5">
        <v>0</v>
      </c>
    </row>
    <row r="33">
      <c r="A33" s="2" t="str">
        <f>HYPERLINK("https://www.avito.ru/moskva/bytovaya_elektronika/3d-printer_bambu_lab_p2s_combo_ams_7879812293","7879812293")</f>
      </c>
      <c r="B33" t="s">
        <v>36</v>
      </c>
      <c r="C33" t="s">
        <v>37</v>
      </c>
      <c r="D33" t="s">
        <v>37</v>
      </c>
      <c r="E33" t="s">
        <v>39</v>
      </c>
      <c r="F33" t="s">
        <v>40</v>
      </c>
      <c r="G33" t="s">
        <v>41</v>
      </c>
      <c r="H33" s="3" t="str">
        <f>HYPERLINK("https://www.avito.ru/moskva/bytovaya_elektronika/3d-printer_bambu_lab_p2s_combo_ams_7879812293","3D-принтер Bambu Lab P2S Combo (AMS)")</f>
      </c>
      <c r="I33" t="s">
        <v>119</v>
      </c>
      <c r="J33" t="s">
        <v>47</v>
      </c>
      <c r="K33" t="s">
        <v>48</v>
      </c>
      <c r="L33">
        <v>128</v>
      </c>
      <c r="M33">
        <v>36</v>
      </c>
      <c r="N33" s="4">
        <v>0.1388</v>
      </c>
      <c r="O33">
        <v>5</v>
      </c>
      <c r="P33" s="5">
        <v>12.32</v>
      </c>
      <c r="Q33" s="4">
        <v>0</v>
      </c>
      <c r="R33">
        <v>0</v>
      </c>
      <c r="S33">
        <v>0</v>
      </c>
      <c r="T33">
        <v>0</v>
      </c>
      <c r="U33">
        <v>0</v>
      </c>
      <c r="V33">
        <v>0</v>
      </c>
      <c r="W33">
        <v>0</v>
      </c>
      <c r="X33" s="5" t="s">
        <v>54</v>
      </c>
      <c r="Y33">
        <v>0</v>
      </c>
      <c r="Z33" s="4">
        <v>0</v>
      </c>
      <c r="AA33">
        <v>0</v>
      </c>
      <c r="AB33" s="5">
        <v>0</v>
      </c>
      <c r="AC33">
        <v>0</v>
      </c>
      <c r="AD33" s="5">
        <v>0</v>
      </c>
      <c r="AE33" s="5">
        <v>61.6</v>
      </c>
      <c r="AF33" s="5">
        <v>0</v>
      </c>
      <c r="AG33" s="5">
        <v>61.6</v>
      </c>
      <c r="AH33" s="5">
        <v>0</v>
      </c>
      <c r="AI33" s="5">
        <v>0</v>
      </c>
      <c r="AJ33" s="5">
        <v>0</v>
      </c>
    </row>
    <row r="34">
      <c r="A34" s="2" t="str">
        <f>HYPERLINK("https://www.avito.ru/moskva/bytovaya_elektronika/tsvetnoy_3d-printer_snapmaker_u1_7879904280","7879904280")</f>
      </c>
      <c r="B34" t="s">
        <v>36</v>
      </c>
      <c r="C34" t="s">
        <v>37</v>
      </c>
      <c r="D34" t="s">
        <v>37</v>
      </c>
      <c r="E34" t="s">
        <v>39</v>
      </c>
      <c r="F34" t="s">
        <v>40</v>
      </c>
      <c r="G34" t="s">
        <v>41</v>
      </c>
      <c r="H34" s="3" t="str">
        <f>HYPERLINK("https://www.avito.ru/moskva/bytovaya_elektronika/tsvetnoy_3d-printer_snapmaker_u1_7879904280","Цветной 3D-принтер Snapmaker U1")</f>
      </c>
      <c r="I34" t="s">
        <v>120</v>
      </c>
      <c r="J34" t="s">
        <v>121</v>
      </c>
      <c r="K34" t="s">
        <v>48</v>
      </c>
      <c r="L34">
        <v>127</v>
      </c>
      <c r="M34">
        <v>106</v>
      </c>
      <c r="N34" s="4">
        <v>0.0754</v>
      </c>
      <c r="O34">
        <v>8</v>
      </c>
      <c r="P34" s="5">
        <v>7.7</v>
      </c>
      <c r="Q34" s="4">
        <v>0</v>
      </c>
      <c r="R34">
        <v>0</v>
      </c>
      <c r="S34">
        <v>0</v>
      </c>
      <c r="T34">
        <v>0</v>
      </c>
      <c r="U34">
        <v>0</v>
      </c>
      <c r="V34">
        <v>0</v>
      </c>
      <c r="W34">
        <v>0</v>
      </c>
      <c r="X34" s="5" t="s">
        <v>54</v>
      </c>
      <c r="Y34">
        <v>0</v>
      </c>
      <c r="Z34" s="4">
        <v>0</v>
      </c>
      <c r="AA34">
        <v>0</v>
      </c>
      <c r="AB34" s="5">
        <v>0</v>
      </c>
      <c r="AC34">
        <v>0</v>
      </c>
      <c r="AD34" s="5">
        <v>0</v>
      </c>
      <c r="AE34" s="5">
        <v>61.6</v>
      </c>
      <c r="AF34" s="5">
        <v>0</v>
      </c>
      <c r="AG34" s="5">
        <v>61.6</v>
      </c>
      <c r="AH34" s="5">
        <v>0</v>
      </c>
      <c r="AI34" s="5">
        <v>0</v>
      </c>
      <c r="AJ34" s="5">
        <v>0</v>
      </c>
    </row>
    <row r="35">
      <c r="A35" s="2" t="str">
        <f>HYPERLINK("https://www.avito.ru/novosibirsk/bytovaya_elektronika/bambu_lab_h2d_10w_laser_cn_gravirovka_i_3d-pechat_8070898559","8070898559")</f>
      </c>
      <c r="B35" t="s">
        <v>122</v>
      </c>
      <c r="C35" t="s">
        <v>123</v>
      </c>
      <c r="D35" t="s">
        <v>124</v>
      </c>
      <c r="E35" t="s">
        <v>39</v>
      </c>
      <c r="F35" t="s">
        <v>40</v>
      </c>
      <c r="G35" t="s">
        <v>41</v>
      </c>
      <c r="H35" s="3" t="str">
        <f>HYPERLINK("https://www.avito.ru/novosibirsk/bytovaya_elektronika/bambu_lab_h2d_10w_laser_cn_gravirovka_i_3d-pechat_8070898559","Bambu Lab H2D 10W Laser CN — гравировка и 3D-печать")</f>
      </c>
      <c r="I35" t="s">
        <v>125</v>
      </c>
      <c r="J35" t="s">
        <v>89</v>
      </c>
      <c r="K35" t="s">
        <v>84</v>
      </c>
      <c r="L35">
        <v>28</v>
      </c>
      <c r="M35">
        <v>82</v>
      </c>
      <c r="N35" s="4">
        <v>0.0609</v>
      </c>
      <c r="O35">
        <v>5</v>
      </c>
      <c r="P35" s="5">
        <v>11.2</v>
      </c>
      <c r="Q35" s="4">
        <v>0</v>
      </c>
      <c r="R35">
        <v>0</v>
      </c>
      <c r="S35">
        <v>0</v>
      </c>
      <c r="T35">
        <v>0</v>
      </c>
      <c r="U35">
        <v>0</v>
      </c>
      <c r="V35">
        <v>0</v>
      </c>
      <c r="W35">
        <v>0</v>
      </c>
      <c r="X35" s="5" t="s">
        <v>54</v>
      </c>
      <c r="Y35">
        <v>0</v>
      </c>
      <c r="Z35" s="4">
        <v>0</v>
      </c>
      <c r="AA35">
        <v>0</v>
      </c>
      <c r="AB35" s="5">
        <v>0</v>
      </c>
      <c r="AC35">
        <v>0</v>
      </c>
      <c r="AD35" s="5">
        <v>0</v>
      </c>
      <c r="AE35" s="5">
        <v>56</v>
      </c>
      <c r="AF35" s="5">
        <v>0</v>
      </c>
      <c r="AG35" s="5">
        <v>56</v>
      </c>
      <c r="AH35" s="5">
        <v>0</v>
      </c>
      <c r="AI35" s="5">
        <v>0</v>
      </c>
      <c r="AJ35" s="5">
        <v>0</v>
      </c>
    </row>
    <row r="36">
      <c r="A36" s="2" t="str">
        <f>HYPERLINK("https://www.avito.ru/perm/bytovaya_elektronika/3d_printer_h2d_laser_10w_eu_ams_2_pro_gravirovka_8070900572","8070900572")</f>
      </c>
      <c r="B36" t="s">
        <v>126</v>
      </c>
      <c r="C36" t="s">
        <v>127</v>
      </c>
      <c r="D36" t="s">
        <v>128</v>
      </c>
      <c r="E36" t="s">
        <v>39</v>
      </c>
      <c r="F36" t="s">
        <v>40</v>
      </c>
      <c r="G36" t="s">
        <v>41</v>
      </c>
      <c r="H36" s="3" t="str">
        <f>HYPERLINK("https://www.avito.ru/perm/bytovaya_elektronika/3d_printer_h2d_laser_10w_eu_ams_2_pro_gravirovka_8070900572","3D принтер H2D Laser 10W EU — AMS 2 Pro, гравировка")</f>
      </c>
      <c r="I36" t="s">
        <v>129</v>
      </c>
      <c r="J36" t="s">
        <v>89</v>
      </c>
      <c r="K36" t="s">
        <v>84</v>
      </c>
      <c r="L36">
        <v>28</v>
      </c>
      <c r="M36">
        <v>52</v>
      </c>
      <c r="N36" s="4">
        <v>0</v>
      </c>
      <c r="O36">
        <v>0</v>
      </c>
      <c r="P36" s="5" t="s">
        <v>54</v>
      </c>
      <c r="Q36" s="4" t="s">
        <v>54</v>
      </c>
      <c r="R36">
        <v>0</v>
      </c>
      <c r="S36">
        <v>0</v>
      </c>
      <c r="T36">
        <v>0</v>
      </c>
      <c r="U36">
        <v>0</v>
      </c>
      <c r="V36">
        <v>0</v>
      </c>
      <c r="W36">
        <v>0</v>
      </c>
      <c r="X36" s="5" t="s">
        <v>54</v>
      </c>
      <c r="Y36">
        <v>0</v>
      </c>
      <c r="Z36" s="4" t="s">
        <v>54</v>
      </c>
      <c r="AA36">
        <v>0</v>
      </c>
      <c r="AB36" s="5">
        <v>0</v>
      </c>
      <c r="AC36">
        <v>0</v>
      </c>
      <c r="AD36" s="5">
        <v>0</v>
      </c>
      <c r="AE36" s="5">
        <v>56</v>
      </c>
      <c r="AF36" s="5">
        <v>0</v>
      </c>
      <c r="AG36" s="5">
        <v>56</v>
      </c>
      <c r="AH36" s="5">
        <v>0</v>
      </c>
      <c r="AI36" s="5">
        <v>0</v>
      </c>
      <c r="AJ36" s="5">
        <v>0</v>
      </c>
    </row>
    <row r="37">
      <c r="A37" s="2" t="str">
        <f>HYPERLINK("https://www.avito.ru/irkutsk/bytovaya_elektronika/h2s_eu_bambu_lab_mnogotsvetnaya_pechat_sdek_2527_dney_8070901069","8070901069")</f>
      </c>
      <c r="B37" t="s">
        <v>130</v>
      </c>
      <c r="C37" t="s">
        <v>131</v>
      </c>
      <c r="D37" t="s">
        <v>132</v>
      </c>
      <c r="E37" t="s">
        <v>39</v>
      </c>
      <c r="F37" t="s">
        <v>40</v>
      </c>
      <c r="G37" t="s">
        <v>41</v>
      </c>
      <c r="H37" s="3" t="str">
        <f>HYPERLINK("https://www.avito.ru/irkutsk/bytovaya_elektronika/h2s_eu_bambu_lab_mnogotsvetnaya_pechat_sdek_2527_dney_8070901069","H2S EU Bambu Lab — многоцветная печать, сдэк 25–27 дней")</f>
      </c>
      <c r="I37" t="s">
        <v>77</v>
      </c>
      <c r="J37" t="s">
        <v>55</v>
      </c>
      <c r="K37" t="s">
        <v>56</v>
      </c>
      <c r="L37">
        <v>30</v>
      </c>
      <c r="M37">
        <v>517</v>
      </c>
      <c r="N37" s="4">
        <v>0.1257</v>
      </c>
      <c r="O37">
        <v>65</v>
      </c>
      <c r="P37" s="5">
        <v>0.86</v>
      </c>
      <c r="Q37" s="4">
        <v>0</v>
      </c>
      <c r="R37">
        <v>0</v>
      </c>
      <c r="S37">
        <v>0</v>
      </c>
      <c r="T37">
        <v>0</v>
      </c>
      <c r="U37">
        <v>0</v>
      </c>
      <c r="V37">
        <v>0</v>
      </c>
      <c r="W37">
        <v>0</v>
      </c>
      <c r="X37" s="5" t="s">
        <v>54</v>
      </c>
      <c r="Y37">
        <v>1</v>
      </c>
      <c r="Z37" s="4">
        <v>0</v>
      </c>
      <c r="AA37">
        <v>0</v>
      </c>
      <c r="AB37" s="5">
        <v>0</v>
      </c>
      <c r="AC37">
        <v>0</v>
      </c>
      <c r="AD37" s="5">
        <v>0</v>
      </c>
      <c r="AE37" s="5">
        <v>56</v>
      </c>
      <c r="AF37" s="5">
        <v>0</v>
      </c>
      <c r="AG37" s="5">
        <v>56</v>
      </c>
      <c r="AH37" s="5">
        <v>0</v>
      </c>
      <c r="AI37" s="5">
        <v>0</v>
      </c>
      <c r="AJ37" s="5">
        <v>0</v>
      </c>
    </row>
    <row r="38">
      <c r="A38" s="2" t="str">
        <f>HYPERLINK("https://www.avito.ru/yaroslavl/bytovaya_elektronika/bambu_lab_h2s_eu_600_mms_ams_2_pro_postavka_2527_dney_8070909540","8070909540")</f>
      </c>
      <c r="B38" t="s">
        <v>133</v>
      </c>
      <c r="C38" t="s">
        <v>134</v>
      </c>
      <c r="D38" t="s">
        <v>135</v>
      </c>
      <c r="E38" t="s">
        <v>39</v>
      </c>
      <c r="F38" t="s">
        <v>40</v>
      </c>
      <c r="G38" t="s">
        <v>41</v>
      </c>
      <c r="H38" s="3" t="str">
        <f>HYPERLINK("https://www.avito.ru/yaroslavl/bytovaya_elektronika/bambu_lab_h2s_eu_600_mms_ams_2_pro_postavka_2527_dney_8070909540","Bambu Lab H2S EU — 600 мм/с + AMS 2 Pro, поставка 25–27 дней")</f>
      </c>
      <c r="I38" t="s">
        <v>80</v>
      </c>
      <c r="J38" t="s">
        <v>89</v>
      </c>
      <c r="K38" t="s">
        <v>84</v>
      </c>
      <c r="L38">
        <v>28</v>
      </c>
      <c r="M38">
        <v>187</v>
      </c>
      <c r="N38" s="4">
        <v>0.0481</v>
      </c>
      <c r="O38">
        <v>9</v>
      </c>
      <c r="P38" s="5">
        <v>6.22</v>
      </c>
      <c r="Q38" s="4">
        <v>0</v>
      </c>
      <c r="R38">
        <v>0</v>
      </c>
      <c r="S38">
        <v>0</v>
      </c>
      <c r="T38">
        <v>0</v>
      </c>
      <c r="U38">
        <v>0</v>
      </c>
      <c r="V38">
        <v>0</v>
      </c>
      <c r="W38">
        <v>0</v>
      </c>
      <c r="X38" s="5" t="s">
        <v>54</v>
      </c>
      <c r="Y38">
        <v>0</v>
      </c>
      <c r="Z38" s="4">
        <v>0</v>
      </c>
      <c r="AA38">
        <v>0</v>
      </c>
      <c r="AB38" s="5">
        <v>0</v>
      </c>
      <c r="AC38">
        <v>0</v>
      </c>
      <c r="AD38" s="5">
        <v>0</v>
      </c>
      <c r="AE38" s="5">
        <v>56</v>
      </c>
      <c r="AF38" s="5">
        <v>0</v>
      </c>
      <c r="AG38" s="5">
        <v>56</v>
      </c>
      <c r="AH38" s="5">
        <v>0</v>
      </c>
      <c r="AI38" s="5">
        <v>0</v>
      </c>
      <c r="AJ38" s="5">
        <v>0</v>
      </c>
    </row>
    <row r="39">
      <c r="A39" s="2" t="str">
        <f>HYPERLINK("https://www.avito.ru/moskva/bytovaya_elektronika/3d_printer_eu_bambu_lab_h2c_combo_v_nalichii_8070919462","8070919462")</f>
      </c>
      <c r="B39" t="s">
        <v>36</v>
      </c>
      <c r="C39" t="s">
        <v>37</v>
      </c>
      <c r="D39" t="s">
        <v>52</v>
      </c>
      <c r="E39" t="s">
        <v>39</v>
      </c>
      <c r="F39" t="s">
        <v>40</v>
      </c>
      <c r="G39" t="s">
        <v>41</v>
      </c>
      <c r="H39" s="3" t="str">
        <f>HYPERLINK("https://www.avito.ru/moskva/bytovaya_elektronika/3d_printer_eu_bambu_lab_h2c_combo_v_nalichii_8070919462","3D принтер EU Bambu Lab H2C Combo — в наличии")</f>
      </c>
      <c r="I39" t="s">
        <v>61</v>
      </c>
      <c r="J39" t="s">
        <v>55</v>
      </c>
      <c r="K39" t="s">
        <v>136</v>
      </c>
      <c r="L39">
        <v>30</v>
      </c>
      <c r="M39">
        <v>123</v>
      </c>
      <c r="N39" s="4">
        <v>0.0975</v>
      </c>
      <c r="O39">
        <v>12</v>
      </c>
      <c r="P39" s="5">
        <v>7.08</v>
      </c>
      <c r="Q39" s="4">
        <v>0</v>
      </c>
      <c r="R39">
        <v>0</v>
      </c>
      <c r="S39">
        <v>0</v>
      </c>
      <c r="T39">
        <v>0</v>
      </c>
      <c r="U39">
        <v>0</v>
      </c>
      <c r="V39">
        <v>0</v>
      </c>
      <c r="W39">
        <v>0</v>
      </c>
      <c r="X39" s="5" t="s">
        <v>54</v>
      </c>
      <c r="Y39">
        <v>0</v>
      </c>
      <c r="Z39" s="4">
        <v>0</v>
      </c>
      <c r="AA39">
        <v>0</v>
      </c>
      <c r="AB39" s="5">
        <v>0</v>
      </c>
      <c r="AC39">
        <v>0</v>
      </c>
      <c r="AD39" s="5">
        <v>0</v>
      </c>
      <c r="AE39" s="5">
        <v>85</v>
      </c>
      <c r="AF39" s="5">
        <v>0</v>
      </c>
      <c r="AG39" s="5">
        <v>85</v>
      </c>
      <c r="AH39" s="5">
        <v>0</v>
      </c>
      <c r="AI39" s="5">
        <v>0</v>
      </c>
      <c r="AJ39" s="5">
        <v>0</v>
      </c>
    </row>
    <row r="40">
      <c r="A40" s="2" t="str">
        <f>HYPERLINK("https://www.avito.ru/nizhniy_novgorod/bytovaya_elektronika/bambu_lab_h2d_laser_40w_promyshlennyy_lazer_3-v-1_8070922237","8070922237")</f>
      </c>
      <c r="B40" t="s">
        <v>137</v>
      </c>
      <c r="C40" t="s">
        <v>138</v>
      </c>
      <c r="D40" t="s">
        <v>139</v>
      </c>
      <c r="E40" t="s">
        <v>39</v>
      </c>
      <c r="F40" t="s">
        <v>40</v>
      </c>
      <c r="G40" t="s">
        <v>41</v>
      </c>
      <c r="H40" s="3" t="str">
        <f>HYPERLINK("https://www.avito.ru/nizhniy_novgorod/bytovaya_elektronika/bambu_lab_h2d_laser_40w_promyshlennyy_lazer_3-v-1_8070922237","Bambu Lab H2D Laser 40W — промышленный лазер 3-в-1")</f>
      </c>
      <c r="I40" t="s">
        <v>140</v>
      </c>
      <c r="J40" t="s">
        <v>89</v>
      </c>
      <c r="K40" t="s">
        <v>84</v>
      </c>
      <c r="L40">
        <v>28</v>
      </c>
      <c r="M40">
        <v>85</v>
      </c>
      <c r="N40" s="4">
        <v>0.0117</v>
      </c>
      <c r="O40">
        <v>1</v>
      </c>
      <c r="P40" s="5">
        <v>56</v>
      </c>
      <c r="Q40" s="4">
        <v>0</v>
      </c>
      <c r="R40">
        <v>0</v>
      </c>
      <c r="S40">
        <v>0</v>
      </c>
      <c r="T40">
        <v>0</v>
      </c>
      <c r="U40">
        <v>0</v>
      </c>
      <c r="V40">
        <v>0</v>
      </c>
      <c r="W40">
        <v>0</v>
      </c>
      <c r="X40" s="5" t="s">
        <v>54</v>
      </c>
      <c r="Y40">
        <v>0</v>
      </c>
      <c r="Z40" s="4">
        <v>0</v>
      </c>
      <c r="AA40">
        <v>0</v>
      </c>
      <c r="AB40" s="5">
        <v>0</v>
      </c>
      <c r="AC40">
        <v>0</v>
      </c>
      <c r="AD40" s="5">
        <v>0</v>
      </c>
      <c r="AE40" s="5">
        <v>56</v>
      </c>
      <c r="AF40" s="5">
        <v>0</v>
      </c>
      <c r="AG40" s="5">
        <v>56</v>
      </c>
      <c r="AH40" s="5">
        <v>0</v>
      </c>
      <c r="AI40" s="5">
        <v>0</v>
      </c>
      <c r="AJ40" s="5">
        <v>0</v>
      </c>
    </row>
    <row r="41">
      <c r="A41" s="2" t="str">
        <f>HYPERLINK("https://www.avito.ru/moskva/bytovaya_elektronika/elegoo_giga_storm_bolshoy_format_8070935442","8070935442")</f>
      </c>
      <c r="B41" t="s">
        <v>36</v>
      </c>
      <c r="C41" t="s">
        <v>37</v>
      </c>
      <c r="D41" t="s">
        <v>68</v>
      </c>
      <c r="E41" t="s">
        <v>39</v>
      </c>
      <c r="F41" t="s">
        <v>40</v>
      </c>
      <c r="G41" t="s">
        <v>41</v>
      </c>
      <c r="H41" s="3" t="str">
        <f>HYPERLINK("https://www.avito.ru/moskva/bytovaya_elektronika/elegoo_giga_storm_bolshoy_format_8070935442","Elegoo Giga Storm — большой формат")</f>
      </c>
      <c r="I41" t="s">
        <v>141</v>
      </c>
      <c r="J41" t="s">
        <v>89</v>
      </c>
      <c r="K41" t="s">
        <v>84</v>
      </c>
      <c r="L41">
        <v>28</v>
      </c>
      <c r="M41">
        <v>51</v>
      </c>
      <c r="N41" s="4">
        <v>0.0392</v>
      </c>
      <c r="O41">
        <v>2</v>
      </c>
      <c r="P41" s="5">
        <v>28</v>
      </c>
      <c r="Q41" s="4">
        <v>0</v>
      </c>
      <c r="R41">
        <v>0</v>
      </c>
      <c r="S41">
        <v>0</v>
      </c>
      <c r="T41">
        <v>0</v>
      </c>
      <c r="U41">
        <v>0</v>
      </c>
      <c r="V41">
        <v>0</v>
      </c>
      <c r="W41">
        <v>0</v>
      </c>
      <c r="X41" s="5" t="s">
        <v>54</v>
      </c>
      <c r="Y41">
        <v>0</v>
      </c>
      <c r="Z41" s="4">
        <v>0</v>
      </c>
      <c r="AA41">
        <v>0</v>
      </c>
      <c r="AB41" s="5">
        <v>0</v>
      </c>
      <c r="AC41">
        <v>0</v>
      </c>
      <c r="AD41" s="5">
        <v>0</v>
      </c>
      <c r="AE41" s="5">
        <v>56</v>
      </c>
      <c r="AF41" s="5">
        <v>0</v>
      </c>
      <c r="AG41" s="5">
        <v>56</v>
      </c>
      <c r="AH41" s="5">
        <v>0</v>
      </c>
      <c r="AI41" s="5">
        <v>0</v>
      </c>
      <c r="AJ41" s="5">
        <v>0</v>
      </c>
    </row>
    <row r="42">
      <c r="A42" s="2" t="str">
        <f>HYPERLINK("https://www.avito.ru/ulyanovsk/bytovaya_elektronika/bambu_lab_h2d_combo_eu_dvoynoy_ekstruder_ams_2_pro_8070941299","8070941299")</f>
      </c>
      <c r="B42" t="s">
        <v>100</v>
      </c>
      <c r="C42" t="s">
        <v>101</v>
      </c>
      <c r="D42" t="s">
        <v>102</v>
      </c>
      <c r="E42" t="s">
        <v>39</v>
      </c>
      <c r="F42" t="s">
        <v>40</v>
      </c>
      <c r="G42" t="s">
        <v>41</v>
      </c>
      <c r="H42" s="3" t="str">
        <f>HYPERLINK("https://www.avito.ru/ulyanovsk/bytovaya_elektronika/bambu_lab_h2d_combo_eu_dvoynoy_ekstruder_ams_2_pro_8070941299","Bambu Lab H2D Combo EU — двойной экструдер + AMS 2 Pro")</f>
      </c>
      <c r="I42" t="s">
        <v>142</v>
      </c>
      <c r="J42" t="s">
        <v>78</v>
      </c>
      <c r="K42" t="s">
        <v>79</v>
      </c>
      <c r="L42">
        <v>29</v>
      </c>
      <c r="M42">
        <v>71</v>
      </c>
      <c r="N42" s="4">
        <v>0.1267</v>
      </c>
      <c r="O42">
        <v>9</v>
      </c>
      <c r="P42" s="5">
        <v>6.22</v>
      </c>
      <c r="Q42" s="4">
        <v>0</v>
      </c>
      <c r="R42">
        <v>0</v>
      </c>
      <c r="S42">
        <v>0</v>
      </c>
      <c r="T42">
        <v>0</v>
      </c>
      <c r="U42">
        <v>0</v>
      </c>
      <c r="V42">
        <v>0</v>
      </c>
      <c r="W42">
        <v>0</v>
      </c>
      <c r="X42" s="5" t="s">
        <v>54</v>
      </c>
      <c r="Y42">
        <v>1</v>
      </c>
      <c r="Z42" s="4">
        <v>0</v>
      </c>
      <c r="AA42">
        <v>0</v>
      </c>
      <c r="AB42" s="5">
        <v>0</v>
      </c>
      <c r="AC42">
        <v>0</v>
      </c>
      <c r="AD42" s="5">
        <v>0</v>
      </c>
      <c r="AE42" s="5">
        <v>56</v>
      </c>
      <c r="AF42" s="5">
        <v>0</v>
      </c>
      <c r="AG42" s="5">
        <v>56</v>
      </c>
      <c r="AH42" s="5">
        <v>0</v>
      </c>
      <c r="AI42" s="5">
        <v>0</v>
      </c>
      <c r="AJ42" s="5">
        <v>0</v>
      </c>
    </row>
    <row r="43">
      <c r="A43" s="2" t="str">
        <f>HYPERLINK("https://www.avito.ru/moskva/bytovaya_elektronika/bambu_lab_h2d_ams_2_pro_eu_dostavka_sdek_2527_dney_8070941369","8070941369")</f>
      </c>
      <c r="B43" t="s">
        <v>36</v>
      </c>
      <c r="C43" t="s">
        <v>37</v>
      </c>
      <c r="D43" t="s">
        <v>57</v>
      </c>
      <c r="E43" t="s">
        <v>39</v>
      </c>
      <c r="F43" t="s">
        <v>40</v>
      </c>
      <c r="G43" t="s">
        <v>41</v>
      </c>
      <c r="H43" s="3" t="str">
        <f>HYPERLINK("https://www.avito.ru/moskva/bytovaya_elektronika/bambu_lab_h2d_ams_2_pro_eu_dostavka_sdek_2527_dney_8070941369","Bambu Lab H2D AMS 2 Pro EU — доставка сдэк 25–27 дней")</f>
      </c>
      <c r="I43" t="s">
        <v>67</v>
      </c>
      <c r="J43" t="s">
        <v>55</v>
      </c>
      <c r="K43" t="s">
        <v>56</v>
      </c>
      <c r="L43">
        <v>30</v>
      </c>
      <c r="M43">
        <v>30</v>
      </c>
      <c r="N43" s="4">
        <v>0.1666</v>
      </c>
      <c r="O43">
        <v>5</v>
      </c>
      <c r="P43" s="5">
        <v>17</v>
      </c>
      <c r="Q43" s="4">
        <v>0</v>
      </c>
      <c r="R43">
        <v>0</v>
      </c>
      <c r="S43">
        <v>0</v>
      </c>
      <c r="T43">
        <v>0</v>
      </c>
      <c r="U43">
        <v>0</v>
      </c>
      <c r="V43">
        <v>0</v>
      </c>
      <c r="W43">
        <v>0</v>
      </c>
      <c r="X43" s="5" t="s">
        <v>54</v>
      </c>
      <c r="Y43">
        <v>0</v>
      </c>
      <c r="Z43" s="4">
        <v>0</v>
      </c>
      <c r="AA43">
        <v>0</v>
      </c>
      <c r="AB43" s="5">
        <v>0</v>
      </c>
      <c r="AC43">
        <v>0</v>
      </c>
      <c r="AD43" s="5">
        <v>0</v>
      </c>
      <c r="AE43" s="5">
        <v>85</v>
      </c>
      <c r="AF43" s="5">
        <v>0</v>
      </c>
      <c r="AG43" s="5">
        <v>85</v>
      </c>
      <c r="AH43" s="5">
        <v>0</v>
      </c>
      <c r="AI43" s="5">
        <v>0</v>
      </c>
      <c r="AJ43" s="5">
        <v>0</v>
      </c>
    </row>
    <row r="44">
      <c r="A44" s="2" t="str">
        <f>HYPERLINK("https://www.avito.ru/samara/bytovaya_elektronika/bambu_h2c_full_combo_laser_40w_promyshlennyy_lazer_8070944231","8070944231")</f>
      </c>
      <c r="B44" t="s">
        <v>143</v>
      </c>
      <c r="C44" t="s">
        <v>144</v>
      </c>
      <c r="D44" t="s">
        <v>145</v>
      </c>
      <c r="E44" t="s">
        <v>39</v>
      </c>
      <c r="F44" t="s">
        <v>40</v>
      </c>
      <c r="G44" t="s">
        <v>41</v>
      </c>
      <c r="H44" s="3" t="str">
        <f>HYPERLINK("https://www.avito.ru/samara/bytovaya_elektronika/bambu_h2c_full_combo_laser_40w_promyshlennyy_lazer_8070944231","Bambu H2C Full Combo Laser 40W — промышленный лазер")</f>
      </c>
      <c r="I44" t="s">
        <v>146</v>
      </c>
      <c r="J44" t="s">
        <v>55</v>
      </c>
      <c r="K44" t="s">
        <v>56</v>
      </c>
      <c r="L44">
        <v>30</v>
      </c>
      <c r="M44">
        <v>195</v>
      </c>
      <c r="N44" s="4">
        <v>0.1128</v>
      </c>
      <c r="O44">
        <v>22</v>
      </c>
      <c r="P44" s="5">
        <v>2.54</v>
      </c>
      <c r="Q44" s="4">
        <v>0</v>
      </c>
      <c r="R44">
        <v>0</v>
      </c>
      <c r="S44">
        <v>0</v>
      </c>
      <c r="T44">
        <v>0</v>
      </c>
      <c r="U44">
        <v>0</v>
      </c>
      <c r="V44">
        <v>0</v>
      </c>
      <c r="W44">
        <v>0</v>
      </c>
      <c r="X44" s="5" t="s">
        <v>54</v>
      </c>
      <c r="Y44">
        <v>4</v>
      </c>
      <c r="Z44" s="4">
        <v>0</v>
      </c>
      <c r="AA44">
        <v>0</v>
      </c>
      <c r="AB44" s="5">
        <v>0</v>
      </c>
      <c r="AC44">
        <v>0</v>
      </c>
      <c r="AD44" s="5">
        <v>0</v>
      </c>
      <c r="AE44" s="5">
        <v>56</v>
      </c>
      <c r="AF44" s="5">
        <v>0</v>
      </c>
      <c r="AG44" s="5">
        <v>56</v>
      </c>
      <c r="AH44" s="5">
        <v>0</v>
      </c>
      <c r="AI44" s="5">
        <v>0</v>
      </c>
      <c r="AJ44" s="5">
        <v>0</v>
      </c>
    </row>
    <row r="45">
      <c r="A45" s="2" t="str">
        <f>HYPERLINK("https://www.avito.ru/kaliningrad/bytovaya_elektronika/bambu_lab_h2d_ams_2_pro_eu_dostavka_sdek_2527_dney_8070961175","8070961175")</f>
      </c>
      <c r="B45" t="s">
        <v>147</v>
      </c>
      <c r="C45" t="s">
        <v>148</v>
      </c>
      <c r="D45" t="s">
        <v>149</v>
      </c>
      <c r="E45" t="s">
        <v>39</v>
      </c>
      <c r="F45" t="s">
        <v>40</v>
      </c>
      <c r="G45" t="s">
        <v>41</v>
      </c>
      <c r="H45" s="3" t="str">
        <f>HYPERLINK("https://www.avito.ru/kaliningrad/bytovaya_elektronika/bambu_lab_h2d_ams_2_pro_eu_dostavka_sdek_2527_dney_8070961175","Bambu Lab H2D AMS 2 Pro EU — доставка сдэк 25–27 дней")</f>
      </c>
      <c r="I45" t="s">
        <v>96</v>
      </c>
      <c r="J45" t="s">
        <v>78</v>
      </c>
      <c r="K45" t="s">
        <v>79</v>
      </c>
      <c r="L45">
        <v>29</v>
      </c>
      <c r="M45">
        <v>435</v>
      </c>
      <c r="N45" s="4">
        <v>0.062</v>
      </c>
      <c r="O45">
        <v>27</v>
      </c>
      <c r="P45" s="5">
        <v>2.07</v>
      </c>
      <c r="Q45" s="4">
        <v>0</v>
      </c>
      <c r="R45">
        <v>0</v>
      </c>
      <c r="S45">
        <v>0</v>
      </c>
      <c r="T45">
        <v>0</v>
      </c>
      <c r="U45">
        <v>0</v>
      </c>
      <c r="V45">
        <v>0</v>
      </c>
      <c r="W45">
        <v>0</v>
      </c>
      <c r="X45" s="5" t="s">
        <v>54</v>
      </c>
      <c r="Y45">
        <v>1</v>
      </c>
      <c r="Z45" s="4">
        <v>0</v>
      </c>
      <c r="AA45">
        <v>0</v>
      </c>
      <c r="AB45" s="5">
        <v>0</v>
      </c>
      <c r="AC45">
        <v>0</v>
      </c>
      <c r="AD45" s="5">
        <v>0</v>
      </c>
      <c r="AE45" s="5">
        <v>56</v>
      </c>
      <c r="AF45" s="5">
        <v>0</v>
      </c>
      <c r="AG45" s="5">
        <v>56</v>
      </c>
      <c r="AH45" s="5">
        <v>0</v>
      </c>
      <c r="AI45" s="5">
        <v>0</v>
      </c>
      <c r="AJ45" s="5">
        <v>0</v>
      </c>
    </row>
    <row r="46">
      <c r="A46" s="2" t="str">
        <f>HYPERLINK("https://www.avito.ru/habarovsk/bytovaya_elektronika/bambu_lab_h2s_eu_600_mms_ams_2_pro_postavka_2527_dney_8070962214","8070962214")</f>
      </c>
      <c r="B46" t="s">
        <v>150</v>
      </c>
      <c r="C46" t="s">
        <v>151</v>
      </c>
      <c r="D46" t="s">
        <v>152</v>
      </c>
      <c r="E46" t="s">
        <v>39</v>
      </c>
      <c r="F46" t="s">
        <v>40</v>
      </c>
      <c r="G46" t="s">
        <v>41</v>
      </c>
      <c r="H46" s="3" t="str">
        <f>HYPERLINK("https://www.avito.ru/habarovsk/bytovaya_elektronika/bambu_lab_h2s_eu_600_mms_ams_2_pro_postavka_2527_dney_8070962214","Bambu Lab H2S EU — 600 мм/с + AMS 2 Pro, поставка 25–27 дней")</f>
      </c>
      <c r="I46" t="s">
        <v>80</v>
      </c>
      <c r="J46" t="s">
        <v>78</v>
      </c>
      <c r="K46" t="s">
        <v>84</v>
      </c>
      <c r="L46">
        <v>29</v>
      </c>
      <c r="M46">
        <v>14</v>
      </c>
      <c r="N46" s="4">
        <v>0</v>
      </c>
      <c r="O46">
        <v>0</v>
      </c>
      <c r="P46" s="5" t="s">
        <v>54</v>
      </c>
      <c r="Q46" s="4" t="s">
        <v>54</v>
      </c>
      <c r="R46">
        <v>0</v>
      </c>
      <c r="S46">
        <v>0</v>
      </c>
      <c r="T46">
        <v>0</v>
      </c>
      <c r="U46">
        <v>0</v>
      </c>
      <c r="V46">
        <v>0</v>
      </c>
      <c r="W46">
        <v>0</v>
      </c>
      <c r="X46" s="5" t="s">
        <v>54</v>
      </c>
      <c r="Y46">
        <v>0</v>
      </c>
      <c r="Z46" s="4" t="s">
        <v>54</v>
      </c>
      <c r="AA46">
        <v>0</v>
      </c>
      <c r="AB46" s="5">
        <v>0</v>
      </c>
      <c r="AC46">
        <v>0</v>
      </c>
      <c r="AD46" s="5">
        <v>0</v>
      </c>
      <c r="AE46" s="5">
        <v>56</v>
      </c>
      <c r="AF46" s="5">
        <v>0</v>
      </c>
      <c r="AG46" s="5">
        <v>56</v>
      </c>
      <c r="AH46" s="5">
        <v>0</v>
      </c>
      <c r="AI46" s="5">
        <v>0</v>
      </c>
      <c r="AJ46" s="5">
        <v>0</v>
      </c>
    </row>
    <row r="47">
      <c r="A47">
        <v>8070962660</v>
      </c>
      <c r="B47" t="s">
        <v>58</v>
      </c>
      <c r="C47" t="s">
        <v>59</v>
      </c>
      <c r="D47" t="s">
        <v>153</v>
      </c>
      <c r="E47" t="s">
        <v>39</v>
      </c>
      <c r="F47" t="s">
        <v>40</v>
      </c>
      <c r="G47" t="s">
        <v>41</v>
      </c>
      <c r="H47" t="s">
        <v>53</v>
      </c>
      <c r="I47" t="s">
        <v>54</v>
      </c>
      <c r="J47" t="s">
        <v>78</v>
      </c>
      <c r="K47" t="s">
        <v>79</v>
      </c>
      <c r="L47">
        <v>29</v>
      </c>
      <c r="M47">
        <v>157</v>
      </c>
      <c r="N47" s="4">
        <v>0.0382</v>
      </c>
      <c r="O47">
        <v>6</v>
      </c>
      <c r="P47" s="5">
        <v>9.33</v>
      </c>
      <c r="Q47" s="4">
        <v>0</v>
      </c>
      <c r="R47">
        <v>0</v>
      </c>
      <c r="S47">
        <v>0</v>
      </c>
      <c r="T47">
        <v>0</v>
      </c>
      <c r="U47">
        <v>0</v>
      </c>
      <c r="V47">
        <v>0</v>
      </c>
      <c r="W47">
        <v>0</v>
      </c>
      <c r="X47" s="5" t="s">
        <v>54</v>
      </c>
      <c r="Y47">
        <v>0</v>
      </c>
      <c r="Z47" s="4">
        <v>0</v>
      </c>
      <c r="AA47">
        <v>0</v>
      </c>
      <c r="AB47" s="5">
        <v>0</v>
      </c>
      <c r="AC47">
        <v>0</v>
      </c>
      <c r="AD47" s="5">
        <v>0</v>
      </c>
      <c r="AE47" s="5">
        <v>56</v>
      </c>
      <c r="AF47" s="5">
        <v>0</v>
      </c>
      <c r="AG47" s="5">
        <v>56</v>
      </c>
      <c r="AH47" s="5">
        <v>0</v>
      </c>
      <c r="AI47" s="5">
        <v>0</v>
      </c>
      <c r="AJ47" s="5">
        <v>0</v>
      </c>
    </row>
    <row r="48">
      <c r="A48" s="2" t="str">
        <f>HYPERLINK("https://www.avito.ru/krasnodar/bytovaya_elektronika/bambu_lab_h2c_laser_40w_eu_moschnyy_lazer_3d-pechat_8070971180","8070971180")</f>
      </c>
      <c r="B48" t="s">
        <v>58</v>
      </c>
      <c r="C48" t="s">
        <v>59</v>
      </c>
      <c r="D48" t="s">
        <v>95</v>
      </c>
      <c r="E48" t="s">
        <v>39</v>
      </c>
      <c r="F48" t="s">
        <v>40</v>
      </c>
      <c r="G48" t="s">
        <v>41</v>
      </c>
      <c r="H48" s="3" t="str">
        <f>HYPERLINK("https://www.avito.ru/krasnodar/bytovaya_elektronika/bambu_lab_h2c_laser_40w_eu_moschnyy_lazer_3d-pechat_8070971180","Bambu Lab H2C Laser 40W EU — мощный лазер + 3D-печать")</f>
      </c>
      <c r="I48" t="s">
        <v>154</v>
      </c>
      <c r="J48" t="s">
        <v>55</v>
      </c>
      <c r="K48" t="s">
        <v>56</v>
      </c>
      <c r="L48">
        <v>30</v>
      </c>
      <c r="M48">
        <v>187</v>
      </c>
      <c r="N48" s="4">
        <v>0.0588</v>
      </c>
      <c r="O48">
        <v>11</v>
      </c>
      <c r="P48" s="5">
        <v>5.09</v>
      </c>
      <c r="Q48" s="4">
        <v>0</v>
      </c>
      <c r="R48">
        <v>0</v>
      </c>
      <c r="S48">
        <v>0</v>
      </c>
      <c r="T48">
        <v>0</v>
      </c>
      <c r="U48">
        <v>0</v>
      </c>
      <c r="V48">
        <v>0</v>
      </c>
      <c r="W48">
        <v>0</v>
      </c>
      <c r="X48" s="5" t="s">
        <v>54</v>
      </c>
      <c r="Y48">
        <v>2</v>
      </c>
      <c r="Z48" s="4">
        <v>0</v>
      </c>
      <c r="AA48">
        <v>0</v>
      </c>
      <c r="AB48" s="5">
        <v>0</v>
      </c>
      <c r="AC48">
        <v>0</v>
      </c>
      <c r="AD48" s="5">
        <v>0</v>
      </c>
      <c r="AE48" s="5">
        <v>56</v>
      </c>
      <c r="AF48" s="5">
        <v>0</v>
      </c>
      <c r="AG48" s="5">
        <v>56</v>
      </c>
      <c r="AH48" s="5">
        <v>0</v>
      </c>
      <c r="AI48" s="5">
        <v>0</v>
      </c>
      <c r="AJ48" s="5">
        <v>0</v>
      </c>
    </row>
    <row r="49">
      <c r="A49" s="2" t="str">
        <f>HYPERLINK("https://www.avito.ru/krasnodar/bytovaya_elektronika/elegoo_giga_storm_predzakaz_krasnodar_8070971910","8070971910")</f>
      </c>
      <c r="B49" t="s">
        <v>58</v>
      </c>
      <c r="C49" t="s">
        <v>59</v>
      </c>
      <c r="D49" t="s">
        <v>153</v>
      </c>
      <c r="E49" t="s">
        <v>39</v>
      </c>
      <c r="F49" t="s">
        <v>40</v>
      </c>
      <c r="G49" t="s">
        <v>41</v>
      </c>
      <c r="H49" s="3" t="str">
        <f>HYPERLINK("https://www.avito.ru/krasnodar/bytovaya_elektronika/elegoo_giga_storm_predzakaz_krasnodar_8070971910","Elegoo Giga Storm — предзаказ, Краснодар")</f>
      </c>
      <c r="I49" t="s">
        <v>155</v>
      </c>
      <c r="J49" t="s">
        <v>89</v>
      </c>
      <c r="K49" t="s">
        <v>84</v>
      </c>
      <c r="L49">
        <v>28</v>
      </c>
      <c r="M49">
        <v>448</v>
      </c>
      <c r="N49" s="4">
        <v>0.1383</v>
      </c>
      <c r="O49">
        <v>62</v>
      </c>
      <c r="P49" s="5">
        <v>0.9</v>
      </c>
      <c r="Q49" s="4">
        <v>0</v>
      </c>
      <c r="R49">
        <v>0</v>
      </c>
      <c r="S49">
        <v>0</v>
      </c>
      <c r="T49">
        <v>0</v>
      </c>
      <c r="U49">
        <v>0</v>
      </c>
      <c r="V49">
        <v>0</v>
      </c>
      <c r="W49">
        <v>0</v>
      </c>
      <c r="X49" s="5" t="s">
        <v>54</v>
      </c>
      <c r="Y49">
        <v>0</v>
      </c>
      <c r="Z49" s="4">
        <v>0</v>
      </c>
      <c r="AA49">
        <v>0</v>
      </c>
      <c r="AB49" s="5">
        <v>0</v>
      </c>
      <c r="AC49">
        <v>0</v>
      </c>
      <c r="AD49" s="5">
        <v>0</v>
      </c>
      <c r="AE49" s="5">
        <v>56</v>
      </c>
      <c r="AF49" s="5">
        <v>0</v>
      </c>
      <c r="AG49" s="5">
        <v>56</v>
      </c>
      <c r="AH49" s="5">
        <v>0</v>
      </c>
      <c r="AI49" s="5">
        <v>0</v>
      </c>
      <c r="AJ49" s="5">
        <v>0</v>
      </c>
    </row>
    <row r="50">
      <c r="A50" s="2" t="str">
        <f>HYPERLINK("https://www.avito.ru/krasnoyarsk/bytovaya_elektronika/bambu_lab_h2d_cn_dvoynoy_ekstruder_vygodnaya_tsena_8070977371","8070977371")</f>
      </c>
      <c r="B50" t="s">
        <v>156</v>
      </c>
      <c r="C50" t="s">
        <v>157</v>
      </c>
      <c r="D50" t="s">
        <v>158</v>
      </c>
      <c r="E50" t="s">
        <v>39</v>
      </c>
      <c r="F50" t="s">
        <v>40</v>
      </c>
      <c r="G50" t="s">
        <v>41</v>
      </c>
      <c r="H50" s="3" t="str">
        <f>HYPERLINK("https://www.avito.ru/krasnoyarsk/bytovaya_elektronika/bambu_lab_h2d_cn_dvoynoy_ekstruder_vygodnaya_tsena_8070977371","Bambu Lab H2D CN — двойной экструдер, выгодная цена")</f>
      </c>
      <c r="I50" t="s">
        <v>159</v>
      </c>
      <c r="J50" t="s">
        <v>55</v>
      </c>
      <c r="K50" t="s">
        <v>56</v>
      </c>
      <c r="L50">
        <v>30</v>
      </c>
      <c r="M50">
        <v>89</v>
      </c>
      <c r="N50" s="4">
        <v>0.1348</v>
      </c>
      <c r="O50">
        <v>12</v>
      </c>
      <c r="P50" s="5">
        <v>4.66</v>
      </c>
      <c r="Q50" s="4">
        <v>0</v>
      </c>
      <c r="R50">
        <v>0</v>
      </c>
      <c r="S50">
        <v>0</v>
      </c>
      <c r="T50">
        <v>0</v>
      </c>
      <c r="U50">
        <v>0</v>
      </c>
      <c r="V50">
        <v>0</v>
      </c>
      <c r="W50">
        <v>0</v>
      </c>
      <c r="X50" s="5" t="s">
        <v>54</v>
      </c>
      <c r="Y50">
        <v>0</v>
      </c>
      <c r="Z50" s="4">
        <v>0</v>
      </c>
      <c r="AA50">
        <v>0</v>
      </c>
      <c r="AB50" s="5">
        <v>0</v>
      </c>
      <c r="AC50">
        <v>0</v>
      </c>
      <c r="AD50" s="5">
        <v>0</v>
      </c>
      <c r="AE50" s="5">
        <v>56</v>
      </c>
      <c r="AF50" s="5">
        <v>0</v>
      </c>
      <c r="AG50" s="5">
        <v>56</v>
      </c>
      <c r="AH50" s="5">
        <v>0</v>
      </c>
      <c r="AI50" s="5">
        <v>0</v>
      </c>
      <c r="AJ50" s="5">
        <v>0</v>
      </c>
    </row>
    <row r="51">
      <c r="A51" s="2" t="str">
        <f>HYPERLINK("https://www.avito.ru/kazan/bytovaya_elektronika/elegoo_giga_storm_original_kazan_8070979989","8070979989")</f>
      </c>
      <c r="B51" t="s">
        <v>97</v>
      </c>
      <c r="C51" t="s">
        <v>98</v>
      </c>
      <c r="D51" t="s">
        <v>99</v>
      </c>
      <c r="E51" t="s">
        <v>39</v>
      </c>
      <c r="F51" t="s">
        <v>40</v>
      </c>
      <c r="G51" t="s">
        <v>41</v>
      </c>
      <c r="H51" s="3" t="str">
        <f>HYPERLINK("https://www.avito.ru/kazan/bytovaya_elektronika/elegoo_giga_storm_original_kazan_8070979989","Elegoo Giga Storm — оригинал, Казань")</f>
      </c>
      <c r="I51" t="s">
        <v>160</v>
      </c>
      <c r="J51" t="s">
        <v>89</v>
      </c>
      <c r="K51" t="s">
        <v>84</v>
      </c>
      <c r="L51">
        <v>28</v>
      </c>
      <c r="M51">
        <v>175</v>
      </c>
      <c r="N51" s="4">
        <v>0.08</v>
      </c>
      <c r="O51">
        <v>14</v>
      </c>
      <c r="P51" s="5">
        <v>4</v>
      </c>
      <c r="Q51" s="4">
        <v>0</v>
      </c>
      <c r="R51">
        <v>0</v>
      </c>
      <c r="S51">
        <v>0</v>
      </c>
      <c r="T51">
        <v>0</v>
      </c>
      <c r="U51">
        <v>0</v>
      </c>
      <c r="V51">
        <v>0</v>
      </c>
      <c r="W51">
        <v>0</v>
      </c>
      <c r="X51" s="5" t="s">
        <v>54</v>
      </c>
      <c r="Y51">
        <v>1</v>
      </c>
      <c r="Z51" s="4">
        <v>0</v>
      </c>
      <c r="AA51">
        <v>0</v>
      </c>
      <c r="AB51" s="5">
        <v>0</v>
      </c>
      <c r="AC51">
        <v>0</v>
      </c>
      <c r="AD51" s="5">
        <v>0</v>
      </c>
      <c r="AE51" s="5">
        <v>56</v>
      </c>
      <c r="AF51" s="5">
        <v>0</v>
      </c>
      <c r="AG51" s="5">
        <v>56</v>
      </c>
      <c r="AH51" s="5">
        <v>0</v>
      </c>
      <c r="AI51" s="5">
        <v>0</v>
      </c>
      <c r="AJ51" s="5">
        <v>0</v>
      </c>
    </row>
    <row r="52">
      <c r="A52" s="2" t="str">
        <f>HYPERLINK("https://www.avito.ru/kaliningrad/bytovaya_elektronika/3d_printer_h2c_combo_eu_est_v_nalichii_vortek_ams_8070980492","8070980492")</f>
      </c>
      <c r="B52" t="s">
        <v>147</v>
      </c>
      <c r="C52" t="s">
        <v>148</v>
      </c>
      <c r="D52" t="s">
        <v>149</v>
      </c>
      <c r="E52" t="s">
        <v>39</v>
      </c>
      <c r="F52" t="s">
        <v>40</v>
      </c>
      <c r="G52" t="s">
        <v>41</v>
      </c>
      <c r="H52" s="3" t="str">
        <f>HYPERLINK("https://www.avito.ru/kaliningrad/bytovaya_elektronika/3d_printer_h2c_combo_eu_est_v_nalichii_vortek_ams_8070980492","3D принтер H2C Combo EU — есть в наличии, Vortek + AMS")</f>
      </c>
      <c r="I52" t="s">
        <v>61</v>
      </c>
      <c r="J52" t="s">
        <v>78</v>
      </c>
      <c r="K52" t="s">
        <v>79</v>
      </c>
      <c r="L52">
        <v>29</v>
      </c>
      <c r="M52">
        <v>25</v>
      </c>
      <c r="N52" s="4">
        <v>0.04</v>
      </c>
      <c r="O52">
        <v>1</v>
      </c>
      <c r="P52" s="5">
        <v>56</v>
      </c>
      <c r="Q52" s="4">
        <v>0</v>
      </c>
      <c r="R52">
        <v>0</v>
      </c>
      <c r="S52">
        <v>0</v>
      </c>
      <c r="T52">
        <v>0</v>
      </c>
      <c r="U52">
        <v>0</v>
      </c>
      <c r="V52">
        <v>0</v>
      </c>
      <c r="W52">
        <v>0</v>
      </c>
      <c r="X52" s="5" t="s">
        <v>54</v>
      </c>
      <c r="Y52">
        <v>0</v>
      </c>
      <c r="Z52" s="4">
        <v>0</v>
      </c>
      <c r="AA52">
        <v>0</v>
      </c>
      <c r="AB52" s="5">
        <v>0</v>
      </c>
      <c r="AC52">
        <v>0</v>
      </c>
      <c r="AD52" s="5">
        <v>0</v>
      </c>
      <c r="AE52" s="5">
        <v>56</v>
      </c>
      <c r="AF52" s="5">
        <v>0</v>
      </c>
      <c r="AG52" s="5">
        <v>56</v>
      </c>
      <c r="AH52" s="5">
        <v>0</v>
      </c>
      <c r="AI52" s="5">
        <v>0</v>
      </c>
      <c r="AJ52" s="5">
        <v>0</v>
      </c>
    </row>
    <row r="53">
      <c r="A53" s="2" t="str">
        <f>HYPERLINK("https://www.avito.ru/irkutsk/bytovaya_elektronika/3d_printer_h2c_combo_eu_est_v_nalichii_vortek_ams_8070982508","8070982508")</f>
      </c>
      <c r="B53" t="s">
        <v>130</v>
      </c>
      <c r="C53" t="s">
        <v>131</v>
      </c>
      <c r="D53" t="s">
        <v>161</v>
      </c>
      <c r="E53" t="s">
        <v>39</v>
      </c>
      <c r="F53" t="s">
        <v>40</v>
      </c>
      <c r="G53" t="s">
        <v>41</v>
      </c>
      <c r="H53" s="3" t="str">
        <f>HYPERLINK("https://www.avito.ru/irkutsk/bytovaya_elektronika/3d_printer_h2c_combo_eu_est_v_nalichii_vortek_ams_8070982508","3D принтер H2C Combo EU — есть в наличии, Vortek + AMS")</f>
      </c>
      <c r="I53" t="s">
        <v>61</v>
      </c>
      <c r="J53" t="s">
        <v>78</v>
      </c>
      <c r="K53" t="s">
        <v>79</v>
      </c>
      <c r="L53">
        <v>29</v>
      </c>
      <c r="M53">
        <v>228</v>
      </c>
      <c r="N53" s="4">
        <v>0.0614</v>
      </c>
      <c r="O53">
        <v>14</v>
      </c>
      <c r="P53" s="5">
        <v>4</v>
      </c>
      <c r="Q53" s="4">
        <v>0</v>
      </c>
      <c r="R53">
        <v>0</v>
      </c>
      <c r="S53">
        <v>0</v>
      </c>
      <c r="T53">
        <v>0</v>
      </c>
      <c r="U53">
        <v>0</v>
      </c>
      <c r="V53">
        <v>0</v>
      </c>
      <c r="W53">
        <v>0</v>
      </c>
      <c r="X53" s="5" t="s">
        <v>54</v>
      </c>
      <c r="Y53">
        <v>0</v>
      </c>
      <c r="Z53" s="4">
        <v>0</v>
      </c>
      <c r="AA53">
        <v>0</v>
      </c>
      <c r="AB53" s="5">
        <v>0</v>
      </c>
      <c r="AC53">
        <v>0</v>
      </c>
      <c r="AD53" s="5">
        <v>0</v>
      </c>
      <c r="AE53" s="5">
        <v>56</v>
      </c>
      <c r="AF53" s="5">
        <v>0</v>
      </c>
      <c r="AG53" s="5">
        <v>56</v>
      </c>
      <c r="AH53" s="5">
        <v>0</v>
      </c>
      <c r="AI53" s="5">
        <v>0</v>
      </c>
      <c r="AJ53" s="5">
        <v>0</v>
      </c>
    </row>
    <row r="54">
      <c r="A54" s="2" t="str">
        <f>HYPERLINK("https://www.avito.ru/krasnodar/bytovaya_elektronika/bambu_lab_h2c_laser_40w_eu_vortek_ams_2_pro_40_vt_8070988262","8070988262")</f>
      </c>
      <c r="B54" t="s">
        <v>58</v>
      </c>
      <c r="C54" t="s">
        <v>59</v>
      </c>
      <c r="D54" t="s">
        <v>66</v>
      </c>
      <c r="E54" t="s">
        <v>39</v>
      </c>
      <c r="F54" t="s">
        <v>40</v>
      </c>
      <c r="G54" t="s">
        <v>41</v>
      </c>
      <c r="H54" s="3" t="str">
        <f>HYPERLINK("https://www.avito.ru/krasnodar/bytovaya_elektronika/bambu_lab_h2c_laser_40w_eu_vortek_ams_2_pro_40_vt_8070988262","Bambu Lab H2C Laser 40W EU — Vortek + AMS 2 Pro + 40 Вт")</f>
      </c>
      <c r="I54" t="s">
        <v>154</v>
      </c>
      <c r="J54" t="s">
        <v>55</v>
      </c>
      <c r="K54" t="s">
        <v>56</v>
      </c>
      <c r="L54">
        <v>30</v>
      </c>
      <c r="M54">
        <v>158</v>
      </c>
      <c r="N54" s="4">
        <v>0.1139</v>
      </c>
      <c r="O54">
        <v>18</v>
      </c>
      <c r="P54" s="5">
        <v>3.11</v>
      </c>
      <c r="Q54" s="4">
        <v>0</v>
      </c>
      <c r="R54">
        <v>0</v>
      </c>
      <c r="S54">
        <v>0</v>
      </c>
      <c r="T54">
        <v>0</v>
      </c>
      <c r="U54">
        <v>0</v>
      </c>
      <c r="V54">
        <v>0</v>
      </c>
      <c r="W54">
        <v>0</v>
      </c>
      <c r="X54" s="5" t="s">
        <v>54</v>
      </c>
      <c r="Y54">
        <v>0</v>
      </c>
      <c r="Z54" s="4">
        <v>0</v>
      </c>
      <c r="AA54">
        <v>0</v>
      </c>
      <c r="AB54" s="5">
        <v>0</v>
      </c>
      <c r="AC54">
        <v>0</v>
      </c>
      <c r="AD54" s="5">
        <v>0</v>
      </c>
      <c r="AE54" s="5">
        <v>56</v>
      </c>
      <c r="AF54" s="5">
        <v>0</v>
      </c>
      <c r="AG54" s="5">
        <v>56</v>
      </c>
      <c r="AH54" s="5">
        <v>0</v>
      </c>
      <c r="AI54" s="5">
        <v>0</v>
      </c>
      <c r="AJ54" s="5">
        <v>0</v>
      </c>
    </row>
    <row r="55">
      <c r="A55" s="2" t="str">
        <f>HYPERLINK("https://www.avito.ru/ufa/bytovaya_elektronika/bambu_lab_h2s_eu_600_mms_ams_2_pro_postavka_2527_dney_8070990133","8070990133")</f>
      </c>
      <c r="B55" t="s">
        <v>162</v>
      </c>
      <c r="C55" t="s">
        <v>163</v>
      </c>
      <c r="D55" t="s">
        <v>164</v>
      </c>
      <c r="E55" t="s">
        <v>39</v>
      </c>
      <c r="F55" t="s">
        <v>40</v>
      </c>
      <c r="G55" t="s">
        <v>41</v>
      </c>
      <c r="H55" s="3" t="str">
        <f>HYPERLINK("https://www.avito.ru/ufa/bytovaya_elektronika/bambu_lab_h2s_eu_600_mms_ams_2_pro_postavka_2527_dney_8070990133","Bambu Lab H2S EU — 600 мм/с + AMS 2 Pro, поставка 25–27 дней")</f>
      </c>
      <c r="I55" t="s">
        <v>80</v>
      </c>
      <c r="J55" t="s">
        <v>78</v>
      </c>
      <c r="K55" t="s">
        <v>84</v>
      </c>
      <c r="L55">
        <v>29</v>
      </c>
      <c r="M55">
        <v>1</v>
      </c>
      <c r="N55" s="4">
        <v>1</v>
      </c>
      <c r="O55">
        <v>1</v>
      </c>
      <c r="P55" s="5">
        <v>56</v>
      </c>
      <c r="Q55" s="4">
        <v>0</v>
      </c>
      <c r="R55">
        <v>0</v>
      </c>
      <c r="S55">
        <v>0</v>
      </c>
      <c r="T55">
        <v>0</v>
      </c>
      <c r="U55">
        <v>0</v>
      </c>
      <c r="V55">
        <v>0</v>
      </c>
      <c r="W55">
        <v>0</v>
      </c>
      <c r="X55" s="5" t="s">
        <v>54</v>
      </c>
      <c r="Y55">
        <v>0</v>
      </c>
      <c r="Z55" s="4">
        <v>0</v>
      </c>
      <c r="AA55">
        <v>0</v>
      </c>
      <c r="AB55" s="5">
        <v>0</v>
      </c>
      <c r="AC55">
        <v>0</v>
      </c>
      <c r="AD55" s="5">
        <v>0</v>
      </c>
      <c r="AE55" s="5">
        <v>56</v>
      </c>
      <c r="AF55" s="5">
        <v>0</v>
      </c>
      <c r="AG55" s="5">
        <v>56</v>
      </c>
      <c r="AH55" s="5">
        <v>0</v>
      </c>
      <c r="AI55" s="5">
        <v>0</v>
      </c>
      <c r="AJ55" s="5">
        <v>0</v>
      </c>
    </row>
    <row r="56">
      <c r="A56" s="2" t="str">
        <f>HYPERLINK("https://www.avito.ru/sankt-peterburg/bytovaya_elektronika/bambu_lab_h2c_laser_40w_eu_40_vt_vortek_ams_2_pro_8070992389","8070992389")</f>
      </c>
      <c r="B56" t="s">
        <v>36</v>
      </c>
      <c r="C56" t="s">
        <v>90</v>
      </c>
      <c r="D56" t="s">
        <v>165</v>
      </c>
      <c r="E56" t="s">
        <v>39</v>
      </c>
      <c r="F56" t="s">
        <v>40</v>
      </c>
      <c r="G56" t="s">
        <v>41</v>
      </c>
      <c r="H56" s="3" t="str">
        <f>HYPERLINK("https://www.avito.ru/sankt-peterburg/bytovaya_elektronika/bambu_lab_h2c_laser_40w_eu_40_vt_vortek_ams_2_pro_8070992389","Bambu Lab H2C Laser 40W EU — 40 Вт + Vortek + AMS 2 Pro")</f>
      </c>
      <c r="I56" t="s">
        <v>154</v>
      </c>
      <c r="J56" t="s">
        <v>78</v>
      </c>
      <c r="K56" t="s">
        <v>84</v>
      </c>
      <c r="L56">
        <v>29</v>
      </c>
      <c r="M56">
        <v>10</v>
      </c>
      <c r="N56" s="4">
        <v>0.1</v>
      </c>
      <c r="O56">
        <v>1</v>
      </c>
      <c r="P56" s="5">
        <v>56</v>
      </c>
      <c r="Q56" s="4">
        <v>0</v>
      </c>
      <c r="R56">
        <v>0</v>
      </c>
      <c r="S56">
        <v>0</v>
      </c>
      <c r="T56">
        <v>0</v>
      </c>
      <c r="U56">
        <v>0</v>
      </c>
      <c r="V56">
        <v>0</v>
      </c>
      <c r="W56">
        <v>0</v>
      </c>
      <c r="X56" s="5" t="s">
        <v>54</v>
      </c>
      <c r="Y56">
        <v>1</v>
      </c>
      <c r="Z56" s="4">
        <v>0</v>
      </c>
      <c r="AA56">
        <v>0</v>
      </c>
      <c r="AB56" s="5">
        <v>0</v>
      </c>
      <c r="AC56">
        <v>0</v>
      </c>
      <c r="AD56" s="5">
        <v>0</v>
      </c>
      <c r="AE56" s="5">
        <v>56</v>
      </c>
      <c r="AF56" s="5">
        <v>0</v>
      </c>
      <c r="AG56" s="5">
        <v>56</v>
      </c>
      <c r="AH56" s="5">
        <v>0</v>
      </c>
      <c r="AI56" s="5">
        <v>0</v>
      </c>
      <c r="AJ56" s="5">
        <v>0</v>
      </c>
    </row>
    <row r="57">
      <c r="A57" s="2" t="str">
        <f>HYPERLINK("https://www.avito.ru/samara/bytovaya_elektronika/3d_printer_h2c_combo_cn_polnyy_funktsional_ekonomiya_8070993875","8070993875")</f>
      </c>
      <c r="B57" t="s">
        <v>143</v>
      </c>
      <c r="C57" t="s">
        <v>144</v>
      </c>
      <c r="D57" t="s">
        <v>145</v>
      </c>
      <c r="E57" t="s">
        <v>39</v>
      </c>
      <c r="F57" t="s">
        <v>40</v>
      </c>
      <c r="G57" t="s">
        <v>41</v>
      </c>
      <c r="H57" s="3" t="str">
        <f>HYPERLINK("https://www.avito.ru/samara/bytovaya_elektronika/3d_printer_h2c_combo_cn_polnyy_funktsional_ekonomiya_8070993875","3D принтер H2C Combo CN — полный функционал, экономия")</f>
      </c>
      <c r="I57" t="s">
        <v>166</v>
      </c>
      <c r="J57" t="s">
        <v>89</v>
      </c>
      <c r="K57" t="s">
        <v>84</v>
      </c>
      <c r="L57">
        <v>28</v>
      </c>
      <c r="M57">
        <v>72</v>
      </c>
      <c r="N57" s="4">
        <v>0.0138</v>
      </c>
      <c r="O57">
        <v>1</v>
      </c>
      <c r="P57" s="5">
        <v>56</v>
      </c>
      <c r="Q57" s="4">
        <v>0</v>
      </c>
      <c r="R57">
        <v>0</v>
      </c>
      <c r="S57">
        <v>0</v>
      </c>
      <c r="T57">
        <v>0</v>
      </c>
      <c r="U57">
        <v>0</v>
      </c>
      <c r="V57">
        <v>0</v>
      </c>
      <c r="W57">
        <v>0</v>
      </c>
      <c r="X57" s="5" t="s">
        <v>54</v>
      </c>
      <c r="Y57">
        <v>0</v>
      </c>
      <c r="Z57" s="4">
        <v>0</v>
      </c>
      <c r="AA57">
        <v>0</v>
      </c>
      <c r="AB57" s="5">
        <v>0</v>
      </c>
      <c r="AC57">
        <v>0</v>
      </c>
      <c r="AD57" s="5">
        <v>0</v>
      </c>
      <c r="AE57" s="5">
        <v>56</v>
      </c>
      <c r="AF57" s="5">
        <v>0</v>
      </c>
      <c r="AG57" s="5">
        <v>56</v>
      </c>
      <c r="AH57" s="5">
        <v>0</v>
      </c>
      <c r="AI57" s="5">
        <v>0</v>
      </c>
      <c r="AJ57" s="5">
        <v>0</v>
      </c>
    </row>
    <row r="58">
      <c r="A58">
        <v>8071009886</v>
      </c>
      <c r="B58" t="s">
        <v>36</v>
      </c>
      <c r="C58" t="s">
        <v>37</v>
      </c>
      <c r="D58" t="s">
        <v>167</v>
      </c>
      <c r="E58" t="s">
        <v>39</v>
      </c>
      <c r="F58" t="s">
        <v>40</v>
      </c>
      <c r="G58" t="s">
        <v>41</v>
      </c>
      <c r="H58" t="s">
        <v>53</v>
      </c>
      <c r="I58" t="s">
        <v>54</v>
      </c>
      <c r="J58" t="s">
        <v>55</v>
      </c>
      <c r="K58" t="s">
        <v>56</v>
      </c>
      <c r="L58">
        <v>30</v>
      </c>
      <c r="M58">
        <v>306</v>
      </c>
      <c r="N58" s="4">
        <v>0.0653</v>
      </c>
      <c r="O58">
        <v>20</v>
      </c>
      <c r="P58" s="5">
        <v>4.25</v>
      </c>
      <c r="Q58" s="4">
        <v>0</v>
      </c>
      <c r="R58">
        <v>0</v>
      </c>
      <c r="S58">
        <v>0</v>
      </c>
      <c r="T58">
        <v>0</v>
      </c>
      <c r="U58">
        <v>0</v>
      </c>
      <c r="V58">
        <v>0</v>
      </c>
      <c r="W58">
        <v>0</v>
      </c>
      <c r="X58" s="5" t="s">
        <v>54</v>
      </c>
      <c r="Y58">
        <v>0</v>
      </c>
      <c r="Z58" s="4">
        <v>0</v>
      </c>
      <c r="AA58">
        <v>0</v>
      </c>
      <c r="AB58" s="5">
        <v>0</v>
      </c>
      <c r="AC58">
        <v>0</v>
      </c>
      <c r="AD58" s="5">
        <v>0</v>
      </c>
      <c r="AE58" s="5">
        <v>85</v>
      </c>
      <c r="AF58" s="5">
        <v>0</v>
      </c>
      <c r="AG58" s="5">
        <v>85</v>
      </c>
      <c r="AH58" s="5">
        <v>0</v>
      </c>
      <c r="AI58" s="5">
        <v>0</v>
      </c>
      <c r="AJ58" s="5">
        <v>0</v>
      </c>
    </row>
    <row r="59">
      <c r="A59" s="2" t="str">
        <f>HYPERLINK("https://www.avito.ru/nizhniy_novgorod/bytovaya_elektronika/h2d_combo_ams_2_pro_cn_polnyy_funktsional_tsena_nizhe_eu_8071012274","8071012274")</f>
      </c>
      <c r="B59" t="s">
        <v>137</v>
      </c>
      <c r="C59" t="s">
        <v>138</v>
      </c>
      <c r="D59" t="s">
        <v>139</v>
      </c>
      <c r="E59" t="s">
        <v>39</v>
      </c>
      <c r="F59" t="s">
        <v>40</v>
      </c>
      <c r="G59" t="s">
        <v>41</v>
      </c>
      <c r="H59" s="3" t="str">
        <f>HYPERLINK("https://www.avito.ru/nizhniy_novgorod/bytovaya_elektronika/h2d_combo_ams_2_pro_cn_polnyy_funktsional_tsena_nizhe_eu_8071012274","H2D Combo AMS 2 Pro CN — полный функционал, цена ниже EU")</f>
      </c>
      <c r="I59" t="s">
        <v>168</v>
      </c>
      <c r="J59" t="s">
        <v>55</v>
      </c>
      <c r="K59" t="s">
        <v>56</v>
      </c>
      <c r="L59">
        <v>30</v>
      </c>
      <c r="M59">
        <v>143</v>
      </c>
      <c r="N59" s="4">
        <v>0.0979</v>
      </c>
      <c r="O59">
        <v>14</v>
      </c>
      <c r="P59" s="5">
        <v>4</v>
      </c>
      <c r="Q59" s="4">
        <v>0</v>
      </c>
      <c r="R59">
        <v>0</v>
      </c>
      <c r="S59">
        <v>0</v>
      </c>
      <c r="T59">
        <v>0</v>
      </c>
      <c r="U59">
        <v>0</v>
      </c>
      <c r="V59">
        <v>0</v>
      </c>
      <c r="W59">
        <v>0</v>
      </c>
      <c r="X59" s="5" t="s">
        <v>54</v>
      </c>
      <c r="Y59">
        <v>0</v>
      </c>
      <c r="Z59" s="4">
        <v>0</v>
      </c>
      <c r="AA59">
        <v>0</v>
      </c>
      <c r="AB59" s="5">
        <v>0</v>
      </c>
      <c r="AC59">
        <v>0</v>
      </c>
      <c r="AD59" s="5">
        <v>0</v>
      </c>
      <c r="AE59" s="5">
        <v>56</v>
      </c>
      <c r="AF59" s="5">
        <v>0</v>
      </c>
      <c r="AG59" s="5">
        <v>56</v>
      </c>
      <c r="AH59" s="5">
        <v>0</v>
      </c>
      <c r="AI59" s="5">
        <v>0</v>
      </c>
      <c r="AJ59" s="5">
        <v>0</v>
      </c>
    </row>
    <row r="60">
      <c r="A60" s="2" t="str">
        <f>HYPERLINK("https://www.avito.ru/voronezh/bytovaya_elektronika/bambu_h2s_eu_ams_2_pro_prototipy_i_proizvodstvo_8071014935","8071014935")</f>
      </c>
      <c r="B60" t="s">
        <v>169</v>
      </c>
      <c r="C60" t="s">
        <v>170</v>
      </c>
      <c r="D60" t="s">
        <v>171</v>
      </c>
      <c r="E60" t="s">
        <v>39</v>
      </c>
      <c r="F60" t="s">
        <v>40</v>
      </c>
      <c r="G60" t="s">
        <v>41</v>
      </c>
      <c r="H60" s="3" t="str">
        <f>HYPERLINK("https://www.avito.ru/voronezh/bytovaya_elektronika/bambu_h2s_eu_ams_2_pro_prototipy_i_proizvodstvo_8071014935","Bambu H2S EU AMS 2 Pro — прототипы и производство")</f>
      </c>
      <c r="I60" t="s">
        <v>80</v>
      </c>
      <c r="J60" t="s">
        <v>55</v>
      </c>
      <c r="K60" t="s">
        <v>56</v>
      </c>
      <c r="L60">
        <v>30</v>
      </c>
      <c r="M60">
        <v>203</v>
      </c>
      <c r="N60" s="4">
        <v>0.0738</v>
      </c>
      <c r="O60">
        <v>15</v>
      </c>
      <c r="P60" s="5">
        <v>3.73</v>
      </c>
      <c r="Q60" s="4">
        <v>0</v>
      </c>
      <c r="R60">
        <v>0</v>
      </c>
      <c r="S60">
        <v>0</v>
      </c>
      <c r="T60">
        <v>0</v>
      </c>
      <c r="U60">
        <v>0</v>
      </c>
      <c r="V60">
        <v>0</v>
      </c>
      <c r="W60">
        <v>0</v>
      </c>
      <c r="X60" s="5" t="s">
        <v>54</v>
      </c>
      <c r="Y60">
        <v>1</v>
      </c>
      <c r="Z60" s="4">
        <v>0</v>
      </c>
      <c r="AA60">
        <v>0</v>
      </c>
      <c r="AB60" s="5">
        <v>0</v>
      </c>
      <c r="AC60">
        <v>0</v>
      </c>
      <c r="AD60" s="5">
        <v>0</v>
      </c>
      <c r="AE60" s="5">
        <v>56</v>
      </c>
      <c r="AF60" s="5">
        <v>0</v>
      </c>
      <c r="AG60" s="5">
        <v>56</v>
      </c>
      <c r="AH60" s="5">
        <v>0</v>
      </c>
      <c r="AI60" s="5">
        <v>0</v>
      </c>
      <c r="AJ60" s="5">
        <v>0</v>
      </c>
    </row>
    <row r="61">
      <c r="A61" s="2" t="str">
        <f>HYPERLINK("https://www.avito.ru/krasnodar/bytovaya_elektronika/h2c_combo_eu_bambu_lab_v_nalichii_ne_zhdite_25_dney_8071015852","8071015852")</f>
      </c>
      <c r="B61" t="s">
        <v>58</v>
      </c>
      <c r="C61" t="s">
        <v>59</v>
      </c>
      <c r="D61" t="s">
        <v>95</v>
      </c>
      <c r="E61" t="s">
        <v>39</v>
      </c>
      <c r="F61" t="s">
        <v>40</v>
      </c>
      <c r="G61" t="s">
        <v>41</v>
      </c>
      <c r="H61" s="3" t="str">
        <f>HYPERLINK("https://www.avito.ru/krasnodar/bytovaya_elektronika/h2c_combo_eu_bambu_lab_v_nalichii_ne_zhdite_25_dney_8071015852","H2C Combo EU Bambu Lab — в наличии, не ждите 25 дней")</f>
      </c>
      <c r="I61" t="s">
        <v>61</v>
      </c>
      <c r="J61" t="s">
        <v>55</v>
      </c>
      <c r="K61" t="s">
        <v>56</v>
      </c>
      <c r="L61">
        <v>30</v>
      </c>
      <c r="M61">
        <v>145</v>
      </c>
      <c r="N61" s="4">
        <v>0.0896</v>
      </c>
      <c r="O61">
        <v>13</v>
      </c>
      <c r="P61" s="5">
        <v>4.3</v>
      </c>
      <c r="Q61" s="4">
        <v>0</v>
      </c>
      <c r="R61">
        <v>0</v>
      </c>
      <c r="S61">
        <v>0</v>
      </c>
      <c r="T61">
        <v>0</v>
      </c>
      <c r="U61">
        <v>0</v>
      </c>
      <c r="V61">
        <v>0</v>
      </c>
      <c r="W61">
        <v>0</v>
      </c>
      <c r="X61" s="5" t="s">
        <v>54</v>
      </c>
      <c r="Y61">
        <v>0</v>
      </c>
      <c r="Z61" s="4">
        <v>0</v>
      </c>
      <c r="AA61">
        <v>0</v>
      </c>
      <c r="AB61" s="5">
        <v>0</v>
      </c>
      <c r="AC61">
        <v>0</v>
      </c>
      <c r="AD61" s="5">
        <v>0</v>
      </c>
      <c r="AE61" s="5">
        <v>56</v>
      </c>
      <c r="AF61" s="5">
        <v>0</v>
      </c>
      <c r="AG61" s="5">
        <v>56</v>
      </c>
      <c r="AH61" s="5">
        <v>0</v>
      </c>
      <c r="AI61" s="5">
        <v>0</v>
      </c>
      <c r="AJ61" s="5">
        <v>0</v>
      </c>
    </row>
    <row r="62">
      <c r="A62" s="2" t="str">
        <f>HYPERLINK("https://www.avito.ru/krasnodar/bytovaya_elektronika/elegoo_giga_storm_800800_krasnodar_8071021977","8071021977")</f>
      </c>
      <c r="B62" t="s">
        <v>58</v>
      </c>
      <c r="C62" t="s">
        <v>59</v>
      </c>
      <c r="D62" t="s">
        <v>66</v>
      </c>
      <c r="E62" t="s">
        <v>39</v>
      </c>
      <c r="F62" t="s">
        <v>40</v>
      </c>
      <c r="G62" t="s">
        <v>41</v>
      </c>
      <c r="H62" s="3" t="str">
        <f>HYPERLINK("https://www.avito.ru/krasnodar/bytovaya_elektronika/elegoo_giga_storm_800800_krasnodar_8071021977","Elegoo Giga Storm 800800 — Краснодар")</f>
      </c>
      <c r="I62" t="s">
        <v>172</v>
      </c>
      <c r="J62" t="s">
        <v>89</v>
      </c>
      <c r="K62" t="s">
        <v>84</v>
      </c>
      <c r="L62">
        <v>28</v>
      </c>
      <c r="M62">
        <v>172</v>
      </c>
      <c r="N62" s="4">
        <v>0.0406</v>
      </c>
      <c r="O62">
        <v>7</v>
      </c>
      <c r="P62" s="5">
        <v>8</v>
      </c>
      <c r="Q62" s="4">
        <v>0</v>
      </c>
      <c r="R62">
        <v>0</v>
      </c>
      <c r="S62">
        <v>0</v>
      </c>
      <c r="T62">
        <v>0</v>
      </c>
      <c r="U62">
        <v>0</v>
      </c>
      <c r="V62">
        <v>0</v>
      </c>
      <c r="W62">
        <v>0</v>
      </c>
      <c r="X62" s="5" t="s">
        <v>54</v>
      </c>
      <c r="Y62">
        <v>1</v>
      </c>
      <c r="Z62" s="4">
        <v>0</v>
      </c>
      <c r="AA62">
        <v>0</v>
      </c>
      <c r="AB62" s="5">
        <v>0</v>
      </c>
      <c r="AC62">
        <v>0</v>
      </c>
      <c r="AD62" s="5">
        <v>0</v>
      </c>
      <c r="AE62" s="5">
        <v>56</v>
      </c>
      <c r="AF62" s="5">
        <v>0</v>
      </c>
      <c r="AG62" s="5">
        <v>56</v>
      </c>
      <c r="AH62" s="5">
        <v>0</v>
      </c>
      <c r="AI62" s="5">
        <v>0</v>
      </c>
      <c r="AJ62" s="5">
        <v>0</v>
      </c>
    </row>
    <row r="63">
      <c r="A63" s="2" t="str">
        <f>HYPERLINK("https://www.avito.ru/nizhniy_novgorod/bytovaya_elektronika/bambu_h2c_full_combo_laser_10w_eu_sdek_2527_dney_8071023964","8071023964")</f>
      </c>
      <c r="B63" t="s">
        <v>137</v>
      </c>
      <c r="C63" t="s">
        <v>138</v>
      </c>
      <c r="D63" t="s">
        <v>139</v>
      </c>
      <c r="E63" t="s">
        <v>39</v>
      </c>
      <c r="F63" t="s">
        <v>40</v>
      </c>
      <c r="G63" t="s">
        <v>41</v>
      </c>
      <c r="H63" s="3" t="str">
        <f>HYPERLINK("https://www.avito.ru/nizhniy_novgorod/bytovaya_elektronika/bambu_h2c_full_combo_laser_10w_eu_sdek_2527_dney_8071023964","Bambu H2C Full Combo Laser 10W EU — сдэк 25–27 дней")</f>
      </c>
      <c r="I63" t="s">
        <v>173</v>
      </c>
      <c r="J63" t="s">
        <v>89</v>
      </c>
      <c r="K63" t="s">
        <v>84</v>
      </c>
      <c r="L63">
        <v>28</v>
      </c>
      <c r="M63">
        <v>148</v>
      </c>
      <c r="N63" s="4">
        <v>0.0472</v>
      </c>
      <c r="O63">
        <v>7</v>
      </c>
      <c r="P63" s="5">
        <v>8</v>
      </c>
      <c r="Q63" s="4">
        <v>0</v>
      </c>
      <c r="R63">
        <v>0</v>
      </c>
      <c r="S63">
        <v>0</v>
      </c>
      <c r="T63">
        <v>0</v>
      </c>
      <c r="U63">
        <v>0</v>
      </c>
      <c r="V63">
        <v>0</v>
      </c>
      <c r="W63">
        <v>0</v>
      </c>
      <c r="X63" s="5" t="s">
        <v>54</v>
      </c>
      <c r="Y63">
        <v>1</v>
      </c>
      <c r="Z63" s="4">
        <v>0</v>
      </c>
      <c r="AA63">
        <v>0</v>
      </c>
      <c r="AB63" s="5">
        <v>0</v>
      </c>
      <c r="AC63">
        <v>0</v>
      </c>
      <c r="AD63" s="5">
        <v>0</v>
      </c>
      <c r="AE63" s="5">
        <v>56</v>
      </c>
      <c r="AF63" s="5">
        <v>0</v>
      </c>
      <c r="AG63" s="5">
        <v>56</v>
      </c>
      <c r="AH63" s="5">
        <v>0</v>
      </c>
      <c r="AI63" s="5">
        <v>0</v>
      </c>
      <c r="AJ63" s="5">
        <v>0</v>
      </c>
    </row>
    <row r="64">
      <c r="A64" s="2" t="str">
        <f>HYPERLINK("https://www.avito.ru/belgorod/bytovaya_elektronika/elegoo_giga_storm_8008001000_belgorod_8071027799","8071027799")</f>
      </c>
      <c r="B64" t="s">
        <v>112</v>
      </c>
      <c r="C64" t="s">
        <v>113</v>
      </c>
      <c r="D64" t="s">
        <v>114</v>
      </c>
      <c r="E64" t="s">
        <v>39</v>
      </c>
      <c r="F64" t="s">
        <v>40</v>
      </c>
      <c r="G64" t="s">
        <v>41</v>
      </c>
      <c r="H64" s="3" t="str">
        <f>HYPERLINK("https://www.avito.ru/belgorod/bytovaya_elektronika/elegoo_giga_storm_8008001000_belgorod_8071027799","Elegoo Giga Storm 8008001000 — Белгород")</f>
      </c>
      <c r="I64" t="s">
        <v>174</v>
      </c>
      <c r="J64" t="s">
        <v>89</v>
      </c>
      <c r="K64" t="s">
        <v>84</v>
      </c>
      <c r="L64">
        <v>28</v>
      </c>
      <c r="M64">
        <v>141</v>
      </c>
      <c r="N64" s="4">
        <v>0.0354</v>
      </c>
      <c r="O64">
        <v>5</v>
      </c>
      <c r="P64" s="5">
        <v>11.2</v>
      </c>
      <c r="Q64" s="4">
        <v>0</v>
      </c>
      <c r="R64">
        <v>0</v>
      </c>
      <c r="S64">
        <v>0</v>
      </c>
      <c r="T64">
        <v>0</v>
      </c>
      <c r="U64">
        <v>0</v>
      </c>
      <c r="V64">
        <v>0</v>
      </c>
      <c r="W64">
        <v>0</v>
      </c>
      <c r="X64" s="5" t="s">
        <v>54</v>
      </c>
      <c r="Y64">
        <v>0</v>
      </c>
      <c r="Z64" s="4">
        <v>0</v>
      </c>
      <c r="AA64">
        <v>0</v>
      </c>
      <c r="AB64" s="5">
        <v>0</v>
      </c>
      <c r="AC64">
        <v>0</v>
      </c>
      <c r="AD64" s="5">
        <v>0</v>
      </c>
      <c r="AE64" s="5">
        <v>56</v>
      </c>
      <c r="AF64" s="5">
        <v>0</v>
      </c>
      <c r="AG64" s="5">
        <v>56</v>
      </c>
      <c r="AH64" s="5">
        <v>0</v>
      </c>
      <c r="AI64" s="5">
        <v>0</v>
      </c>
      <c r="AJ64" s="5">
        <v>0</v>
      </c>
    </row>
    <row r="65">
      <c r="A65" s="2" t="str">
        <f>HYPERLINK("https://www.avito.ru/ufa/bytovaya_elektronika/3d_printer_h2d_eu_bambu_lab_1000_mms_pod_zakaz_8071027882","8071027882")</f>
      </c>
      <c r="B65" t="s">
        <v>162</v>
      </c>
      <c r="C65" t="s">
        <v>163</v>
      </c>
      <c r="D65" t="s">
        <v>164</v>
      </c>
      <c r="E65" t="s">
        <v>39</v>
      </c>
      <c r="F65" t="s">
        <v>40</v>
      </c>
      <c r="G65" t="s">
        <v>41</v>
      </c>
      <c r="H65" s="3" t="str">
        <f>HYPERLINK("https://www.avito.ru/ufa/bytovaya_elektronika/3d_printer_h2d_eu_bambu_lab_1000_mms_pod_zakaz_8071027882","3D принтер H2D EU Bambu Lab — 1000 мм/с, под заказ")</f>
      </c>
      <c r="I65" t="s">
        <v>67</v>
      </c>
      <c r="J65" t="s">
        <v>78</v>
      </c>
      <c r="K65" t="s">
        <v>79</v>
      </c>
      <c r="L65">
        <v>29</v>
      </c>
      <c r="M65">
        <v>126</v>
      </c>
      <c r="N65" s="4">
        <v>0.0714</v>
      </c>
      <c r="O65">
        <v>9</v>
      </c>
      <c r="P65" s="5">
        <v>6.22</v>
      </c>
      <c r="Q65" s="4">
        <v>0</v>
      </c>
      <c r="R65">
        <v>0</v>
      </c>
      <c r="S65">
        <v>0</v>
      </c>
      <c r="T65">
        <v>0</v>
      </c>
      <c r="U65">
        <v>0</v>
      </c>
      <c r="V65">
        <v>0</v>
      </c>
      <c r="W65">
        <v>0</v>
      </c>
      <c r="X65" s="5" t="s">
        <v>54</v>
      </c>
      <c r="Y65">
        <v>1</v>
      </c>
      <c r="Z65" s="4">
        <v>0</v>
      </c>
      <c r="AA65">
        <v>0</v>
      </c>
      <c r="AB65" s="5">
        <v>0</v>
      </c>
      <c r="AC65">
        <v>0</v>
      </c>
      <c r="AD65" s="5">
        <v>0</v>
      </c>
      <c r="AE65" s="5">
        <v>56</v>
      </c>
      <c r="AF65" s="5">
        <v>0</v>
      </c>
      <c r="AG65" s="5">
        <v>56</v>
      </c>
      <c r="AH65" s="5">
        <v>0</v>
      </c>
      <c r="AI65" s="5">
        <v>0</v>
      </c>
      <c r="AJ65" s="5">
        <v>0</v>
      </c>
    </row>
    <row r="66">
      <c r="A66" s="2" t="str">
        <f>HYPERLINK("https://www.avito.ru/chelyabinsk/bytovaya_elektronika/3d_printer_h2c_combo_eu_est_v_nalichii_vortek_ams_8071031447","8071031447")</f>
      </c>
      <c r="B66" t="s">
        <v>175</v>
      </c>
      <c r="C66" t="s">
        <v>176</v>
      </c>
      <c r="D66" t="s">
        <v>177</v>
      </c>
      <c r="E66" t="s">
        <v>39</v>
      </c>
      <c r="F66" t="s">
        <v>40</v>
      </c>
      <c r="G66" t="s">
        <v>41</v>
      </c>
      <c r="H66" s="3" t="str">
        <f>HYPERLINK("https://www.avito.ru/chelyabinsk/bytovaya_elektronika/3d_printer_h2c_combo_eu_est_v_nalichii_vortek_ams_8071031447","3D принтер H2C Combo EU — есть в наличии, Vortek + AMS")</f>
      </c>
      <c r="I66" t="s">
        <v>61</v>
      </c>
      <c r="J66" t="s">
        <v>89</v>
      </c>
      <c r="K66" t="s">
        <v>84</v>
      </c>
      <c r="L66">
        <v>28</v>
      </c>
      <c r="M66">
        <v>11</v>
      </c>
      <c r="N66" s="4">
        <v>0.3636</v>
      </c>
      <c r="O66">
        <v>4</v>
      </c>
      <c r="P66" s="5">
        <v>14</v>
      </c>
      <c r="Q66" s="4">
        <v>0</v>
      </c>
      <c r="R66">
        <v>0</v>
      </c>
      <c r="S66">
        <v>0</v>
      </c>
      <c r="T66">
        <v>0</v>
      </c>
      <c r="U66">
        <v>0</v>
      </c>
      <c r="V66">
        <v>0</v>
      </c>
      <c r="W66">
        <v>0</v>
      </c>
      <c r="X66" s="5" t="s">
        <v>54</v>
      </c>
      <c r="Y66">
        <v>0</v>
      </c>
      <c r="Z66" s="4">
        <v>0</v>
      </c>
      <c r="AA66">
        <v>0</v>
      </c>
      <c r="AB66" s="5">
        <v>0</v>
      </c>
      <c r="AC66">
        <v>0</v>
      </c>
      <c r="AD66" s="5">
        <v>0</v>
      </c>
      <c r="AE66" s="5">
        <v>56</v>
      </c>
      <c r="AF66" s="5">
        <v>0</v>
      </c>
      <c r="AG66" s="5">
        <v>56</v>
      </c>
      <c r="AH66" s="5">
        <v>0</v>
      </c>
      <c r="AI66" s="5">
        <v>0</v>
      </c>
      <c r="AJ66" s="5">
        <v>0</v>
      </c>
    </row>
    <row r="67">
      <c r="A67" s="2" t="str">
        <f>HYPERLINK("https://www.avito.ru/ulyanovsk/bytovaya_elektronika/3d_printer_h2c_combo_eu_est_v_nalichii_vortek_ams_2_pro_8071046123","8071046123")</f>
      </c>
      <c r="B67" t="s">
        <v>100</v>
      </c>
      <c r="C67" t="s">
        <v>101</v>
      </c>
      <c r="D67" t="s">
        <v>102</v>
      </c>
      <c r="E67" t="s">
        <v>39</v>
      </c>
      <c r="F67" t="s">
        <v>40</v>
      </c>
      <c r="G67" t="s">
        <v>41</v>
      </c>
      <c r="H67" s="3" t="str">
        <f>HYPERLINK("https://www.avito.ru/ulyanovsk/bytovaya_elektronika/3d_printer_h2c_combo_eu_est_v_nalichii_vortek_ams_2_pro_8071046123","3D принтер H2C Combo EU — есть в наличии, Vortek + AMS 2 Pro")</f>
      </c>
      <c r="I67" t="s">
        <v>61</v>
      </c>
      <c r="J67" t="s">
        <v>78</v>
      </c>
      <c r="K67" t="s">
        <v>79</v>
      </c>
      <c r="L67">
        <v>29</v>
      </c>
      <c r="M67">
        <v>17</v>
      </c>
      <c r="N67" s="4">
        <v>0.0588</v>
      </c>
      <c r="O67">
        <v>1</v>
      </c>
      <c r="P67" s="5">
        <v>56</v>
      </c>
      <c r="Q67" s="4">
        <v>0</v>
      </c>
      <c r="R67">
        <v>0</v>
      </c>
      <c r="S67">
        <v>0</v>
      </c>
      <c r="T67">
        <v>0</v>
      </c>
      <c r="U67">
        <v>0</v>
      </c>
      <c r="V67">
        <v>0</v>
      </c>
      <c r="W67">
        <v>0</v>
      </c>
      <c r="X67" s="5" t="s">
        <v>54</v>
      </c>
      <c r="Y67">
        <v>0</v>
      </c>
      <c r="Z67" s="4">
        <v>0</v>
      </c>
      <c r="AA67">
        <v>0</v>
      </c>
      <c r="AB67" s="5">
        <v>0</v>
      </c>
      <c r="AC67">
        <v>0</v>
      </c>
      <c r="AD67" s="5">
        <v>0</v>
      </c>
      <c r="AE67" s="5">
        <v>56</v>
      </c>
      <c r="AF67" s="5">
        <v>0</v>
      </c>
      <c r="AG67" s="5">
        <v>56</v>
      </c>
      <c r="AH67" s="5">
        <v>0</v>
      </c>
      <c r="AI67" s="5">
        <v>0</v>
      </c>
      <c r="AJ67" s="5">
        <v>0</v>
      </c>
    </row>
    <row r="68">
      <c r="A68" s="2" t="str">
        <f>HYPERLINK("https://www.avito.ru/novosibirsk/bytovaya_elektronika/3d_printer_h2c_combo_eu_est_v_nalichii_vortek_ams_8071047124","8071047124")</f>
      </c>
      <c r="B68" t="s">
        <v>122</v>
      </c>
      <c r="C68" t="s">
        <v>123</v>
      </c>
      <c r="D68" t="s">
        <v>124</v>
      </c>
      <c r="E68" t="s">
        <v>39</v>
      </c>
      <c r="F68" t="s">
        <v>40</v>
      </c>
      <c r="G68" t="s">
        <v>41</v>
      </c>
      <c r="H68" s="3" t="str">
        <f>HYPERLINK("https://www.avito.ru/novosibirsk/bytovaya_elektronika/3d_printer_h2c_combo_eu_est_v_nalichii_vortek_ams_8071047124","3D принтер H2C Combo EU — есть в наличии, Vortek + AMS")</f>
      </c>
      <c r="I68" t="s">
        <v>61</v>
      </c>
      <c r="J68" t="s">
        <v>55</v>
      </c>
      <c r="K68" t="s">
        <v>56</v>
      </c>
      <c r="L68">
        <v>30</v>
      </c>
      <c r="M68">
        <v>66</v>
      </c>
      <c r="N68" s="4">
        <v>0.2121</v>
      </c>
      <c r="O68">
        <v>14</v>
      </c>
      <c r="P68" s="5">
        <v>4</v>
      </c>
      <c r="Q68" s="4">
        <v>0</v>
      </c>
      <c r="R68">
        <v>0</v>
      </c>
      <c r="S68">
        <v>0</v>
      </c>
      <c r="T68">
        <v>0</v>
      </c>
      <c r="U68">
        <v>0</v>
      </c>
      <c r="V68">
        <v>0</v>
      </c>
      <c r="W68">
        <v>0</v>
      </c>
      <c r="X68" s="5" t="s">
        <v>54</v>
      </c>
      <c r="Y68">
        <v>1</v>
      </c>
      <c r="Z68" s="4">
        <v>0</v>
      </c>
      <c r="AA68">
        <v>0</v>
      </c>
      <c r="AB68" s="5">
        <v>0</v>
      </c>
      <c r="AC68">
        <v>0</v>
      </c>
      <c r="AD68" s="5">
        <v>0</v>
      </c>
      <c r="AE68" s="5">
        <v>56</v>
      </c>
      <c r="AF68" s="5">
        <v>0</v>
      </c>
      <c r="AG68" s="5">
        <v>56</v>
      </c>
      <c r="AH68" s="5">
        <v>0</v>
      </c>
      <c r="AI68" s="5">
        <v>0</v>
      </c>
      <c r="AJ68" s="5">
        <v>0</v>
      </c>
    </row>
    <row r="69">
      <c r="A69" s="2" t="str">
        <f>HYPERLINK("https://www.avito.ru/izhevsk/bytovaya_elektronika/3d_printer_h2c_combo_eu_est_v_nalichii_vortek_ams_8071047293","8071047293")</f>
      </c>
      <c r="B69" t="s">
        <v>81</v>
      </c>
      <c r="C69" t="s">
        <v>82</v>
      </c>
      <c r="D69" t="s">
        <v>83</v>
      </c>
      <c r="E69" t="s">
        <v>39</v>
      </c>
      <c r="F69" t="s">
        <v>40</v>
      </c>
      <c r="G69" t="s">
        <v>41</v>
      </c>
      <c r="H69" s="3" t="str">
        <f>HYPERLINK("https://www.avito.ru/izhevsk/bytovaya_elektronika/3d_printer_h2c_combo_eu_est_v_nalichii_vortek_ams_8071047293","3D принтер H2C Combo EU — есть в наличии, Vortek + AMS")</f>
      </c>
      <c r="I69" t="s">
        <v>61</v>
      </c>
      <c r="J69" t="s">
        <v>78</v>
      </c>
      <c r="K69" t="s">
        <v>79</v>
      </c>
      <c r="L69">
        <v>29</v>
      </c>
      <c r="M69">
        <v>218</v>
      </c>
      <c r="N69" s="4">
        <v>0.0596</v>
      </c>
      <c r="O69">
        <v>13</v>
      </c>
      <c r="P69" s="5">
        <v>4.3</v>
      </c>
      <c r="Q69" s="4">
        <v>0</v>
      </c>
      <c r="R69">
        <v>0</v>
      </c>
      <c r="S69">
        <v>0</v>
      </c>
      <c r="T69">
        <v>0</v>
      </c>
      <c r="U69">
        <v>0</v>
      </c>
      <c r="V69">
        <v>0</v>
      </c>
      <c r="W69">
        <v>0</v>
      </c>
      <c r="X69" s="5" t="s">
        <v>54</v>
      </c>
      <c r="Y69">
        <v>0</v>
      </c>
      <c r="Z69" s="4">
        <v>0</v>
      </c>
      <c r="AA69">
        <v>0</v>
      </c>
      <c r="AB69" s="5">
        <v>0</v>
      </c>
      <c r="AC69">
        <v>0</v>
      </c>
      <c r="AD69" s="5">
        <v>0</v>
      </c>
      <c r="AE69" s="5">
        <v>56</v>
      </c>
      <c r="AF69" s="5">
        <v>0</v>
      </c>
      <c r="AG69" s="5">
        <v>56</v>
      </c>
      <c r="AH69" s="5">
        <v>0</v>
      </c>
      <c r="AI69" s="5">
        <v>0</v>
      </c>
      <c r="AJ69" s="5">
        <v>0</v>
      </c>
    </row>
    <row r="70">
      <c r="A70" s="2" t="str">
        <f>HYPERLINK("https://www.avito.ru/sankt-peterburg/bytovaya_elektronika/elegoo_giga_storm_predzakaz_sankt-peterburg_8071049309","8071049309")</f>
      </c>
      <c r="B70" t="s">
        <v>36</v>
      </c>
      <c r="C70" t="s">
        <v>90</v>
      </c>
      <c r="D70" t="s">
        <v>115</v>
      </c>
      <c r="E70" t="s">
        <v>39</v>
      </c>
      <c r="F70" t="s">
        <v>40</v>
      </c>
      <c r="G70" t="s">
        <v>41</v>
      </c>
      <c r="H70" s="3" t="str">
        <f>HYPERLINK("https://www.avito.ru/sankt-peterburg/bytovaya_elektronika/elegoo_giga_storm_predzakaz_sankt-peterburg_8071049309","Elegoo Giga Storm — предзаказ, Санкт-Петербург")</f>
      </c>
      <c r="I70" t="s">
        <v>178</v>
      </c>
      <c r="J70" t="s">
        <v>89</v>
      </c>
      <c r="K70" t="s">
        <v>84</v>
      </c>
      <c r="L70">
        <v>28</v>
      </c>
      <c r="M70">
        <v>393</v>
      </c>
      <c r="N70" s="4">
        <v>0.0687</v>
      </c>
      <c r="O70">
        <v>27</v>
      </c>
      <c r="P70" s="5">
        <v>2.07</v>
      </c>
      <c r="Q70" s="4">
        <v>0</v>
      </c>
      <c r="R70">
        <v>0</v>
      </c>
      <c r="S70">
        <v>0</v>
      </c>
      <c r="T70">
        <v>0</v>
      </c>
      <c r="U70">
        <v>0</v>
      </c>
      <c r="V70">
        <v>0</v>
      </c>
      <c r="W70">
        <v>0</v>
      </c>
      <c r="X70" s="5" t="s">
        <v>54</v>
      </c>
      <c r="Y70">
        <v>0</v>
      </c>
      <c r="Z70" s="4">
        <v>0</v>
      </c>
      <c r="AA70">
        <v>0</v>
      </c>
      <c r="AB70" s="5">
        <v>0</v>
      </c>
      <c r="AC70">
        <v>0</v>
      </c>
      <c r="AD70" s="5">
        <v>0</v>
      </c>
      <c r="AE70" s="5">
        <v>56</v>
      </c>
      <c r="AF70" s="5">
        <v>0</v>
      </c>
      <c r="AG70" s="5">
        <v>56</v>
      </c>
      <c r="AH70" s="5">
        <v>0</v>
      </c>
      <c r="AI70" s="5">
        <v>0</v>
      </c>
      <c r="AJ70" s="5">
        <v>0</v>
      </c>
    </row>
    <row r="71">
      <c r="A71" s="2" t="str">
        <f>HYPERLINK("https://www.avito.ru/moskva/bytovaya_elektronika/3d_printer_h2s_eu_bambu_lab_ams_2_pro_pod_zakaz_8071054344","8071054344")</f>
      </c>
      <c r="B71" t="s">
        <v>36</v>
      </c>
      <c r="C71" t="s">
        <v>37</v>
      </c>
      <c r="D71" t="s">
        <v>52</v>
      </c>
      <c r="E71" t="s">
        <v>39</v>
      </c>
      <c r="F71" t="s">
        <v>40</v>
      </c>
      <c r="G71" t="s">
        <v>41</v>
      </c>
      <c r="H71" s="3" t="str">
        <f>HYPERLINK("https://www.avito.ru/moskva/bytovaya_elektronika/3d_printer_h2s_eu_bambu_lab_ams_2_pro_pod_zakaz_8071054344","3D принтер H2S EU Bambu Lab — AMS 2 Pro, под заказ")</f>
      </c>
      <c r="I71" t="s">
        <v>69</v>
      </c>
      <c r="J71" t="s">
        <v>55</v>
      </c>
      <c r="K71" t="s">
        <v>56</v>
      </c>
      <c r="L71">
        <v>30</v>
      </c>
      <c r="M71">
        <v>58</v>
      </c>
      <c r="N71" s="4">
        <v>0.2413</v>
      </c>
      <c r="O71">
        <v>14</v>
      </c>
      <c r="P71" s="5">
        <v>6.07</v>
      </c>
      <c r="Q71" s="4">
        <v>0</v>
      </c>
      <c r="R71">
        <v>0</v>
      </c>
      <c r="S71">
        <v>0</v>
      </c>
      <c r="T71">
        <v>0</v>
      </c>
      <c r="U71">
        <v>0</v>
      </c>
      <c r="V71">
        <v>0</v>
      </c>
      <c r="W71">
        <v>0</v>
      </c>
      <c r="X71" s="5" t="s">
        <v>54</v>
      </c>
      <c r="Y71">
        <v>0</v>
      </c>
      <c r="Z71" s="4">
        <v>0</v>
      </c>
      <c r="AA71">
        <v>0</v>
      </c>
      <c r="AB71" s="5">
        <v>0</v>
      </c>
      <c r="AC71">
        <v>0</v>
      </c>
      <c r="AD71" s="5">
        <v>0</v>
      </c>
      <c r="AE71" s="5">
        <v>85</v>
      </c>
      <c r="AF71" s="5">
        <v>0</v>
      </c>
      <c r="AG71" s="5">
        <v>85</v>
      </c>
      <c r="AH71" s="5">
        <v>0</v>
      </c>
      <c r="AI71" s="5">
        <v>0</v>
      </c>
      <c r="AJ71" s="5">
        <v>0</v>
      </c>
    </row>
    <row r="72">
      <c r="A72" s="2" t="str">
        <f>HYPERLINK("https://www.avito.ru/ryazan/bytovaya_elektronika/bambu_lab_h2s_combo_ams_2_pro_eu_dostavka_po_rf_8071054817","8071054817")</f>
      </c>
      <c r="B72" t="s">
        <v>179</v>
      </c>
      <c r="C72" t="s">
        <v>180</v>
      </c>
      <c r="D72" t="s">
        <v>181</v>
      </c>
      <c r="E72" t="s">
        <v>39</v>
      </c>
      <c r="F72" t="s">
        <v>40</v>
      </c>
      <c r="G72" t="s">
        <v>41</v>
      </c>
      <c r="H72" s="3" t="str">
        <f>HYPERLINK("https://www.avito.ru/ryazan/bytovaya_elektronika/bambu_lab_h2s_combo_ams_2_pro_eu_dostavka_po_rf_8071054817","Bambu Lab H2S Combo AMS 2 Pro EU — доставка по РФ")</f>
      </c>
      <c r="I72" t="s">
        <v>80</v>
      </c>
      <c r="J72" t="s">
        <v>55</v>
      </c>
      <c r="K72" t="s">
        <v>56</v>
      </c>
      <c r="L72">
        <v>30</v>
      </c>
      <c r="M72">
        <v>532</v>
      </c>
      <c r="N72" s="4">
        <v>0.062</v>
      </c>
      <c r="O72">
        <v>33</v>
      </c>
      <c r="P72" s="5">
        <v>1.69</v>
      </c>
      <c r="Q72" s="4">
        <v>0</v>
      </c>
      <c r="R72">
        <v>0</v>
      </c>
      <c r="S72">
        <v>0</v>
      </c>
      <c r="T72">
        <v>0</v>
      </c>
      <c r="U72">
        <v>0</v>
      </c>
      <c r="V72">
        <v>0</v>
      </c>
      <c r="W72">
        <v>0</v>
      </c>
      <c r="X72" s="5" t="s">
        <v>54</v>
      </c>
      <c r="Y72">
        <v>2</v>
      </c>
      <c r="Z72" s="4">
        <v>0</v>
      </c>
      <c r="AA72">
        <v>0</v>
      </c>
      <c r="AB72" s="5">
        <v>0</v>
      </c>
      <c r="AC72">
        <v>0</v>
      </c>
      <c r="AD72" s="5">
        <v>0</v>
      </c>
      <c r="AE72" s="5">
        <v>56</v>
      </c>
      <c r="AF72" s="5">
        <v>0</v>
      </c>
      <c r="AG72" s="5">
        <v>56</v>
      </c>
      <c r="AH72" s="5">
        <v>0</v>
      </c>
      <c r="AI72" s="5">
        <v>0</v>
      </c>
      <c r="AJ72" s="5">
        <v>0</v>
      </c>
    </row>
    <row r="73">
      <c r="A73" s="2" t="str">
        <f>HYPERLINK("https://www.avito.ru/samara/bytovaya_elektronika/3d_printer_bambu_lab_h2s_eu_abs_asa_pa_pc_pod_zakaz_8071055762","8071055762")</f>
      </c>
      <c r="B73" t="s">
        <v>143</v>
      </c>
      <c r="C73" t="s">
        <v>144</v>
      </c>
      <c r="D73" t="s">
        <v>145</v>
      </c>
      <c r="E73" t="s">
        <v>39</v>
      </c>
      <c r="F73" t="s">
        <v>40</v>
      </c>
      <c r="G73" t="s">
        <v>41</v>
      </c>
      <c r="H73" s="3" t="str">
        <f>HYPERLINK("https://www.avito.ru/samara/bytovaya_elektronika/3d_printer_bambu_lab_h2s_eu_abs_asa_pa_pc_pod_zakaz_8071055762","3D принтер Bambu Lab H2S EU — ABS, ASA, PA, PC под заказ")</f>
      </c>
      <c r="I73" t="s">
        <v>69</v>
      </c>
      <c r="J73" t="s">
        <v>55</v>
      </c>
      <c r="K73" t="s">
        <v>56</v>
      </c>
      <c r="L73">
        <v>30</v>
      </c>
      <c r="M73">
        <v>61</v>
      </c>
      <c r="N73" s="4">
        <v>0.0163</v>
      </c>
      <c r="O73">
        <v>1</v>
      </c>
      <c r="P73" s="5">
        <v>56</v>
      </c>
      <c r="Q73" s="4">
        <v>0</v>
      </c>
      <c r="R73">
        <v>0</v>
      </c>
      <c r="S73">
        <v>0</v>
      </c>
      <c r="T73">
        <v>0</v>
      </c>
      <c r="U73">
        <v>0</v>
      </c>
      <c r="V73">
        <v>0</v>
      </c>
      <c r="W73">
        <v>0</v>
      </c>
      <c r="X73" s="5" t="s">
        <v>54</v>
      </c>
      <c r="Y73">
        <v>0</v>
      </c>
      <c r="Z73" s="4">
        <v>0</v>
      </c>
      <c r="AA73">
        <v>0</v>
      </c>
      <c r="AB73" s="5">
        <v>0</v>
      </c>
      <c r="AC73">
        <v>0</v>
      </c>
      <c r="AD73" s="5">
        <v>0</v>
      </c>
      <c r="AE73" s="5">
        <v>56</v>
      </c>
      <c r="AF73" s="5">
        <v>0</v>
      </c>
      <c r="AG73" s="5">
        <v>56</v>
      </c>
      <c r="AH73" s="5">
        <v>0</v>
      </c>
      <c r="AI73" s="5">
        <v>0</v>
      </c>
      <c r="AJ73" s="5">
        <v>0</v>
      </c>
    </row>
    <row r="74">
      <c r="A74" s="2" t="str">
        <f>HYPERLINK("https://www.avito.ru/krasnoyarsk/bytovaya_elektronika/3d_printer_h2c_combo_eu_nalichie_dostavka_37_dney_8071062100","8071062100")</f>
      </c>
      <c r="B74" t="s">
        <v>156</v>
      </c>
      <c r="C74" t="s">
        <v>157</v>
      </c>
      <c r="D74" t="s">
        <v>158</v>
      </c>
      <c r="E74" t="s">
        <v>39</v>
      </c>
      <c r="F74" t="s">
        <v>40</v>
      </c>
      <c r="G74" t="s">
        <v>41</v>
      </c>
      <c r="H74" s="3" t="str">
        <f>HYPERLINK("https://www.avito.ru/krasnoyarsk/bytovaya_elektronika/3d_printer_h2c_combo_eu_nalichie_dostavka_37_dney_8071062100","3D принтер H2C Combo EU — наличие, доставка 3–7 дней")</f>
      </c>
      <c r="I74" t="s">
        <v>61</v>
      </c>
      <c r="J74" t="s">
        <v>55</v>
      </c>
      <c r="K74" t="s">
        <v>56</v>
      </c>
      <c r="L74">
        <v>30</v>
      </c>
      <c r="M74">
        <v>412</v>
      </c>
      <c r="N74" s="4">
        <v>0.0898</v>
      </c>
      <c r="O74">
        <v>37</v>
      </c>
      <c r="P74" s="5">
        <v>1.51</v>
      </c>
      <c r="Q74" s="4">
        <v>0</v>
      </c>
      <c r="R74">
        <v>0</v>
      </c>
      <c r="S74">
        <v>0</v>
      </c>
      <c r="T74">
        <v>0</v>
      </c>
      <c r="U74">
        <v>0</v>
      </c>
      <c r="V74">
        <v>0</v>
      </c>
      <c r="W74">
        <v>0</v>
      </c>
      <c r="X74" s="5" t="s">
        <v>54</v>
      </c>
      <c r="Y74">
        <v>0</v>
      </c>
      <c r="Z74" s="4">
        <v>0</v>
      </c>
      <c r="AA74">
        <v>0</v>
      </c>
      <c r="AB74" s="5">
        <v>0</v>
      </c>
      <c r="AC74">
        <v>0</v>
      </c>
      <c r="AD74" s="5">
        <v>0</v>
      </c>
      <c r="AE74" s="5">
        <v>56</v>
      </c>
      <c r="AF74" s="5">
        <v>0</v>
      </c>
      <c r="AG74" s="5">
        <v>56</v>
      </c>
      <c r="AH74" s="5">
        <v>0</v>
      </c>
      <c r="AI74" s="5">
        <v>0</v>
      </c>
      <c r="AJ74" s="5">
        <v>0</v>
      </c>
    </row>
    <row r="75">
      <c r="A75" s="2" t="str">
        <f>HYPERLINK("https://www.avito.ru/ekaterinburg/bytovaya_elektronika/h2d_laser_40w_cn_moschnyy_lazer_3d-pechat_tsena_nizhe_eu_8071066229","8071066229")</f>
      </c>
      <c r="B75" t="s">
        <v>182</v>
      </c>
      <c r="C75" t="s">
        <v>183</v>
      </c>
      <c r="D75" t="s">
        <v>184</v>
      </c>
      <c r="E75" t="s">
        <v>39</v>
      </c>
      <c r="F75" t="s">
        <v>40</v>
      </c>
      <c r="G75" t="s">
        <v>41</v>
      </c>
      <c r="H75" s="3" t="str">
        <f>HYPERLINK("https://www.avito.ru/ekaterinburg/bytovaya_elektronika/h2d_laser_40w_cn_moschnyy_lazer_3d-pechat_tsena_nizhe_eu_8071066229","H2D Laser 40W CN — мощный лазер + 3D-печать, цена ниже EU")</f>
      </c>
      <c r="I75" t="s">
        <v>185</v>
      </c>
      <c r="J75" t="s">
        <v>78</v>
      </c>
      <c r="K75" t="s">
        <v>84</v>
      </c>
      <c r="L75">
        <v>29</v>
      </c>
      <c r="M75">
        <v>2</v>
      </c>
      <c r="N75" s="4">
        <v>0</v>
      </c>
      <c r="O75">
        <v>0</v>
      </c>
      <c r="P75" s="5" t="s">
        <v>54</v>
      </c>
      <c r="Q75" s="4" t="s">
        <v>54</v>
      </c>
      <c r="R75">
        <v>0</v>
      </c>
      <c r="S75">
        <v>0</v>
      </c>
      <c r="T75">
        <v>0</v>
      </c>
      <c r="U75">
        <v>0</v>
      </c>
      <c r="V75">
        <v>0</v>
      </c>
      <c r="W75">
        <v>0</v>
      </c>
      <c r="X75" s="5" t="s">
        <v>54</v>
      </c>
      <c r="Y75">
        <v>0</v>
      </c>
      <c r="Z75" s="4" t="s">
        <v>54</v>
      </c>
      <c r="AA75">
        <v>0</v>
      </c>
      <c r="AB75" s="5">
        <v>0</v>
      </c>
      <c r="AC75">
        <v>0</v>
      </c>
      <c r="AD75" s="5">
        <v>0</v>
      </c>
      <c r="AE75" s="5">
        <v>56</v>
      </c>
      <c r="AF75" s="5">
        <v>0</v>
      </c>
      <c r="AG75" s="5">
        <v>56</v>
      </c>
      <c r="AH75" s="5">
        <v>0</v>
      </c>
      <c r="AI75" s="5">
        <v>0</v>
      </c>
      <c r="AJ75" s="5">
        <v>0</v>
      </c>
    </row>
    <row r="76">
      <c r="A76" s="2" t="str">
        <f>HYPERLINK("https://www.avito.ru/kazan/bytovaya_elektronika/bambu_lab_h2s_combo_ams_2_pro_eu_dostavka_po_rf_8071067077","8071067077")</f>
      </c>
      <c r="B76" t="s">
        <v>97</v>
      </c>
      <c r="C76" t="s">
        <v>98</v>
      </c>
      <c r="D76" t="s">
        <v>186</v>
      </c>
      <c r="E76" t="s">
        <v>39</v>
      </c>
      <c r="F76" t="s">
        <v>40</v>
      </c>
      <c r="G76" t="s">
        <v>41</v>
      </c>
      <c r="H76" s="3" t="str">
        <f>HYPERLINK("https://www.avito.ru/kazan/bytovaya_elektronika/bambu_lab_h2s_combo_ams_2_pro_eu_dostavka_po_rf_8071067077","Bambu Lab H2S Combo AMS 2 Pro EU — доставка по РФ")</f>
      </c>
      <c r="I76" t="s">
        <v>80</v>
      </c>
      <c r="J76" t="s">
        <v>55</v>
      </c>
      <c r="K76" t="s">
        <v>56</v>
      </c>
      <c r="L76">
        <v>30</v>
      </c>
      <c r="M76">
        <v>53</v>
      </c>
      <c r="N76" s="4">
        <v>0.2075</v>
      </c>
      <c r="O76">
        <v>11</v>
      </c>
      <c r="P76" s="5">
        <v>5.09</v>
      </c>
      <c r="Q76" s="4">
        <v>0</v>
      </c>
      <c r="R76">
        <v>0</v>
      </c>
      <c r="S76">
        <v>0</v>
      </c>
      <c r="T76">
        <v>0</v>
      </c>
      <c r="U76">
        <v>0</v>
      </c>
      <c r="V76">
        <v>0</v>
      </c>
      <c r="W76">
        <v>0</v>
      </c>
      <c r="X76" s="5" t="s">
        <v>54</v>
      </c>
      <c r="Y76">
        <v>1</v>
      </c>
      <c r="Z76" s="4">
        <v>0</v>
      </c>
      <c r="AA76">
        <v>0</v>
      </c>
      <c r="AB76" s="5">
        <v>0</v>
      </c>
      <c r="AC76">
        <v>0</v>
      </c>
      <c r="AD76" s="5">
        <v>0</v>
      </c>
      <c r="AE76" s="5">
        <v>56</v>
      </c>
      <c r="AF76" s="5">
        <v>0</v>
      </c>
      <c r="AG76" s="5">
        <v>56</v>
      </c>
      <c r="AH76" s="5">
        <v>0</v>
      </c>
      <c r="AI76" s="5">
        <v>0</v>
      </c>
      <c r="AJ76" s="5">
        <v>0</v>
      </c>
    </row>
    <row r="77">
      <c r="A77" s="2" t="str">
        <f>HYPERLINK("https://www.avito.ru/samara/bytovaya_elektronika/elegoo_giga_storm_predzakaz_samara_8071073692","8071073692")</f>
      </c>
      <c r="B77" t="s">
        <v>143</v>
      </c>
      <c r="C77" t="s">
        <v>144</v>
      </c>
      <c r="D77" t="s">
        <v>145</v>
      </c>
      <c r="E77" t="s">
        <v>39</v>
      </c>
      <c r="F77" t="s">
        <v>40</v>
      </c>
      <c r="G77" t="s">
        <v>41</v>
      </c>
      <c r="H77" s="3" t="str">
        <f>HYPERLINK("https://www.avito.ru/samara/bytovaya_elektronika/elegoo_giga_storm_predzakaz_samara_8071073692","Elegoo Giga Storm — предзаказ, Самара")</f>
      </c>
      <c r="I77" t="s">
        <v>187</v>
      </c>
      <c r="J77" t="s">
        <v>89</v>
      </c>
      <c r="K77" t="s">
        <v>84</v>
      </c>
      <c r="L77">
        <v>28</v>
      </c>
      <c r="M77">
        <v>10</v>
      </c>
      <c r="N77" s="4">
        <v>0.2</v>
      </c>
      <c r="O77">
        <v>2</v>
      </c>
      <c r="P77" s="5">
        <v>28</v>
      </c>
      <c r="Q77" s="4">
        <v>0</v>
      </c>
      <c r="R77">
        <v>0</v>
      </c>
      <c r="S77">
        <v>0</v>
      </c>
      <c r="T77">
        <v>0</v>
      </c>
      <c r="U77">
        <v>0</v>
      </c>
      <c r="V77">
        <v>0</v>
      </c>
      <c r="W77">
        <v>0</v>
      </c>
      <c r="X77" s="5" t="s">
        <v>54</v>
      </c>
      <c r="Y77">
        <v>0</v>
      </c>
      <c r="Z77" s="4">
        <v>0</v>
      </c>
      <c r="AA77">
        <v>0</v>
      </c>
      <c r="AB77" s="5">
        <v>0</v>
      </c>
      <c r="AC77">
        <v>0</v>
      </c>
      <c r="AD77" s="5">
        <v>0</v>
      </c>
      <c r="AE77" s="5">
        <v>56</v>
      </c>
      <c r="AF77" s="5">
        <v>0</v>
      </c>
      <c r="AG77" s="5">
        <v>56</v>
      </c>
      <c r="AH77" s="5">
        <v>0</v>
      </c>
      <c r="AI77" s="5">
        <v>0</v>
      </c>
      <c r="AJ77" s="5">
        <v>0</v>
      </c>
    </row>
    <row r="78">
      <c r="A78" s="2" t="str">
        <f>HYPERLINK("https://www.avito.ru/krasnodar/bytovaya_elektronika/3d_printer_h2d_laser_10w_cn_pod_zakaz_sdek_8071074162","8071074162")</f>
      </c>
      <c r="B78" t="s">
        <v>58</v>
      </c>
      <c r="C78" t="s">
        <v>59</v>
      </c>
      <c r="D78" t="s">
        <v>66</v>
      </c>
      <c r="E78" t="s">
        <v>39</v>
      </c>
      <c r="F78" t="s">
        <v>40</v>
      </c>
      <c r="G78" t="s">
        <v>41</v>
      </c>
      <c r="H78" s="3" t="str">
        <f>HYPERLINK("https://www.avito.ru/krasnodar/bytovaya_elektronika/3d_printer_h2d_laser_10w_cn_pod_zakaz_sdek_8071074162","3D принтер H2D Laser 10W CN — под заказ, сдэк")</f>
      </c>
      <c r="I78" t="s">
        <v>188</v>
      </c>
      <c r="J78" t="s">
        <v>78</v>
      </c>
      <c r="K78" t="s">
        <v>84</v>
      </c>
      <c r="L78">
        <v>29</v>
      </c>
      <c r="M78">
        <v>6</v>
      </c>
      <c r="N78" s="4">
        <v>0</v>
      </c>
      <c r="O78">
        <v>0</v>
      </c>
      <c r="P78" s="5" t="s">
        <v>54</v>
      </c>
      <c r="Q78" s="4" t="s">
        <v>54</v>
      </c>
      <c r="R78">
        <v>0</v>
      </c>
      <c r="S78">
        <v>0</v>
      </c>
      <c r="T78">
        <v>0</v>
      </c>
      <c r="U78">
        <v>0</v>
      </c>
      <c r="V78">
        <v>0</v>
      </c>
      <c r="W78">
        <v>0</v>
      </c>
      <c r="X78" s="5" t="s">
        <v>54</v>
      </c>
      <c r="Y78">
        <v>0</v>
      </c>
      <c r="Z78" s="4" t="s">
        <v>54</v>
      </c>
      <c r="AA78">
        <v>0</v>
      </c>
      <c r="AB78" s="5">
        <v>0</v>
      </c>
      <c r="AC78">
        <v>0</v>
      </c>
      <c r="AD78" s="5">
        <v>0</v>
      </c>
      <c r="AE78" s="5">
        <v>56</v>
      </c>
      <c r="AF78" s="5">
        <v>0</v>
      </c>
      <c r="AG78" s="5">
        <v>56</v>
      </c>
      <c r="AH78" s="5">
        <v>0</v>
      </c>
      <c r="AI78" s="5">
        <v>0</v>
      </c>
      <c r="AJ78" s="5">
        <v>0</v>
      </c>
    </row>
    <row r="79">
      <c r="A79">
        <v>8071077223</v>
      </c>
      <c r="B79" t="s">
        <v>36</v>
      </c>
      <c r="C79" t="s">
        <v>37</v>
      </c>
      <c r="D79" t="s">
        <v>38</v>
      </c>
      <c r="E79" t="s">
        <v>39</v>
      </c>
      <c r="F79" t="s">
        <v>40</v>
      </c>
      <c r="G79" t="s">
        <v>41</v>
      </c>
      <c r="H79" t="s">
        <v>53</v>
      </c>
      <c r="I79" t="s">
        <v>54</v>
      </c>
      <c r="J79" t="s">
        <v>89</v>
      </c>
      <c r="K79" t="s">
        <v>84</v>
      </c>
      <c r="L79">
        <v>28</v>
      </c>
      <c r="M79">
        <v>13</v>
      </c>
      <c r="N79" s="4">
        <v>0.0769</v>
      </c>
      <c r="O79">
        <v>1</v>
      </c>
      <c r="P79" s="5">
        <v>85</v>
      </c>
      <c r="Q79" s="4">
        <v>0</v>
      </c>
      <c r="R79">
        <v>0</v>
      </c>
      <c r="S79">
        <v>0</v>
      </c>
      <c r="T79">
        <v>0</v>
      </c>
      <c r="U79">
        <v>0</v>
      </c>
      <c r="V79">
        <v>0</v>
      </c>
      <c r="W79">
        <v>0</v>
      </c>
      <c r="X79" s="5" t="s">
        <v>54</v>
      </c>
      <c r="Y79">
        <v>0</v>
      </c>
      <c r="Z79" s="4">
        <v>0</v>
      </c>
      <c r="AA79">
        <v>0</v>
      </c>
      <c r="AB79" s="5">
        <v>0</v>
      </c>
      <c r="AC79">
        <v>0</v>
      </c>
      <c r="AD79" s="5">
        <v>0</v>
      </c>
      <c r="AE79" s="5">
        <v>85</v>
      </c>
      <c r="AF79" s="5">
        <v>0</v>
      </c>
      <c r="AG79" s="5">
        <v>85</v>
      </c>
      <c r="AH79" s="5">
        <v>0</v>
      </c>
      <c r="AI79" s="5">
        <v>0</v>
      </c>
      <c r="AJ79" s="5">
        <v>0</v>
      </c>
    </row>
    <row r="80">
      <c r="A80" s="2" t="str">
        <f>HYPERLINK("https://www.avito.ru/perm/bytovaya_elektronika/3d_printer_h2d_pro_combo_eu_proizvodstvo_i_rd_8071079507","8071079507")</f>
      </c>
      <c r="B80" t="s">
        <v>126</v>
      </c>
      <c r="C80" t="s">
        <v>127</v>
      </c>
      <c r="D80" t="s">
        <v>128</v>
      </c>
      <c r="E80" t="s">
        <v>39</v>
      </c>
      <c r="F80" t="s">
        <v>40</v>
      </c>
      <c r="G80" t="s">
        <v>41</v>
      </c>
      <c r="H80" s="3" t="str">
        <f>HYPERLINK("https://www.avito.ru/perm/bytovaya_elektronika/3d_printer_h2d_pro_combo_eu_proizvodstvo_i_rd_8071079507","3D принтер H2D PRO Combo EU — производство и R&amp;D")</f>
      </c>
      <c r="I80" t="s">
        <v>189</v>
      </c>
      <c r="J80" t="s">
        <v>89</v>
      </c>
      <c r="K80" t="s">
        <v>84</v>
      </c>
      <c r="L80">
        <v>28</v>
      </c>
      <c r="M80">
        <v>55</v>
      </c>
      <c r="N80" s="4">
        <v>0.0727</v>
      </c>
      <c r="O80">
        <v>4</v>
      </c>
      <c r="P80" s="5">
        <v>14</v>
      </c>
      <c r="Q80" s="4">
        <v>0</v>
      </c>
      <c r="R80">
        <v>0</v>
      </c>
      <c r="S80">
        <v>0</v>
      </c>
      <c r="T80">
        <v>0</v>
      </c>
      <c r="U80">
        <v>0</v>
      </c>
      <c r="V80">
        <v>0</v>
      </c>
      <c r="W80">
        <v>0</v>
      </c>
      <c r="X80" s="5" t="s">
        <v>54</v>
      </c>
      <c r="Y80">
        <v>0</v>
      </c>
      <c r="Z80" s="4">
        <v>0</v>
      </c>
      <c r="AA80">
        <v>0</v>
      </c>
      <c r="AB80" s="5">
        <v>0</v>
      </c>
      <c r="AC80">
        <v>0</v>
      </c>
      <c r="AD80" s="5">
        <v>0</v>
      </c>
      <c r="AE80" s="5">
        <v>56</v>
      </c>
      <c r="AF80" s="5">
        <v>0</v>
      </c>
      <c r="AG80" s="5">
        <v>56</v>
      </c>
      <c r="AH80" s="5">
        <v>0</v>
      </c>
      <c r="AI80" s="5">
        <v>0</v>
      </c>
      <c r="AJ80" s="5">
        <v>0</v>
      </c>
    </row>
    <row r="81">
      <c r="A81" s="2" t="str">
        <f>HYPERLINK("https://www.avito.ru/moskva/bytovaya_elektronika/bambu_lab_h2s_combo_ams_2_pro_eu_dostavka_po_rf_8071083462","8071083462")</f>
      </c>
      <c r="B81" t="s">
        <v>36</v>
      </c>
      <c r="C81" t="s">
        <v>37</v>
      </c>
      <c r="D81" t="s">
        <v>57</v>
      </c>
      <c r="E81" t="s">
        <v>39</v>
      </c>
      <c r="F81" t="s">
        <v>40</v>
      </c>
      <c r="G81" t="s">
        <v>41</v>
      </c>
      <c r="H81" s="3" t="str">
        <f>HYPERLINK("https://www.avito.ru/moskva/bytovaya_elektronika/bambu_lab_h2s_combo_ams_2_pro_eu_dostavka_po_rf_8071083462","Bambu Lab H2S Combo AMS 2 Pro EU — доставка по РФ")</f>
      </c>
      <c r="I81" t="s">
        <v>80</v>
      </c>
      <c r="J81" t="s">
        <v>55</v>
      </c>
      <c r="K81" t="s">
        <v>56</v>
      </c>
      <c r="L81">
        <v>30</v>
      </c>
      <c r="M81">
        <v>156</v>
      </c>
      <c r="N81" s="4">
        <v>0.0576</v>
      </c>
      <c r="O81">
        <v>9</v>
      </c>
      <c r="P81" s="5">
        <v>9.44</v>
      </c>
      <c r="Q81" s="4">
        <v>0</v>
      </c>
      <c r="R81">
        <v>0</v>
      </c>
      <c r="S81">
        <v>0</v>
      </c>
      <c r="T81">
        <v>0</v>
      </c>
      <c r="U81">
        <v>0</v>
      </c>
      <c r="V81">
        <v>0</v>
      </c>
      <c r="W81">
        <v>0</v>
      </c>
      <c r="X81" s="5" t="s">
        <v>54</v>
      </c>
      <c r="Y81">
        <v>0</v>
      </c>
      <c r="Z81" s="4">
        <v>0</v>
      </c>
      <c r="AA81">
        <v>0</v>
      </c>
      <c r="AB81" s="5">
        <v>0</v>
      </c>
      <c r="AC81">
        <v>0</v>
      </c>
      <c r="AD81" s="5">
        <v>0</v>
      </c>
      <c r="AE81" s="5">
        <v>85</v>
      </c>
      <c r="AF81" s="5">
        <v>0</v>
      </c>
      <c r="AG81" s="5">
        <v>85</v>
      </c>
      <c r="AH81" s="5">
        <v>0</v>
      </c>
      <c r="AI81" s="5">
        <v>0</v>
      </c>
      <c r="AJ81" s="5">
        <v>0</v>
      </c>
    </row>
    <row r="82">
      <c r="A82" s="2" t="str">
        <f>HYPERLINK("https://www.avito.ru/krasnodar/bytovaya_elektronika/bambu_lab_h2d_laser_40w_promyshlennyy_lazer_3-v-1_8071089374","8071089374")</f>
      </c>
      <c r="B82" t="s">
        <v>58</v>
      </c>
      <c r="C82" t="s">
        <v>59</v>
      </c>
      <c r="D82" t="s">
        <v>95</v>
      </c>
      <c r="E82" t="s">
        <v>39</v>
      </c>
      <c r="F82" t="s">
        <v>40</v>
      </c>
      <c r="G82" t="s">
        <v>41</v>
      </c>
      <c r="H82" s="3" t="str">
        <f>HYPERLINK("https://www.avito.ru/krasnodar/bytovaya_elektronika/bambu_lab_h2d_laser_40w_promyshlennyy_lazer_3-v-1_8071089374","Bambu Lab H2D Laser 40W — промышленный лазер 3-в-1")</f>
      </c>
      <c r="I82" t="s">
        <v>190</v>
      </c>
      <c r="J82" t="s">
        <v>55</v>
      </c>
      <c r="K82" t="s">
        <v>56</v>
      </c>
      <c r="L82">
        <v>30</v>
      </c>
      <c r="M82">
        <v>65</v>
      </c>
      <c r="N82" s="4">
        <v>0.1692</v>
      </c>
      <c r="O82">
        <v>11</v>
      </c>
      <c r="P82" s="5">
        <v>5.09</v>
      </c>
      <c r="Q82" s="4">
        <v>0</v>
      </c>
      <c r="R82">
        <v>0</v>
      </c>
      <c r="S82">
        <v>0</v>
      </c>
      <c r="T82">
        <v>0</v>
      </c>
      <c r="U82">
        <v>0</v>
      </c>
      <c r="V82">
        <v>0</v>
      </c>
      <c r="W82">
        <v>0</v>
      </c>
      <c r="X82" s="5" t="s">
        <v>54</v>
      </c>
      <c r="Y82">
        <v>0</v>
      </c>
      <c r="Z82" s="4">
        <v>0</v>
      </c>
      <c r="AA82">
        <v>0</v>
      </c>
      <c r="AB82" s="5">
        <v>0</v>
      </c>
      <c r="AC82">
        <v>0</v>
      </c>
      <c r="AD82" s="5">
        <v>0</v>
      </c>
      <c r="AE82" s="5">
        <v>56</v>
      </c>
      <c r="AF82" s="5">
        <v>0</v>
      </c>
      <c r="AG82" s="5">
        <v>56</v>
      </c>
      <c r="AH82" s="5">
        <v>0</v>
      </c>
      <c r="AI82" s="5">
        <v>0</v>
      </c>
      <c r="AJ82" s="5">
        <v>0</v>
      </c>
    </row>
    <row r="83">
      <c r="A83" s="2" t="str">
        <f>HYPERLINK("https://www.avito.ru/belgorod/bytovaya_elektronika/bambu_lab_h2d_combo_eu_dvoynoy_ekstruder_ams_2_pro_8071092942","8071092942")</f>
      </c>
      <c r="B83" t="s">
        <v>112</v>
      </c>
      <c r="C83" t="s">
        <v>113</v>
      </c>
      <c r="D83" t="s">
        <v>114</v>
      </c>
      <c r="E83" t="s">
        <v>39</v>
      </c>
      <c r="F83" t="s">
        <v>40</v>
      </c>
      <c r="G83" t="s">
        <v>41</v>
      </c>
      <c r="H83" s="3" t="str">
        <f>HYPERLINK("https://www.avito.ru/belgorod/bytovaya_elektronika/bambu_lab_h2d_combo_eu_dvoynoy_ekstruder_ams_2_pro_8071092942","Bambu Lab H2D Combo EU — двойной экструдер + AMS 2 Pro")</f>
      </c>
      <c r="I83" t="s">
        <v>142</v>
      </c>
      <c r="J83" t="s">
        <v>78</v>
      </c>
      <c r="K83" t="s">
        <v>84</v>
      </c>
      <c r="L83">
        <v>29</v>
      </c>
      <c r="M83">
        <v>9</v>
      </c>
      <c r="N83" s="4">
        <v>0.1111</v>
      </c>
      <c r="O83">
        <v>1</v>
      </c>
      <c r="P83" s="5">
        <v>56</v>
      </c>
      <c r="Q83" s="4">
        <v>0</v>
      </c>
      <c r="R83">
        <v>0</v>
      </c>
      <c r="S83">
        <v>0</v>
      </c>
      <c r="T83">
        <v>0</v>
      </c>
      <c r="U83">
        <v>0</v>
      </c>
      <c r="V83">
        <v>0</v>
      </c>
      <c r="W83">
        <v>0</v>
      </c>
      <c r="X83" s="5" t="s">
        <v>54</v>
      </c>
      <c r="Y83">
        <v>0</v>
      </c>
      <c r="Z83" s="4">
        <v>0</v>
      </c>
      <c r="AA83">
        <v>0</v>
      </c>
      <c r="AB83" s="5">
        <v>0</v>
      </c>
      <c r="AC83">
        <v>0</v>
      </c>
      <c r="AD83" s="5">
        <v>0</v>
      </c>
      <c r="AE83" s="5">
        <v>56</v>
      </c>
      <c r="AF83" s="5">
        <v>0</v>
      </c>
      <c r="AG83" s="5">
        <v>56</v>
      </c>
      <c r="AH83" s="5">
        <v>0</v>
      </c>
      <c r="AI83" s="5">
        <v>0</v>
      </c>
      <c r="AJ83" s="5">
        <v>0</v>
      </c>
    </row>
    <row r="84">
      <c r="A84" s="2" t="str">
        <f>HYPERLINK("https://www.avito.ru/velikiy_novgorod/bytovaya_elektronika/bambu_lab_h2d_combo_eu_dvoynoy_ekstruder_ams_2_pro_8071096458","8071096458")</f>
      </c>
      <c r="B84" t="s">
        <v>191</v>
      </c>
      <c r="C84" t="s">
        <v>192</v>
      </c>
      <c r="D84" t="s">
        <v>193</v>
      </c>
      <c r="E84" t="s">
        <v>39</v>
      </c>
      <c r="F84" t="s">
        <v>40</v>
      </c>
      <c r="G84" t="s">
        <v>41</v>
      </c>
      <c r="H84" s="3" t="str">
        <f>HYPERLINK("https://www.avito.ru/velikiy_novgorod/bytovaya_elektronika/bambu_lab_h2d_combo_eu_dvoynoy_ekstruder_ams_2_pro_8071096458","Bambu Lab H2D Combo EU — двойной экструдер + AMS 2 Pro")</f>
      </c>
      <c r="I84" t="s">
        <v>142</v>
      </c>
      <c r="J84" t="s">
        <v>78</v>
      </c>
      <c r="K84" t="s">
        <v>79</v>
      </c>
      <c r="L84">
        <v>29</v>
      </c>
      <c r="M84">
        <v>219</v>
      </c>
      <c r="N84" s="4">
        <v>0.0182</v>
      </c>
      <c r="O84">
        <v>4</v>
      </c>
      <c r="P84" s="5">
        <v>14</v>
      </c>
      <c r="Q84" s="4">
        <v>0</v>
      </c>
      <c r="R84">
        <v>0</v>
      </c>
      <c r="S84">
        <v>0</v>
      </c>
      <c r="T84">
        <v>0</v>
      </c>
      <c r="U84">
        <v>0</v>
      </c>
      <c r="V84">
        <v>0</v>
      </c>
      <c r="W84">
        <v>0</v>
      </c>
      <c r="X84" s="5" t="s">
        <v>54</v>
      </c>
      <c r="Y84">
        <v>1</v>
      </c>
      <c r="Z84" s="4">
        <v>0</v>
      </c>
      <c r="AA84">
        <v>0</v>
      </c>
      <c r="AB84" s="5">
        <v>0</v>
      </c>
      <c r="AC84">
        <v>0</v>
      </c>
      <c r="AD84" s="5">
        <v>0</v>
      </c>
      <c r="AE84" s="5">
        <v>56</v>
      </c>
      <c r="AF84" s="5">
        <v>0</v>
      </c>
      <c r="AG84" s="5">
        <v>56</v>
      </c>
      <c r="AH84" s="5">
        <v>0</v>
      </c>
      <c r="AI84" s="5">
        <v>0</v>
      </c>
      <c r="AJ84" s="5">
        <v>0</v>
      </c>
    </row>
    <row r="85">
      <c r="A85" s="2" t="str">
        <f>HYPERLINK("https://www.avito.ru/samara/bytovaya_elektronika/bambu_h2d_pro_ams_eu_pro-komponenty_sdek_2527_dney_8071099139","8071099139")</f>
      </c>
      <c r="B85" t="s">
        <v>143</v>
      </c>
      <c r="C85" t="s">
        <v>144</v>
      </c>
      <c r="D85" t="s">
        <v>145</v>
      </c>
      <c r="E85" t="s">
        <v>39</v>
      </c>
      <c r="F85" t="s">
        <v>40</v>
      </c>
      <c r="G85" t="s">
        <v>41</v>
      </c>
      <c r="H85" s="3" t="str">
        <f>HYPERLINK("https://www.avito.ru/samara/bytovaya_elektronika/bambu_h2d_pro_ams_eu_pro-komponenty_sdek_2527_dney_8071099139","Bambu H2D PRO AMS EU — PRO-компоненты, сдэк 25–27 дней")</f>
      </c>
      <c r="I85" t="s">
        <v>194</v>
      </c>
      <c r="J85" t="s">
        <v>78</v>
      </c>
      <c r="K85" t="s">
        <v>84</v>
      </c>
      <c r="L85">
        <v>29</v>
      </c>
      <c r="M85">
        <v>4</v>
      </c>
      <c r="N85" s="4">
        <v>0</v>
      </c>
      <c r="O85">
        <v>0</v>
      </c>
      <c r="P85" s="5" t="s">
        <v>54</v>
      </c>
      <c r="Q85" s="4" t="s">
        <v>54</v>
      </c>
      <c r="R85">
        <v>0</v>
      </c>
      <c r="S85">
        <v>0</v>
      </c>
      <c r="T85">
        <v>0</v>
      </c>
      <c r="U85">
        <v>0</v>
      </c>
      <c r="V85">
        <v>0</v>
      </c>
      <c r="W85">
        <v>0</v>
      </c>
      <c r="X85" s="5" t="s">
        <v>54</v>
      </c>
      <c r="Y85">
        <v>0</v>
      </c>
      <c r="Z85" s="4" t="s">
        <v>54</v>
      </c>
      <c r="AA85">
        <v>0</v>
      </c>
      <c r="AB85" s="5">
        <v>0</v>
      </c>
      <c r="AC85">
        <v>0</v>
      </c>
      <c r="AD85" s="5">
        <v>0</v>
      </c>
      <c r="AE85" s="5">
        <v>56</v>
      </c>
      <c r="AF85" s="5">
        <v>0</v>
      </c>
      <c r="AG85" s="5">
        <v>56</v>
      </c>
      <c r="AH85" s="5">
        <v>0</v>
      </c>
      <c r="AI85" s="5">
        <v>0</v>
      </c>
      <c r="AJ85" s="5">
        <v>0</v>
      </c>
    </row>
    <row r="86">
      <c r="A86" s="2" t="str">
        <f>HYPERLINK("https://www.avito.ru/voronezh/bytovaya_elektronika/h2c_combo_eu_bambu_lab_v_nalichii_ne_zhdite_25_dney_8071112816","8071112816")</f>
      </c>
      <c r="B86" t="s">
        <v>169</v>
      </c>
      <c r="C86" t="s">
        <v>170</v>
      </c>
      <c r="D86" t="s">
        <v>195</v>
      </c>
      <c r="E86" t="s">
        <v>39</v>
      </c>
      <c r="F86" t="s">
        <v>40</v>
      </c>
      <c r="G86" t="s">
        <v>41</v>
      </c>
      <c r="H86" s="3" t="str">
        <f>HYPERLINK("https://www.avito.ru/voronezh/bytovaya_elektronika/h2c_combo_eu_bambu_lab_v_nalichii_ne_zhdite_25_dney_8071112816","H2C Combo EU Bambu Lab — в наличии, не ждите 25 дней")</f>
      </c>
      <c r="I86" t="s">
        <v>61</v>
      </c>
      <c r="J86" t="s">
        <v>78</v>
      </c>
      <c r="K86" t="s">
        <v>79</v>
      </c>
      <c r="L86">
        <v>29</v>
      </c>
      <c r="M86">
        <v>223</v>
      </c>
      <c r="N86" s="4">
        <v>0.1121</v>
      </c>
      <c r="O86">
        <v>25</v>
      </c>
      <c r="P86" s="5">
        <v>2.24</v>
      </c>
      <c r="Q86" s="4">
        <v>0</v>
      </c>
      <c r="R86">
        <v>0</v>
      </c>
      <c r="S86">
        <v>0</v>
      </c>
      <c r="T86">
        <v>0</v>
      </c>
      <c r="U86">
        <v>0</v>
      </c>
      <c r="V86">
        <v>0</v>
      </c>
      <c r="W86">
        <v>0</v>
      </c>
      <c r="X86" s="5" t="s">
        <v>54</v>
      </c>
      <c r="Y86">
        <v>0</v>
      </c>
      <c r="Z86" s="4">
        <v>0</v>
      </c>
      <c r="AA86">
        <v>0</v>
      </c>
      <c r="AB86" s="5">
        <v>0</v>
      </c>
      <c r="AC86">
        <v>0</v>
      </c>
      <c r="AD86" s="5">
        <v>0</v>
      </c>
      <c r="AE86" s="5">
        <v>56</v>
      </c>
      <c r="AF86" s="5">
        <v>0</v>
      </c>
      <c r="AG86" s="5">
        <v>56</v>
      </c>
      <c r="AH86" s="5">
        <v>0</v>
      </c>
      <c r="AI86" s="5">
        <v>0</v>
      </c>
      <c r="AJ86" s="5">
        <v>0</v>
      </c>
    </row>
    <row r="87">
      <c r="A87" s="2" t="str">
        <f>HYPERLINK("https://www.avito.ru/stavropol/bytovaya_elektronika/bambu_lab_h2d_combo_eu_dvoynoy_ekstruder_ams_2_pro_8071115932","8071115932")</f>
      </c>
      <c r="B87" t="s">
        <v>196</v>
      </c>
      <c r="C87" t="s">
        <v>197</v>
      </c>
      <c r="D87" t="s">
        <v>198</v>
      </c>
      <c r="E87" t="s">
        <v>39</v>
      </c>
      <c r="F87" t="s">
        <v>40</v>
      </c>
      <c r="G87" t="s">
        <v>41</v>
      </c>
      <c r="H87" s="3" t="str">
        <f>HYPERLINK("https://www.avito.ru/stavropol/bytovaya_elektronika/bambu_lab_h2d_combo_eu_dvoynoy_ekstruder_ams_2_pro_8071115932","Bambu Lab H2D Combo EU — двойной экструдер + AMS 2 Pro")</f>
      </c>
      <c r="I87" t="s">
        <v>142</v>
      </c>
      <c r="J87" t="s">
        <v>89</v>
      </c>
      <c r="K87" t="s">
        <v>84</v>
      </c>
      <c r="L87">
        <v>28</v>
      </c>
      <c r="M87">
        <v>101</v>
      </c>
      <c r="N87" s="4">
        <v>0.0099</v>
      </c>
      <c r="O87">
        <v>1</v>
      </c>
      <c r="P87" s="5">
        <v>56</v>
      </c>
      <c r="Q87" s="4">
        <v>0</v>
      </c>
      <c r="R87">
        <v>0</v>
      </c>
      <c r="S87">
        <v>0</v>
      </c>
      <c r="T87">
        <v>0</v>
      </c>
      <c r="U87">
        <v>0</v>
      </c>
      <c r="V87">
        <v>0</v>
      </c>
      <c r="W87">
        <v>0</v>
      </c>
      <c r="X87" s="5" t="s">
        <v>54</v>
      </c>
      <c r="Y87">
        <v>0</v>
      </c>
      <c r="Z87" s="4">
        <v>0</v>
      </c>
      <c r="AA87">
        <v>0</v>
      </c>
      <c r="AB87" s="5">
        <v>0</v>
      </c>
      <c r="AC87">
        <v>0</v>
      </c>
      <c r="AD87" s="5">
        <v>0</v>
      </c>
      <c r="AE87" s="5">
        <v>56</v>
      </c>
      <c r="AF87" s="5">
        <v>0</v>
      </c>
      <c r="AG87" s="5">
        <v>56</v>
      </c>
      <c r="AH87" s="5">
        <v>0</v>
      </c>
      <c r="AI87" s="5">
        <v>0</v>
      </c>
      <c r="AJ87" s="5">
        <v>0</v>
      </c>
    </row>
    <row r="88">
      <c r="A88">
        <v>8071116469</v>
      </c>
      <c r="B88" t="s">
        <v>58</v>
      </c>
      <c r="C88" t="s">
        <v>59</v>
      </c>
      <c r="D88" t="s">
        <v>66</v>
      </c>
      <c r="E88" t="s">
        <v>39</v>
      </c>
      <c r="F88" t="s">
        <v>40</v>
      </c>
      <c r="G88" t="s">
        <v>41</v>
      </c>
      <c r="H88" t="s">
        <v>53</v>
      </c>
      <c r="I88" t="s">
        <v>54</v>
      </c>
      <c r="J88" t="s">
        <v>89</v>
      </c>
      <c r="K88" t="s">
        <v>84</v>
      </c>
      <c r="L88">
        <v>28</v>
      </c>
      <c r="M88">
        <v>345</v>
      </c>
      <c r="N88" s="4">
        <v>0.0202</v>
      </c>
      <c r="O88">
        <v>7</v>
      </c>
      <c r="P88" s="5">
        <v>8</v>
      </c>
      <c r="Q88" s="4">
        <v>0</v>
      </c>
      <c r="R88">
        <v>0</v>
      </c>
      <c r="S88">
        <v>0</v>
      </c>
      <c r="T88">
        <v>0</v>
      </c>
      <c r="U88">
        <v>0</v>
      </c>
      <c r="V88">
        <v>0</v>
      </c>
      <c r="W88">
        <v>0</v>
      </c>
      <c r="X88" s="5" t="s">
        <v>54</v>
      </c>
      <c r="Y88">
        <v>1</v>
      </c>
      <c r="Z88" s="4">
        <v>0</v>
      </c>
      <c r="AA88">
        <v>0</v>
      </c>
      <c r="AB88" s="5">
        <v>0</v>
      </c>
      <c r="AC88">
        <v>0</v>
      </c>
      <c r="AD88" s="5">
        <v>0</v>
      </c>
      <c r="AE88" s="5">
        <v>56</v>
      </c>
      <c r="AF88" s="5">
        <v>0</v>
      </c>
      <c r="AG88" s="5">
        <v>56</v>
      </c>
      <c r="AH88" s="5">
        <v>0</v>
      </c>
      <c r="AI88" s="5">
        <v>0</v>
      </c>
      <c r="AJ88" s="5">
        <v>0</v>
      </c>
    </row>
    <row r="89">
      <c r="A89" s="2" t="str">
        <f>HYPERLINK("https://www.avito.ru/ekaterinburg/bytovaya_elektronika/3d-printer_elegoo_giga_storm_ekaterinburg_8071119146","8071119146")</f>
      </c>
      <c r="B89" t="s">
        <v>182</v>
      </c>
      <c r="C89" t="s">
        <v>183</v>
      </c>
      <c r="D89" t="s">
        <v>184</v>
      </c>
      <c r="E89" t="s">
        <v>39</v>
      </c>
      <c r="F89" t="s">
        <v>40</v>
      </c>
      <c r="G89" t="s">
        <v>41</v>
      </c>
      <c r="H89" s="3" t="str">
        <f>HYPERLINK("https://www.avito.ru/ekaterinburg/bytovaya_elektronika/3d-printer_elegoo_giga_storm_ekaterinburg_8071119146","3D-принтер Elegoo Giga Storm — Екатеринбург")</f>
      </c>
      <c r="I89" t="s">
        <v>199</v>
      </c>
      <c r="J89" t="s">
        <v>89</v>
      </c>
      <c r="K89" t="s">
        <v>84</v>
      </c>
      <c r="L89">
        <v>28</v>
      </c>
      <c r="M89">
        <v>38</v>
      </c>
      <c r="N89" s="4">
        <v>0.1052</v>
      </c>
      <c r="O89">
        <v>4</v>
      </c>
      <c r="P89" s="5">
        <v>14</v>
      </c>
      <c r="Q89" s="4">
        <v>0</v>
      </c>
      <c r="R89">
        <v>0</v>
      </c>
      <c r="S89">
        <v>0</v>
      </c>
      <c r="T89">
        <v>0</v>
      </c>
      <c r="U89">
        <v>0</v>
      </c>
      <c r="V89">
        <v>0</v>
      </c>
      <c r="W89">
        <v>0</v>
      </c>
      <c r="X89" s="5" t="s">
        <v>54</v>
      </c>
      <c r="Y89">
        <v>0</v>
      </c>
      <c r="Z89" s="4">
        <v>0</v>
      </c>
      <c r="AA89">
        <v>0</v>
      </c>
      <c r="AB89" s="5">
        <v>0</v>
      </c>
      <c r="AC89">
        <v>0</v>
      </c>
      <c r="AD89" s="5">
        <v>0</v>
      </c>
      <c r="AE89" s="5">
        <v>56</v>
      </c>
      <c r="AF89" s="5">
        <v>0</v>
      </c>
      <c r="AG89" s="5">
        <v>56</v>
      </c>
      <c r="AH89" s="5">
        <v>0</v>
      </c>
      <c r="AI89" s="5">
        <v>0</v>
      </c>
      <c r="AJ89" s="5">
        <v>0</v>
      </c>
    </row>
    <row r="90">
      <c r="A90" s="2" t="str">
        <f>HYPERLINK("https://www.avito.ru/sankt-peterburg/bytovaya_elektronika/h2d_combo_ams_2_pro_eu_dvoynoy_ekstruder_ai-kamera_8071124791","8071124791")</f>
      </c>
      <c r="B90" t="s">
        <v>36</v>
      </c>
      <c r="C90" t="s">
        <v>90</v>
      </c>
      <c r="D90" t="s">
        <v>104</v>
      </c>
      <c r="E90" t="s">
        <v>39</v>
      </c>
      <c r="F90" t="s">
        <v>40</v>
      </c>
      <c r="G90" t="s">
        <v>41</v>
      </c>
      <c r="H90" s="3" t="str">
        <f>HYPERLINK("https://www.avito.ru/sankt-peterburg/bytovaya_elektronika/h2d_combo_ams_2_pro_eu_dvoynoy_ekstruder_ai-kamera_8071124791","H2D Combo AMS 2 Pro EU — двойной экструдер, AI-камера")</f>
      </c>
      <c r="I90" t="s">
        <v>142</v>
      </c>
      <c r="J90" t="s">
        <v>55</v>
      </c>
      <c r="K90" t="s">
        <v>56</v>
      </c>
      <c r="L90">
        <v>30</v>
      </c>
      <c r="M90">
        <v>41</v>
      </c>
      <c r="N90" s="4">
        <v>0.0975</v>
      </c>
      <c r="O90">
        <v>4</v>
      </c>
      <c r="P90" s="5">
        <v>14</v>
      </c>
      <c r="Q90" s="4">
        <v>0</v>
      </c>
      <c r="R90">
        <v>0</v>
      </c>
      <c r="S90">
        <v>0</v>
      </c>
      <c r="T90">
        <v>0</v>
      </c>
      <c r="U90">
        <v>0</v>
      </c>
      <c r="V90">
        <v>0</v>
      </c>
      <c r="W90">
        <v>0</v>
      </c>
      <c r="X90" s="5" t="s">
        <v>54</v>
      </c>
      <c r="Y90">
        <v>0</v>
      </c>
      <c r="Z90" s="4">
        <v>0</v>
      </c>
      <c r="AA90">
        <v>0</v>
      </c>
      <c r="AB90" s="5">
        <v>0</v>
      </c>
      <c r="AC90">
        <v>0</v>
      </c>
      <c r="AD90" s="5">
        <v>0</v>
      </c>
      <c r="AE90" s="5">
        <v>56</v>
      </c>
      <c r="AF90" s="5">
        <v>0</v>
      </c>
      <c r="AG90" s="5">
        <v>56</v>
      </c>
      <c r="AH90" s="5">
        <v>0</v>
      </c>
      <c r="AI90" s="5">
        <v>0</v>
      </c>
      <c r="AJ90" s="5">
        <v>0</v>
      </c>
    </row>
    <row r="91">
      <c r="A91" s="2" t="str">
        <f>HYPERLINK("https://www.avito.ru/rostov-na-donu/bytovaya_elektronika/3d_printer_h2d_laser_40w_cn_pod_zakaz_sdek_8071125404","8071125404")</f>
      </c>
      <c r="B91" t="s">
        <v>70</v>
      </c>
      <c r="C91" t="s">
        <v>71</v>
      </c>
      <c r="D91" t="s">
        <v>72</v>
      </c>
      <c r="E91" t="s">
        <v>39</v>
      </c>
      <c r="F91" t="s">
        <v>40</v>
      </c>
      <c r="G91" t="s">
        <v>41</v>
      </c>
      <c r="H91" s="3" t="str">
        <f>HYPERLINK("https://www.avito.ru/rostov-na-donu/bytovaya_elektronika/3d_printer_h2d_laser_40w_cn_pod_zakaz_sdek_8071125404","3D принтер H2D Laser 40W CN — под заказ, сдэк")</f>
      </c>
      <c r="I91" t="s">
        <v>200</v>
      </c>
      <c r="J91" t="s">
        <v>78</v>
      </c>
      <c r="K91" t="s">
        <v>84</v>
      </c>
      <c r="L91">
        <v>29</v>
      </c>
      <c r="M91">
        <v>7</v>
      </c>
      <c r="N91" s="4">
        <v>0.4285</v>
      </c>
      <c r="O91">
        <v>3</v>
      </c>
      <c r="P91" s="5">
        <v>18.66</v>
      </c>
      <c r="Q91" s="4">
        <v>0</v>
      </c>
      <c r="R91">
        <v>0</v>
      </c>
      <c r="S91">
        <v>0</v>
      </c>
      <c r="T91">
        <v>0</v>
      </c>
      <c r="U91">
        <v>0</v>
      </c>
      <c r="V91">
        <v>0</v>
      </c>
      <c r="W91">
        <v>0</v>
      </c>
      <c r="X91" s="5" t="s">
        <v>54</v>
      </c>
      <c r="Y91">
        <v>0</v>
      </c>
      <c r="Z91" s="4">
        <v>0</v>
      </c>
      <c r="AA91">
        <v>0</v>
      </c>
      <c r="AB91" s="5">
        <v>0</v>
      </c>
      <c r="AC91">
        <v>0</v>
      </c>
      <c r="AD91" s="5">
        <v>0</v>
      </c>
      <c r="AE91" s="5">
        <v>56</v>
      </c>
      <c r="AF91" s="5">
        <v>0</v>
      </c>
      <c r="AG91" s="5">
        <v>56</v>
      </c>
      <c r="AH91" s="5">
        <v>0</v>
      </c>
      <c r="AI91" s="5">
        <v>0</v>
      </c>
      <c r="AJ91" s="5">
        <v>0</v>
      </c>
    </row>
    <row r="92">
      <c r="A92" s="2" t="str">
        <f>HYPERLINK("https://www.avito.ru/rostov-na-donu/bytovaya_elektronika/bambu_lab_h2d_pro_combo_ams_eu_flagman_lineyki_8071126895","8071126895")</f>
      </c>
      <c r="B92" t="s">
        <v>70</v>
      </c>
      <c r="C92" t="s">
        <v>71</v>
      </c>
      <c r="D92" t="s">
        <v>72</v>
      </c>
      <c r="E92" t="s">
        <v>39</v>
      </c>
      <c r="F92" t="s">
        <v>40</v>
      </c>
      <c r="G92" t="s">
        <v>41</v>
      </c>
      <c r="H92" s="3" t="str">
        <f>HYPERLINK("https://www.avito.ru/rostov-na-donu/bytovaya_elektronika/bambu_lab_h2d_pro_combo_ams_eu_flagman_lineyki_8071126895","Bambu Lab H2D PRO Combo AMS EU — флагман линейки")</f>
      </c>
      <c r="I92" t="s">
        <v>201</v>
      </c>
      <c r="J92" t="s">
        <v>78</v>
      </c>
      <c r="K92" t="s">
        <v>84</v>
      </c>
      <c r="L92">
        <v>29</v>
      </c>
      <c r="M92">
        <v>5</v>
      </c>
      <c r="N92" s="4">
        <v>0</v>
      </c>
      <c r="O92">
        <v>0</v>
      </c>
      <c r="P92" s="5" t="s">
        <v>54</v>
      </c>
      <c r="Q92" s="4" t="s">
        <v>54</v>
      </c>
      <c r="R92">
        <v>0</v>
      </c>
      <c r="S92">
        <v>0</v>
      </c>
      <c r="T92">
        <v>0</v>
      </c>
      <c r="U92">
        <v>0</v>
      </c>
      <c r="V92">
        <v>0</v>
      </c>
      <c r="W92">
        <v>0</v>
      </c>
      <c r="X92" s="5" t="s">
        <v>54</v>
      </c>
      <c r="Y92">
        <v>0</v>
      </c>
      <c r="Z92" s="4" t="s">
        <v>54</v>
      </c>
      <c r="AA92">
        <v>0</v>
      </c>
      <c r="AB92" s="5">
        <v>0</v>
      </c>
      <c r="AC92">
        <v>0</v>
      </c>
      <c r="AD92" s="5">
        <v>0</v>
      </c>
      <c r="AE92" s="5">
        <v>56</v>
      </c>
      <c r="AF92" s="5">
        <v>0</v>
      </c>
      <c r="AG92" s="5">
        <v>56</v>
      </c>
      <c r="AH92" s="5">
        <v>0</v>
      </c>
      <c r="AI92" s="5">
        <v>0</v>
      </c>
      <c r="AJ92" s="5">
        <v>0</v>
      </c>
    </row>
    <row r="93">
      <c r="A93" s="2" t="str">
        <f>HYPERLINK("https://www.avito.ru/habarovsk/bytovaya_elektronika/3d_printer_h2c_combo_eu_est_v_nalichii_vortek_ams_8071134638","8071134638")</f>
      </c>
      <c r="B93" t="s">
        <v>150</v>
      </c>
      <c r="C93" t="s">
        <v>151</v>
      </c>
      <c r="D93" t="s">
        <v>152</v>
      </c>
      <c r="E93" t="s">
        <v>39</v>
      </c>
      <c r="F93" t="s">
        <v>40</v>
      </c>
      <c r="G93" t="s">
        <v>41</v>
      </c>
      <c r="H93" s="3" t="str">
        <f>HYPERLINK("https://www.avito.ru/habarovsk/bytovaya_elektronika/3d_printer_h2c_combo_eu_est_v_nalichii_vortek_ams_8071134638","3D принтер H2C Combo EU — есть в наличии, Vortek + AMS")</f>
      </c>
      <c r="I93" t="s">
        <v>61</v>
      </c>
      <c r="J93" t="s">
        <v>78</v>
      </c>
      <c r="K93" t="s">
        <v>84</v>
      </c>
      <c r="L93">
        <v>29</v>
      </c>
      <c r="M93">
        <v>7</v>
      </c>
      <c r="N93" s="4">
        <v>0</v>
      </c>
      <c r="O93">
        <v>0</v>
      </c>
      <c r="P93" s="5" t="s">
        <v>54</v>
      </c>
      <c r="Q93" s="4" t="s">
        <v>54</v>
      </c>
      <c r="R93">
        <v>0</v>
      </c>
      <c r="S93">
        <v>0</v>
      </c>
      <c r="T93">
        <v>0</v>
      </c>
      <c r="U93">
        <v>0</v>
      </c>
      <c r="V93">
        <v>0</v>
      </c>
      <c r="W93">
        <v>0</v>
      </c>
      <c r="X93" s="5" t="s">
        <v>54</v>
      </c>
      <c r="Y93">
        <v>0</v>
      </c>
      <c r="Z93" s="4" t="s">
        <v>54</v>
      </c>
      <c r="AA93">
        <v>0</v>
      </c>
      <c r="AB93" s="5">
        <v>0</v>
      </c>
      <c r="AC93">
        <v>0</v>
      </c>
      <c r="AD93" s="5">
        <v>0</v>
      </c>
      <c r="AE93" s="5">
        <v>56</v>
      </c>
      <c r="AF93" s="5">
        <v>0</v>
      </c>
      <c r="AG93" s="5">
        <v>56</v>
      </c>
      <c r="AH93" s="5">
        <v>0</v>
      </c>
      <c r="AI93" s="5">
        <v>0</v>
      </c>
      <c r="AJ93" s="5">
        <v>0</v>
      </c>
    </row>
    <row r="94">
      <c r="A94" s="2" t="str">
        <f>HYPERLINK("https://www.avito.ru/penza/bytovaya_elektronika/3d_printer_bambu_h2d_combo_eu_pod_zakaz_sdek_rf_8071136171","8071136171")</f>
      </c>
      <c r="B94" t="s">
        <v>202</v>
      </c>
      <c r="C94" t="s">
        <v>203</v>
      </c>
      <c r="D94" t="s">
        <v>204</v>
      </c>
      <c r="E94" t="s">
        <v>39</v>
      </c>
      <c r="F94" t="s">
        <v>40</v>
      </c>
      <c r="G94" t="s">
        <v>41</v>
      </c>
      <c r="H94" s="3" t="str">
        <f>HYPERLINK("https://www.avito.ru/penza/bytovaya_elektronika/3d_printer_bambu_h2d_combo_eu_pod_zakaz_sdek_rf_8071136171","3D принтер Bambu H2D Combo EU — под заказ, сдэк РФ")</f>
      </c>
      <c r="I94" t="s">
        <v>96</v>
      </c>
      <c r="J94" t="s">
        <v>78</v>
      </c>
      <c r="K94" t="s">
        <v>84</v>
      </c>
      <c r="L94">
        <v>29</v>
      </c>
      <c r="M94">
        <v>8</v>
      </c>
      <c r="N94" s="4">
        <v>0</v>
      </c>
      <c r="O94">
        <v>0</v>
      </c>
      <c r="P94" s="5" t="s">
        <v>54</v>
      </c>
      <c r="Q94" s="4" t="s">
        <v>54</v>
      </c>
      <c r="R94">
        <v>0</v>
      </c>
      <c r="S94">
        <v>0</v>
      </c>
      <c r="T94">
        <v>0</v>
      </c>
      <c r="U94">
        <v>0</v>
      </c>
      <c r="V94">
        <v>0</v>
      </c>
      <c r="W94">
        <v>0</v>
      </c>
      <c r="X94" s="5" t="s">
        <v>54</v>
      </c>
      <c r="Y94">
        <v>0</v>
      </c>
      <c r="Z94" s="4" t="s">
        <v>54</v>
      </c>
      <c r="AA94">
        <v>0</v>
      </c>
      <c r="AB94" s="5">
        <v>0</v>
      </c>
      <c r="AC94">
        <v>0</v>
      </c>
      <c r="AD94" s="5">
        <v>0</v>
      </c>
      <c r="AE94" s="5">
        <v>56</v>
      </c>
      <c r="AF94" s="5">
        <v>0</v>
      </c>
      <c r="AG94" s="5">
        <v>56</v>
      </c>
      <c r="AH94" s="5">
        <v>0</v>
      </c>
      <c r="AI94" s="5">
        <v>0</v>
      </c>
      <c r="AJ94" s="5">
        <v>0</v>
      </c>
    </row>
    <row r="95">
      <c r="A95" s="2" t="str">
        <f>HYPERLINK("https://www.avito.ru/ufa/bytovaya_elektronika/h2d_full_combo_laser_40w_eu_dvoynoy_ekstruder_40_vt_8071136371","8071136371")</f>
      </c>
      <c r="B95" t="s">
        <v>162</v>
      </c>
      <c r="C95" t="s">
        <v>163</v>
      </c>
      <c r="D95" t="s">
        <v>164</v>
      </c>
      <c r="E95" t="s">
        <v>39</v>
      </c>
      <c r="F95" t="s">
        <v>40</v>
      </c>
      <c r="G95" t="s">
        <v>41</v>
      </c>
      <c r="H95" s="3" t="str">
        <f>HYPERLINK("https://www.avito.ru/ufa/bytovaya_elektronika/h2d_full_combo_laser_40w_eu_dvoynoy_ekstruder_40_vt_8071136371","H2D Full Combo Laser 40W EU — двойной экструдер + 40 Вт")</f>
      </c>
      <c r="I95" t="s">
        <v>205</v>
      </c>
      <c r="J95" t="s">
        <v>89</v>
      </c>
      <c r="K95" t="s">
        <v>84</v>
      </c>
      <c r="L95">
        <v>28</v>
      </c>
      <c r="M95">
        <v>189</v>
      </c>
      <c r="N95" s="4">
        <v>0.0264</v>
      </c>
      <c r="O95">
        <v>5</v>
      </c>
      <c r="P95" s="5">
        <v>11.2</v>
      </c>
      <c r="Q95" s="4">
        <v>0</v>
      </c>
      <c r="R95">
        <v>0</v>
      </c>
      <c r="S95">
        <v>0</v>
      </c>
      <c r="T95">
        <v>0</v>
      </c>
      <c r="U95">
        <v>0</v>
      </c>
      <c r="V95">
        <v>0</v>
      </c>
      <c r="W95">
        <v>0</v>
      </c>
      <c r="X95" s="5" t="s">
        <v>54</v>
      </c>
      <c r="Y95">
        <v>0</v>
      </c>
      <c r="Z95" s="4">
        <v>0</v>
      </c>
      <c r="AA95">
        <v>0</v>
      </c>
      <c r="AB95" s="5">
        <v>0</v>
      </c>
      <c r="AC95">
        <v>0</v>
      </c>
      <c r="AD95" s="5">
        <v>0</v>
      </c>
      <c r="AE95" s="5">
        <v>56</v>
      </c>
      <c r="AF95" s="5">
        <v>0</v>
      </c>
      <c r="AG95" s="5">
        <v>56</v>
      </c>
      <c r="AH95" s="5">
        <v>0</v>
      </c>
      <c r="AI95" s="5">
        <v>0</v>
      </c>
      <c r="AJ95" s="5">
        <v>0</v>
      </c>
    </row>
    <row r="96">
      <c r="A96" s="2" t="str">
        <f>HYPERLINK("https://www.avito.ru/krasnoyarsk/bytovaya_elektronika/3d_printer_h2c_laser_40w_eu_3_v_1_pod_zakaz_8071136789","8071136789")</f>
      </c>
      <c r="B96" t="s">
        <v>156</v>
      </c>
      <c r="C96" t="s">
        <v>157</v>
      </c>
      <c r="D96" t="s">
        <v>158</v>
      </c>
      <c r="E96" t="s">
        <v>39</v>
      </c>
      <c r="F96" t="s">
        <v>40</v>
      </c>
      <c r="G96" t="s">
        <v>41</v>
      </c>
      <c r="H96" s="3" t="str">
        <f>HYPERLINK("https://www.avito.ru/krasnoyarsk/bytovaya_elektronika/3d_printer_h2c_laser_40w_eu_3_v_1_pod_zakaz_8071136789","3D принтер H2C Laser 40W EU — 3 в 1, под заказ")</f>
      </c>
      <c r="I96" t="s">
        <v>51</v>
      </c>
      <c r="J96" t="s">
        <v>89</v>
      </c>
      <c r="K96" t="s">
        <v>84</v>
      </c>
      <c r="L96">
        <v>28</v>
      </c>
      <c r="M96">
        <v>120</v>
      </c>
      <c r="N96" s="4">
        <v>0.05</v>
      </c>
      <c r="O96">
        <v>6</v>
      </c>
      <c r="P96" s="5">
        <v>9.33</v>
      </c>
      <c r="Q96" s="4">
        <v>0</v>
      </c>
      <c r="R96">
        <v>0</v>
      </c>
      <c r="S96">
        <v>0</v>
      </c>
      <c r="T96">
        <v>0</v>
      </c>
      <c r="U96">
        <v>0</v>
      </c>
      <c r="V96">
        <v>0</v>
      </c>
      <c r="W96">
        <v>0</v>
      </c>
      <c r="X96" s="5" t="s">
        <v>54</v>
      </c>
      <c r="Y96">
        <v>0</v>
      </c>
      <c r="Z96" s="4">
        <v>0</v>
      </c>
      <c r="AA96">
        <v>0</v>
      </c>
      <c r="AB96" s="5">
        <v>0</v>
      </c>
      <c r="AC96">
        <v>0</v>
      </c>
      <c r="AD96" s="5">
        <v>0</v>
      </c>
      <c r="AE96" s="5">
        <v>56</v>
      </c>
      <c r="AF96" s="5">
        <v>0</v>
      </c>
      <c r="AG96" s="5">
        <v>56</v>
      </c>
      <c r="AH96" s="5">
        <v>0</v>
      </c>
      <c r="AI96" s="5">
        <v>0</v>
      </c>
      <c r="AJ96" s="5">
        <v>0</v>
      </c>
    </row>
    <row r="97">
      <c r="A97" s="2" t="str">
        <f>HYPERLINK("https://www.avito.ru/novosibirsk/bytovaya_elektronika/h2d_laser_40w_cn_moschnyy_lazer_3d-pechat_tsena_nizhe_eu_8071144707","8071144707")</f>
      </c>
      <c r="B97" t="s">
        <v>122</v>
      </c>
      <c r="C97" t="s">
        <v>123</v>
      </c>
      <c r="D97" t="s">
        <v>206</v>
      </c>
      <c r="E97" t="s">
        <v>39</v>
      </c>
      <c r="F97" t="s">
        <v>40</v>
      </c>
      <c r="G97" t="s">
        <v>41</v>
      </c>
      <c r="H97" s="3" t="str">
        <f>HYPERLINK("https://www.avito.ru/novosibirsk/bytovaya_elektronika/h2d_laser_40w_cn_moschnyy_lazer_3d-pechat_tsena_nizhe_eu_8071144707","H2D Laser 40W CN — мощный лазер + 3D-печать, цена ниже EU")</f>
      </c>
      <c r="I97" t="s">
        <v>185</v>
      </c>
      <c r="J97" t="s">
        <v>78</v>
      </c>
      <c r="K97" t="s">
        <v>84</v>
      </c>
      <c r="L97">
        <v>29</v>
      </c>
      <c r="M97">
        <v>3</v>
      </c>
      <c r="N97" s="4">
        <v>0</v>
      </c>
      <c r="O97">
        <v>0</v>
      </c>
      <c r="P97" s="5" t="s">
        <v>54</v>
      </c>
      <c r="Q97" s="4" t="s">
        <v>54</v>
      </c>
      <c r="R97">
        <v>0</v>
      </c>
      <c r="S97">
        <v>0</v>
      </c>
      <c r="T97">
        <v>0</v>
      </c>
      <c r="U97">
        <v>0</v>
      </c>
      <c r="V97">
        <v>0</v>
      </c>
      <c r="W97">
        <v>0</v>
      </c>
      <c r="X97" s="5" t="s">
        <v>54</v>
      </c>
      <c r="Y97">
        <v>0</v>
      </c>
      <c r="Z97" s="4" t="s">
        <v>54</v>
      </c>
      <c r="AA97">
        <v>0</v>
      </c>
      <c r="AB97" s="5">
        <v>0</v>
      </c>
      <c r="AC97">
        <v>0</v>
      </c>
      <c r="AD97" s="5">
        <v>0</v>
      </c>
      <c r="AE97" s="5">
        <v>56</v>
      </c>
      <c r="AF97" s="5">
        <v>0</v>
      </c>
      <c r="AG97" s="5">
        <v>56</v>
      </c>
      <c r="AH97" s="5">
        <v>0</v>
      </c>
      <c r="AI97" s="5">
        <v>0</v>
      </c>
      <c r="AJ97" s="5">
        <v>0</v>
      </c>
    </row>
    <row r="98">
      <c r="A98" s="2" t="str">
        <f>HYPERLINK("https://www.avito.ru/kemerovo/bytovaya_elektronika/3d_printer_bambu_h2d_combo_eu_pod_zakaz_sdek_rf_8071149946","8071149946")</f>
      </c>
      <c r="B98" t="s">
        <v>207</v>
      </c>
      <c r="C98" t="s">
        <v>208</v>
      </c>
      <c r="D98" t="s">
        <v>209</v>
      </c>
      <c r="E98" t="s">
        <v>39</v>
      </c>
      <c r="F98" t="s">
        <v>40</v>
      </c>
      <c r="G98" t="s">
        <v>41</v>
      </c>
      <c r="H98" s="3" t="str">
        <f>HYPERLINK("https://www.avito.ru/kemerovo/bytovaya_elektronika/3d_printer_bambu_h2d_combo_eu_pod_zakaz_sdek_rf_8071149946","3D принтер Bambu H2D Combo EU — под заказ, сдэк РФ")</f>
      </c>
      <c r="I98" t="s">
        <v>96</v>
      </c>
      <c r="J98" t="s">
        <v>78</v>
      </c>
      <c r="K98" t="s">
        <v>79</v>
      </c>
      <c r="L98">
        <v>29</v>
      </c>
      <c r="M98">
        <v>144</v>
      </c>
      <c r="N98" s="4">
        <v>0.0972</v>
      </c>
      <c r="O98">
        <v>14</v>
      </c>
      <c r="P98" s="5">
        <v>4</v>
      </c>
      <c r="Q98" s="4">
        <v>0</v>
      </c>
      <c r="R98">
        <v>0</v>
      </c>
      <c r="S98">
        <v>0</v>
      </c>
      <c r="T98">
        <v>0</v>
      </c>
      <c r="U98">
        <v>0</v>
      </c>
      <c r="V98">
        <v>0</v>
      </c>
      <c r="W98">
        <v>0</v>
      </c>
      <c r="X98" s="5" t="s">
        <v>54</v>
      </c>
      <c r="Y98">
        <v>0</v>
      </c>
      <c r="Z98" s="4">
        <v>0</v>
      </c>
      <c r="AA98">
        <v>0</v>
      </c>
      <c r="AB98" s="5">
        <v>0</v>
      </c>
      <c r="AC98">
        <v>0</v>
      </c>
      <c r="AD98" s="5">
        <v>0</v>
      </c>
      <c r="AE98" s="5">
        <v>56</v>
      </c>
      <c r="AF98" s="5">
        <v>0</v>
      </c>
      <c r="AG98" s="5">
        <v>56</v>
      </c>
      <c r="AH98" s="5">
        <v>0</v>
      </c>
      <c r="AI98" s="5">
        <v>0</v>
      </c>
      <c r="AJ98" s="5">
        <v>0</v>
      </c>
    </row>
    <row r="99">
      <c r="A99" s="2" t="str">
        <f>HYPERLINK("https://www.avito.ru/nizhniy_novgorod/bytovaya_elektronika/bambu_lab_h2c_combo_cn_vortek_ams_2_pro_tsena_nizhe_eu_8071151174","8071151174")</f>
      </c>
      <c r="B99" t="s">
        <v>137</v>
      </c>
      <c r="C99" t="s">
        <v>138</v>
      </c>
      <c r="D99" t="s">
        <v>139</v>
      </c>
      <c r="E99" t="s">
        <v>39</v>
      </c>
      <c r="F99" t="s">
        <v>40</v>
      </c>
      <c r="G99" t="s">
        <v>41</v>
      </c>
      <c r="H99" s="3" t="str">
        <f>HYPERLINK("https://www.avito.ru/nizhniy_novgorod/bytovaya_elektronika/bambu_lab_h2c_combo_cn_vortek_ams_2_pro_tsena_nizhe_eu_8071151174","Bambu Lab H2C Combo CN — Vortek + AMS 2 Pro, цена ниже EU")</f>
      </c>
      <c r="I99" t="s">
        <v>210</v>
      </c>
      <c r="J99" t="s">
        <v>89</v>
      </c>
      <c r="K99" t="s">
        <v>84</v>
      </c>
      <c r="L99">
        <v>28</v>
      </c>
      <c r="M99">
        <v>24</v>
      </c>
      <c r="N99" s="4">
        <v>0</v>
      </c>
      <c r="O99">
        <v>0</v>
      </c>
      <c r="P99" s="5" t="s">
        <v>54</v>
      </c>
      <c r="Q99" s="4" t="s">
        <v>54</v>
      </c>
      <c r="R99">
        <v>0</v>
      </c>
      <c r="S99">
        <v>0</v>
      </c>
      <c r="T99">
        <v>0</v>
      </c>
      <c r="U99">
        <v>0</v>
      </c>
      <c r="V99">
        <v>0</v>
      </c>
      <c r="W99">
        <v>0</v>
      </c>
      <c r="X99" s="5" t="s">
        <v>54</v>
      </c>
      <c r="Y99">
        <v>0</v>
      </c>
      <c r="Z99" s="4" t="s">
        <v>54</v>
      </c>
      <c r="AA99">
        <v>0</v>
      </c>
      <c r="AB99" s="5">
        <v>0</v>
      </c>
      <c r="AC99">
        <v>0</v>
      </c>
      <c r="AD99" s="5">
        <v>0</v>
      </c>
      <c r="AE99" s="5">
        <v>56</v>
      </c>
      <c r="AF99" s="5">
        <v>0</v>
      </c>
      <c r="AG99" s="5">
        <v>56</v>
      </c>
      <c r="AH99" s="5">
        <v>0</v>
      </c>
      <c r="AI99" s="5">
        <v>0</v>
      </c>
      <c r="AJ99" s="5">
        <v>0</v>
      </c>
    </row>
    <row r="100">
      <c r="A100">
        <v>8071151909</v>
      </c>
      <c r="B100" t="s">
        <v>36</v>
      </c>
      <c r="C100" t="s">
        <v>90</v>
      </c>
      <c r="D100" t="s">
        <v>115</v>
      </c>
      <c r="E100" t="s">
        <v>39</v>
      </c>
      <c r="F100" t="s">
        <v>40</v>
      </c>
      <c r="G100" t="s">
        <v>41</v>
      </c>
      <c r="H100" t="s">
        <v>53</v>
      </c>
      <c r="I100" t="s">
        <v>54</v>
      </c>
      <c r="J100" t="s">
        <v>89</v>
      </c>
      <c r="K100" t="s">
        <v>84</v>
      </c>
      <c r="L100">
        <v>28</v>
      </c>
      <c r="M100">
        <v>100</v>
      </c>
      <c r="N100" s="4">
        <v>0.04</v>
      </c>
      <c r="O100">
        <v>4</v>
      </c>
      <c r="P100" s="5">
        <v>14</v>
      </c>
      <c r="Q100" s="4">
        <v>0</v>
      </c>
      <c r="R100">
        <v>0</v>
      </c>
      <c r="S100">
        <v>0</v>
      </c>
      <c r="T100">
        <v>0</v>
      </c>
      <c r="U100">
        <v>0</v>
      </c>
      <c r="V100">
        <v>0</v>
      </c>
      <c r="W100">
        <v>0</v>
      </c>
      <c r="X100" s="5" t="s">
        <v>54</v>
      </c>
      <c r="Y100">
        <v>0</v>
      </c>
      <c r="Z100" s="4">
        <v>0</v>
      </c>
      <c r="AA100">
        <v>0</v>
      </c>
      <c r="AB100" s="5">
        <v>0</v>
      </c>
      <c r="AC100">
        <v>0</v>
      </c>
      <c r="AD100" s="5">
        <v>0</v>
      </c>
      <c r="AE100" s="5">
        <v>56</v>
      </c>
      <c r="AF100" s="5">
        <v>0</v>
      </c>
      <c r="AG100" s="5">
        <v>56</v>
      </c>
      <c r="AH100" s="5">
        <v>0</v>
      </c>
      <c r="AI100" s="5">
        <v>0</v>
      </c>
      <c r="AJ100" s="5">
        <v>0</v>
      </c>
    </row>
    <row r="101">
      <c r="A101" s="2" t="str">
        <f>HYPERLINK("https://www.avito.ru/rostov-na-donu/bytovaya_elektronika/bambu_lab_h2d_laser_10w_eu_3d-pechat_lazer_plotter_8071156909","8071156909")</f>
      </c>
      <c r="B101" t="s">
        <v>70</v>
      </c>
      <c r="C101" t="s">
        <v>71</v>
      </c>
      <c r="D101" t="s">
        <v>72</v>
      </c>
      <c r="E101" t="s">
        <v>39</v>
      </c>
      <c r="F101" t="s">
        <v>40</v>
      </c>
      <c r="G101" t="s">
        <v>41</v>
      </c>
      <c r="H101" s="3" t="str">
        <f>HYPERLINK("https://www.avito.ru/rostov-na-donu/bytovaya_elektronika/bambu_lab_h2d_laser_10w_eu_3d-pechat_lazer_plotter_8071156909","Bambu Lab H2D Laser 10W EU — 3D-печать + лазер + плоттер")</f>
      </c>
      <c r="I101" t="s">
        <v>129</v>
      </c>
      <c r="J101" t="s">
        <v>55</v>
      </c>
      <c r="K101" t="s">
        <v>56</v>
      </c>
      <c r="L101">
        <v>30</v>
      </c>
      <c r="M101">
        <v>49</v>
      </c>
      <c r="N101" s="4">
        <v>0.1224</v>
      </c>
      <c r="O101">
        <v>6</v>
      </c>
      <c r="P101" s="5">
        <v>9.33</v>
      </c>
      <c r="Q101" s="4">
        <v>0</v>
      </c>
      <c r="R101">
        <v>0</v>
      </c>
      <c r="S101">
        <v>0</v>
      </c>
      <c r="T101">
        <v>0</v>
      </c>
      <c r="U101">
        <v>0</v>
      </c>
      <c r="V101">
        <v>0</v>
      </c>
      <c r="W101">
        <v>0</v>
      </c>
      <c r="X101" s="5" t="s">
        <v>54</v>
      </c>
      <c r="Y101">
        <v>0</v>
      </c>
      <c r="Z101" s="4">
        <v>0</v>
      </c>
      <c r="AA101">
        <v>0</v>
      </c>
      <c r="AB101" s="5">
        <v>0</v>
      </c>
      <c r="AC101">
        <v>0</v>
      </c>
      <c r="AD101" s="5">
        <v>0</v>
      </c>
      <c r="AE101" s="5">
        <v>56</v>
      </c>
      <c r="AF101" s="5">
        <v>0</v>
      </c>
      <c r="AG101" s="5">
        <v>56</v>
      </c>
      <c r="AH101" s="5">
        <v>0</v>
      </c>
      <c r="AI101" s="5">
        <v>0</v>
      </c>
      <c r="AJ101" s="5">
        <v>0</v>
      </c>
    </row>
    <row r="102">
      <c r="A102" s="2" t="str">
        <f>HYPERLINK("https://www.avito.ru/ryazan/bytovaya_elektronika/3d_printer_h2c_combo_eu_est_v_nalichii_vortek_ams_8071159503","8071159503")</f>
      </c>
      <c r="B102" t="s">
        <v>179</v>
      </c>
      <c r="C102" t="s">
        <v>180</v>
      </c>
      <c r="D102" t="s">
        <v>211</v>
      </c>
      <c r="E102" t="s">
        <v>39</v>
      </c>
      <c r="F102" t="s">
        <v>40</v>
      </c>
      <c r="G102" t="s">
        <v>41</v>
      </c>
      <c r="H102" s="3" t="str">
        <f>HYPERLINK("https://www.avito.ru/ryazan/bytovaya_elektronika/3d_printer_h2c_combo_eu_est_v_nalichii_vortek_ams_8071159503","3D принтер H2C Combo EU — есть в наличии, Vortek + AMS")</f>
      </c>
      <c r="I102" t="s">
        <v>61</v>
      </c>
      <c r="J102" t="s">
        <v>78</v>
      </c>
      <c r="K102" t="s">
        <v>79</v>
      </c>
      <c r="L102">
        <v>29</v>
      </c>
      <c r="M102">
        <v>89</v>
      </c>
      <c r="N102" s="4">
        <v>0.0674</v>
      </c>
      <c r="O102">
        <v>6</v>
      </c>
      <c r="P102" s="5">
        <v>9.33</v>
      </c>
      <c r="Q102" s="4">
        <v>0</v>
      </c>
      <c r="R102">
        <v>0</v>
      </c>
      <c r="S102">
        <v>0</v>
      </c>
      <c r="T102">
        <v>0</v>
      </c>
      <c r="U102">
        <v>0</v>
      </c>
      <c r="V102">
        <v>0</v>
      </c>
      <c r="W102">
        <v>0</v>
      </c>
      <c r="X102" s="5" t="s">
        <v>54</v>
      </c>
      <c r="Y102">
        <v>0</v>
      </c>
      <c r="Z102" s="4">
        <v>0</v>
      </c>
      <c r="AA102">
        <v>0</v>
      </c>
      <c r="AB102" s="5">
        <v>0</v>
      </c>
      <c r="AC102">
        <v>0</v>
      </c>
      <c r="AD102" s="5">
        <v>0</v>
      </c>
      <c r="AE102" s="5">
        <v>56</v>
      </c>
      <c r="AF102" s="5">
        <v>0</v>
      </c>
      <c r="AG102" s="5">
        <v>56</v>
      </c>
      <c r="AH102" s="5">
        <v>0</v>
      </c>
      <c r="AI102" s="5">
        <v>0</v>
      </c>
      <c r="AJ102" s="5">
        <v>0</v>
      </c>
    </row>
    <row r="103">
      <c r="A103" s="2" t="str">
        <f>HYPERLINK("https://www.avito.ru/astrahan/bytovaya_elektronika/bambu_lab_h2s_combo_ams_2_pro_eu_dostavka_po_rf_8071160010","8071160010")</f>
      </c>
      <c r="B103" t="s">
        <v>212</v>
      </c>
      <c r="C103" t="s">
        <v>213</v>
      </c>
      <c r="D103" t="s">
        <v>214</v>
      </c>
      <c r="E103" t="s">
        <v>39</v>
      </c>
      <c r="F103" t="s">
        <v>40</v>
      </c>
      <c r="G103" t="s">
        <v>41</v>
      </c>
      <c r="H103" s="3" t="str">
        <f>HYPERLINK("https://www.avito.ru/astrahan/bytovaya_elektronika/bambu_lab_h2s_combo_ams_2_pro_eu_dostavka_po_rf_8071160010","Bambu Lab H2S Combo AMS 2 Pro EU — доставка по РФ")</f>
      </c>
      <c r="I103" t="s">
        <v>69</v>
      </c>
      <c r="J103" t="s">
        <v>78</v>
      </c>
      <c r="K103" t="s">
        <v>84</v>
      </c>
      <c r="L103">
        <v>29</v>
      </c>
      <c r="M103">
        <v>10</v>
      </c>
      <c r="N103" s="4">
        <v>0</v>
      </c>
      <c r="O103">
        <v>0</v>
      </c>
      <c r="P103" s="5" t="s">
        <v>54</v>
      </c>
      <c r="Q103" s="4" t="s">
        <v>54</v>
      </c>
      <c r="R103">
        <v>0</v>
      </c>
      <c r="S103">
        <v>0</v>
      </c>
      <c r="T103">
        <v>0</v>
      </c>
      <c r="U103">
        <v>0</v>
      </c>
      <c r="V103">
        <v>0</v>
      </c>
      <c r="W103">
        <v>0</v>
      </c>
      <c r="X103" s="5" t="s">
        <v>54</v>
      </c>
      <c r="Y103">
        <v>0</v>
      </c>
      <c r="Z103" s="4" t="s">
        <v>54</v>
      </c>
      <c r="AA103">
        <v>0</v>
      </c>
      <c r="AB103" s="5">
        <v>0</v>
      </c>
      <c r="AC103">
        <v>0</v>
      </c>
      <c r="AD103" s="5">
        <v>0</v>
      </c>
      <c r="AE103" s="5">
        <v>56</v>
      </c>
      <c r="AF103" s="5">
        <v>0</v>
      </c>
      <c r="AG103" s="5">
        <v>56</v>
      </c>
      <c r="AH103" s="5">
        <v>0</v>
      </c>
      <c r="AI103" s="5">
        <v>0</v>
      </c>
      <c r="AJ103" s="5">
        <v>0</v>
      </c>
    </row>
    <row r="104">
      <c r="A104" s="2" t="str">
        <f>HYPERLINK("https://www.avito.ru/irkutsk/bytovaya_elektronika/bambu_lab_h2s_combo_ams_2_pro_eu_dostavka_po_rf_8071170107","8071170107")</f>
      </c>
      <c r="B104" t="s">
        <v>130</v>
      </c>
      <c r="C104" t="s">
        <v>131</v>
      </c>
      <c r="D104" t="s">
        <v>161</v>
      </c>
      <c r="E104" t="s">
        <v>39</v>
      </c>
      <c r="F104" t="s">
        <v>40</v>
      </c>
      <c r="G104" t="s">
        <v>41</v>
      </c>
      <c r="H104" s="3" t="str">
        <f>HYPERLINK("https://www.avito.ru/irkutsk/bytovaya_elektronika/bambu_lab_h2s_combo_ams_2_pro_eu_dostavka_po_rf_8071170107","Bambu Lab H2S Combo AMS 2 Pro EU — доставка по РФ")</f>
      </c>
      <c r="I104" t="s">
        <v>69</v>
      </c>
      <c r="J104" t="s">
        <v>78</v>
      </c>
      <c r="K104" t="s">
        <v>84</v>
      </c>
      <c r="L104">
        <v>29</v>
      </c>
      <c r="M104">
        <v>14</v>
      </c>
      <c r="N104" s="4">
        <v>0.1428</v>
      </c>
      <c r="O104">
        <v>2</v>
      </c>
      <c r="P104" s="5">
        <v>28</v>
      </c>
      <c r="Q104" s="4">
        <v>0</v>
      </c>
      <c r="R104">
        <v>0</v>
      </c>
      <c r="S104">
        <v>0</v>
      </c>
      <c r="T104">
        <v>0</v>
      </c>
      <c r="U104">
        <v>0</v>
      </c>
      <c r="V104">
        <v>0</v>
      </c>
      <c r="W104">
        <v>0</v>
      </c>
      <c r="X104" s="5" t="s">
        <v>54</v>
      </c>
      <c r="Y104">
        <v>0</v>
      </c>
      <c r="Z104" s="4">
        <v>0</v>
      </c>
      <c r="AA104">
        <v>0</v>
      </c>
      <c r="AB104" s="5">
        <v>0</v>
      </c>
      <c r="AC104">
        <v>0</v>
      </c>
      <c r="AD104" s="5">
        <v>0</v>
      </c>
      <c r="AE104" s="5">
        <v>56</v>
      </c>
      <c r="AF104" s="5">
        <v>0</v>
      </c>
      <c r="AG104" s="5">
        <v>56</v>
      </c>
      <c r="AH104" s="5">
        <v>0</v>
      </c>
      <c r="AI104" s="5">
        <v>0</v>
      </c>
      <c r="AJ104" s="5">
        <v>0</v>
      </c>
    </row>
    <row r="105">
      <c r="A105" s="2" t="str">
        <f>HYPERLINK("https://www.avito.ru/novosibirsk/bytovaya_elektronika/h2c_full_combo_laser_40w_eu_rezka_metalla_i_dereva_8071170388","8071170388")</f>
      </c>
      <c r="B105" t="s">
        <v>122</v>
      </c>
      <c r="C105" t="s">
        <v>123</v>
      </c>
      <c r="D105" t="s">
        <v>206</v>
      </c>
      <c r="E105" t="s">
        <v>39</v>
      </c>
      <c r="F105" t="s">
        <v>40</v>
      </c>
      <c r="G105" t="s">
        <v>41</v>
      </c>
      <c r="H105" s="3" t="str">
        <f>HYPERLINK("https://www.avito.ru/novosibirsk/bytovaya_elektronika/h2c_full_combo_laser_40w_eu_rezka_metalla_i_dereva_8071170388","H2C Full Combo Laser 40W EU — резка металла и дерева")</f>
      </c>
      <c r="I105" t="s">
        <v>51</v>
      </c>
      <c r="J105" t="s">
        <v>78</v>
      </c>
      <c r="K105" t="s">
        <v>79</v>
      </c>
      <c r="L105">
        <v>29</v>
      </c>
      <c r="M105">
        <v>34</v>
      </c>
      <c r="N105" s="4">
        <v>0</v>
      </c>
      <c r="O105">
        <v>0</v>
      </c>
      <c r="P105" s="5" t="s">
        <v>54</v>
      </c>
      <c r="Q105" s="4" t="s">
        <v>54</v>
      </c>
      <c r="R105">
        <v>0</v>
      </c>
      <c r="S105">
        <v>0</v>
      </c>
      <c r="T105">
        <v>0</v>
      </c>
      <c r="U105">
        <v>0</v>
      </c>
      <c r="V105">
        <v>0</v>
      </c>
      <c r="W105">
        <v>0</v>
      </c>
      <c r="X105" s="5" t="s">
        <v>54</v>
      </c>
      <c r="Y105">
        <v>0</v>
      </c>
      <c r="Z105" s="4" t="s">
        <v>54</v>
      </c>
      <c r="AA105">
        <v>0</v>
      </c>
      <c r="AB105" s="5">
        <v>0</v>
      </c>
      <c r="AC105">
        <v>0</v>
      </c>
      <c r="AD105" s="5">
        <v>0</v>
      </c>
      <c r="AE105" s="5">
        <v>56</v>
      </c>
      <c r="AF105" s="5">
        <v>0</v>
      </c>
      <c r="AG105" s="5">
        <v>56</v>
      </c>
      <c r="AH105" s="5">
        <v>0</v>
      </c>
      <c r="AI105" s="5">
        <v>0</v>
      </c>
      <c r="AJ105" s="5">
        <v>0</v>
      </c>
    </row>
    <row r="106">
      <c r="A106" s="2" t="str">
        <f>HYPERLINK("https://www.avito.ru/novosibirsk/bytovaya_elektronika/3d_printer_h2d_eu_bambu_lab_1000_mms_pod_zakaz_8071179731","8071179731")</f>
      </c>
      <c r="B106" t="s">
        <v>122</v>
      </c>
      <c r="C106" t="s">
        <v>123</v>
      </c>
      <c r="D106" t="s">
        <v>124</v>
      </c>
      <c r="E106" t="s">
        <v>39</v>
      </c>
      <c r="F106" t="s">
        <v>40</v>
      </c>
      <c r="G106" t="s">
        <v>41</v>
      </c>
      <c r="H106" s="3" t="str">
        <f>HYPERLINK("https://www.avito.ru/novosibirsk/bytovaya_elektronika/3d_printer_h2d_eu_bambu_lab_1000_mms_pod_zakaz_8071179731","3D принтер H2D EU Bambu Lab — 1000 мм/с, под заказ")</f>
      </c>
      <c r="I106" t="s">
        <v>215</v>
      </c>
      <c r="J106" t="s">
        <v>89</v>
      </c>
      <c r="K106" t="s">
        <v>84</v>
      </c>
      <c r="L106">
        <v>28</v>
      </c>
      <c r="M106">
        <v>20</v>
      </c>
      <c r="N106" s="4">
        <v>0</v>
      </c>
      <c r="O106">
        <v>0</v>
      </c>
      <c r="P106" s="5" t="s">
        <v>54</v>
      </c>
      <c r="Q106" s="4" t="s">
        <v>54</v>
      </c>
      <c r="R106">
        <v>0</v>
      </c>
      <c r="S106">
        <v>0</v>
      </c>
      <c r="T106">
        <v>0</v>
      </c>
      <c r="U106">
        <v>0</v>
      </c>
      <c r="V106">
        <v>0</v>
      </c>
      <c r="W106">
        <v>0</v>
      </c>
      <c r="X106" s="5" t="s">
        <v>54</v>
      </c>
      <c r="Y106">
        <v>0</v>
      </c>
      <c r="Z106" s="4" t="s">
        <v>54</v>
      </c>
      <c r="AA106">
        <v>0</v>
      </c>
      <c r="AB106" s="5">
        <v>0</v>
      </c>
      <c r="AC106">
        <v>0</v>
      </c>
      <c r="AD106" s="5">
        <v>0</v>
      </c>
      <c r="AE106" s="5">
        <v>56</v>
      </c>
      <c r="AF106" s="5">
        <v>0</v>
      </c>
      <c r="AG106" s="5">
        <v>56</v>
      </c>
      <c r="AH106" s="5">
        <v>0</v>
      </c>
      <c r="AI106" s="5">
        <v>0</v>
      </c>
      <c r="AJ106" s="5">
        <v>0</v>
      </c>
    </row>
    <row r="107">
      <c r="A107" s="2" t="str">
        <f>HYPERLINK("https://www.avito.ru/novosibirsk/bytovaya_elektronika/h2d_combo_ams_2_pro_cn_polnyy_funktsional_tsena_nizhe_eu_8071184100","8071184100")</f>
      </c>
      <c r="B107" t="s">
        <v>122</v>
      </c>
      <c r="C107" t="s">
        <v>123</v>
      </c>
      <c r="D107" t="s">
        <v>124</v>
      </c>
      <c r="E107" t="s">
        <v>39</v>
      </c>
      <c r="F107" t="s">
        <v>40</v>
      </c>
      <c r="G107" t="s">
        <v>41</v>
      </c>
      <c r="H107" s="3" t="str">
        <f>HYPERLINK("https://www.avito.ru/novosibirsk/bytovaya_elektronika/h2d_combo_ams_2_pro_cn_polnyy_funktsional_tsena_nizhe_eu_8071184100","H2D Combo AMS 2 Pro CN — полный функционал, цена ниже EU")</f>
      </c>
      <c r="I107" t="s">
        <v>216</v>
      </c>
      <c r="J107" t="s">
        <v>89</v>
      </c>
      <c r="K107" t="s">
        <v>84</v>
      </c>
      <c r="L107">
        <v>28</v>
      </c>
      <c r="M107">
        <v>39</v>
      </c>
      <c r="N107" s="4">
        <v>0.0512</v>
      </c>
      <c r="O107">
        <v>2</v>
      </c>
      <c r="P107" s="5">
        <v>28</v>
      </c>
      <c r="Q107" s="4">
        <v>0</v>
      </c>
      <c r="R107">
        <v>0</v>
      </c>
      <c r="S107">
        <v>0</v>
      </c>
      <c r="T107">
        <v>0</v>
      </c>
      <c r="U107">
        <v>0</v>
      </c>
      <c r="V107">
        <v>0</v>
      </c>
      <c r="W107">
        <v>0</v>
      </c>
      <c r="X107" s="5" t="s">
        <v>54</v>
      </c>
      <c r="Y107">
        <v>0</v>
      </c>
      <c r="Z107" s="4">
        <v>0</v>
      </c>
      <c r="AA107">
        <v>0</v>
      </c>
      <c r="AB107" s="5">
        <v>0</v>
      </c>
      <c r="AC107">
        <v>0</v>
      </c>
      <c r="AD107" s="5">
        <v>0</v>
      </c>
      <c r="AE107" s="5">
        <v>56</v>
      </c>
      <c r="AF107" s="5">
        <v>0</v>
      </c>
      <c r="AG107" s="5">
        <v>56</v>
      </c>
      <c r="AH107" s="5">
        <v>0</v>
      </c>
      <c r="AI107" s="5">
        <v>0</v>
      </c>
      <c r="AJ107" s="5">
        <v>0</v>
      </c>
    </row>
    <row r="108">
      <c r="A108" s="2" t="str">
        <f>HYPERLINK("https://www.avito.ru/rostov-na-donu/bytovaya_elektronika/elegoo_giga_storm_800800_rostov-na-donu_8071190410","8071190410")</f>
      </c>
      <c r="B108" t="s">
        <v>70</v>
      </c>
      <c r="C108" t="s">
        <v>71</v>
      </c>
      <c r="D108" t="s">
        <v>72</v>
      </c>
      <c r="E108" t="s">
        <v>39</v>
      </c>
      <c r="F108" t="s">
        <v>40</v>
      </c>
      <c r="G108" t="s">
        <v>41</v>
      </c>
      <c r="H108" s="3" t="str">
        <f>HYPERLINK("https://www.avito.ru/rostov-na-donu/bytovaya_elektronika/elegoo_giga_storm_800800_rostov-na-donu_8071190410","Elegoo Giga Storm 800800 — Ростов-на-Дону")</f>
      </c>
      <c r="I108" t="s">
        <v>217</v>
      </c>
      <c r="J108" t="s">
        <v>89</v>
      </c>
      <c r="K108" t="s">
        <v>84</v>
      </c>
      <c r="L108">
        <v>28</v>
      </c>
      <c r="M108">
        <v>21</v>
      </c>
      <c r="N108" s="4">
        <v>0.0476</v>
      </c>
      <c r="O108">
        <v>1</v>
      </c>
      <c r="P108" s="5">
        <v>56</v>
      </c>
      <c r="Q108" s="4">
        <v>0</v>
      </c>
      <c r="R108">
        <v>0</v>
      </c>
      <c r="S108">
        <v>0</v>
      </c>
      <c r="T108">
        <v>0</v>
      </c>
      <c r="U108">
        <v>0</v>
      </c>
      <c r="V108">
        <v>0</v>
      </c>
      <c r="W108">
        <v>0</v>
      </c>
      <c r="X108" s="5" t="s">
        <v>54</v>
      </c>
      <c r="Y108">
        <v>0</v>
      </c>
      <c r="Z108" s="4">
        <v>0</v>
      </c>
      <c r="AA108">
        <v>0</v>
      </c>
      <c r="AB108" s="5">
        <v>0</v>
      </c>
      <c r="AC108">
        <v>0</v>
      </c>
      <c r="AD108" s="5">
        <v>0</v>
      </c>
      <c r="AE108" s="5">
        <v>56</v>
      </c>
      <c r="AF108" s="5">
        <v>0</v>
      </c>
      <c r="AG108" s="5">
        <v>56</v>
      </c>
      <c r="AH108" s="5">
        <v>0</v>
      </c>
      <c r="AI108" s="5">
        <v>0</v>
      </c>
      <c r="AJ108" s="5">
        <v>0</v>
      </c>
    </row>
    <row r="109">
      <c r="A109" s="2" t="str">
        <f>HYPERLINK("https://www.avito.ru/volgograd/bytovaya_elektronika/bambu_h2c_full_combo_laser_10w_eu_sdek_2527_dney_8071192763","8071192763")</f>
      </c>
      <c r="B109" t="s">
        <v>105</v>
      </c>
      <c r="C109" t="s">
        <v>106</v>
      </c>
      <c r="D109" t="s">
        <v>107</v>
      </c>
      <c r="E109" t="s">
        <v>39</v>
      </c>
      <c r="F109" t="s">
        <v>40</v>
      </c>
      <c r="G109" t="s">
        <v>41</v>
      </c>
      <c r="H109" s="3" t="str">
        <f>HYPERLINK("https://www.avito.ru/volgograd/bytovaya_elektronika/bambu_h2c_full_combo_laser_10w_eu_sdek_2527_dney_8071192763","Bambu H2C Full Combo Laser 10W EU — сдэк 25–27 дней")</f>
      </c>
      <c r="I109" t="s">
        <v>218</v>
      </c>
      <c r="J109" t="s">
        <v>89</v>
      </c>
      <c r="K109" t="s">
        <v>84</v>
      </c>
      <c r="L109">
        <v>28</v>
      </c>
      <c r="M109">
        <v>359</v>
      </c>
      <c r="N109" s="4">
        <v>0.0417</v>
      </c>
      <c r="O109">
        <v>15</v>
      </c>
      <c r="P109" s="5">
        <v>3.73</v>
      </c>
      <c r="Q109" s="4">
        <v>0</v>
      </c>
      <c r="R109">
        <v>0</v>
      </c>
      <c r="S109">
        <v>0</v>
      </c>
      <c r="T109">
        <v>0</v>
      </c>
      <c r="U109">
        <v>0</v>
      </c>
      <c r="V109">
        <v>0</v>
      </c>
      <c r="W109">
        <v>0</v>
      </c>
      <c r="X109" s="5" t="s">
        <v>54</v>
      </c>
      <c r="Y109">
        <v>0</v>
      </c>
      <c r="Z109" s="4">
        <v>0</v>
      </c>
      <c r="AA109">
        <v>0</v>
      </c>
      <c r="AB109" s="5">
        <v>0</v>
      </c>
      <c r="AC109">
        <v>0</v>
      </c>
      <c r="AD109" s="5">
        <v>0</v>
      </c>
      <c r="AE109" s="5">
        <v>56</v>
      </c>
      <c r="AF109" s="5">
        <v>0</v>
      </c>
      <c r="AG109" s="5">
        <v>56</v>
      </c>
      <c r="AH109" s="5">
        <v>0</v>
      </c>
      <c r="AI109" s="5">
        <v>0</v>
      </c>
      <c r="AJ109" s="5">
        <v>0</v>
      </c>
    </row>
    <row r="110">
      <c r="A110" s="2" t="str">
        <f>HYPERLINK("https://www.avito.ru/omsk/bytovaya_elektronika/bambu_lab_h2d_ams_2_pro_eu_dostavka_sdek_2527_dney_8071196698","8071196698")</f>
      </c>
      <c r="B110" t="s">
        <v>74</v>
      </c>
      <c r="C110" t="s">
        <v>75</v>
      </c>
      <c r="D110" t="s">
        <v>76</v>
      </c>
      <c r="E110" t="s">
        <v>39</v>
      </c>
      <c r="F110" t="s">
        <v>40</v>
      </c>
      <c r="G110" t="s">
        <v>41</v>
      </c>
      <c r="H110" s="3" t="str">
        <f>HYPERLINK("https://www.avito.ru/omsk/bytovaya_elektronika/bambu_lab_h2d_ams_2_pro_eu_dostavka_sdek_2527_dney_8071196698","Bambu Lab H2D AMS 2 Pro EU — доставка сдэк 25–27 дней")</f>
      </c>
      <c r="I110" t="s">
        <v>96</v>
      </c>
      <c r="J110" t="s">
        <v>78</v>
      </c>
      <c r="K110" t="s">
        <v>79</v>
      </c>
      <c r="L110">
        <v>29</v>
      </c>
      <c r="M110">
        <v>576</v>
      </c>
      <c r="N110" s="4">
        <v>0.0902</v>
      </c>
      <c r="O110">
        <v>52</v>
      </c>
      <c r="P110" s="5">
        <v>1.07</v>
      </c>
      <c r="Q110" s="4">
        <v>0</v>
      </c>
      <c r="R110">
        <v>0</v>
      </c>
      <c r="S110">
        <v>0</v>
      </c>
      <c r="T110">
        <v>0</v>
      </c>
      <c r="U110">
        <v>0</v>
      </c>
      <c r="V110">
        <v>0</v>
      </c>
      <c r="W110">
        <v>0</v>
      </c>
      <c r="X110" s="5" t="s">
        <v>54</v>
      </c>
      <c r="Y110">
        <v>0</v>
      </c>
      <c r="Z110" s="4">
        <v>0</v>
      </c>
      <c r="AA110">
        <v>0</v>
      </c>
      <c r="AB110" s="5">
        <v>0</v>
      </c>
      <c r="AC110">
        <v>0</v>
      </c>
      <c r="AD110" s="5">
        <v>0</v>
      </c>
      <c r="AE110" s="5">
        <v>56</v>
      </c>
      <c r="AF110" s="5">
        <v>0</v>
      </c>
      <c r="AG110" s="5">
        <v>56</v>
      </c>
      <c r="AH110" s="5">
        <v>0</v>
      </c>
      <c r="AI110" s="5">
        <v>0</v>
      </c>
      <c r="AJ110" s="5">
        <v>0</v>
      </c>
    </row>
    <row r="111">
      <c r="A111" s="2" t="str">
        <f>HYPERLINK("https://www.avito.ru/moskva/bytovaya_elektronika/bambu_lab_h2s_eu_600_mms_ams_2_pro_postavka_2527_dney_8071199954","8071199954")</f>
      </c>
      <c r="B111" t="s">
        <v>36</v>
      </c>
      <c r="C111" t="s">
        <v>37</v>
      </c>
      <c r="D111" t="s">
        <v>38</v>
      </c>
      <c r="E111" t="s">
        <v>39</v>
      </c>
      <c r="F111" t="s">
        <v>40</v>
      </c>
      <c r="G111" t="s">
        <v>41</v>
      </c>
      <c r="H111" s="3" t="str">
        <f>HYPERLINK("https://www.avito.ru/moskva/bytovaya_elektronika/bambu_lab_h2s_eu_600_mms_ams_2_pro_postavka_2527_dney_8071199954","Bambu Lab H2S EU — 600 мм/с + AMS 2 Pro, поставка 25–27 дней")</f>
      </c>
      <c r="I111" t="s">
        <v>77</v>
      </c>
      <c r="J111" t="s">
        <v>43</v>
      </c>
      <c r="K111" t="s">
        <v>44</v>
      </c>
      <c r="L111">
        <v>35</v>
      </c>
      <c r="M111">
        <v>149</v>
      </c>
      <c r="N111" s="4">
        <v>0.0604</v>
      </c>
      <c r="O111">
        <v>9</v>
      </c>
      <c r="P111" s="5">
        <v>9.44</v>
      </c>
      <c r="Q111" s="4">
        <v>0</v>
      </c>
      <c r="R111">
        <v>0</v>
      </c>
      <c r="S111">
        <v>0</v>
      </c>
      <c r="T111">
        <v>0</v>
      </c>
      <c r="U111">
        <v>0</v>
      </c>
      <c r="V111">
        <v>0</v>
      </c>
      <c r="W111">
        <v>0</v>
      </c>
      <c r="X111" s="5" t="s">
        <v>54</v>
      </c>
      <c r="Y111">
        <v>0</v>
      </c>
      <c r="Z111" s="4">
        <v>0</v>
      </c>
      <c r="AA111">
        <v>0</v>
      </c>
      <c r="AB111" s="5">
        <v>0</v>
      </c>
      <c r="AC111">
        <v>0</v>
      </c>
      <c r="AD111" s="5">
        <v>0</v>
      </c>
      <c r="AE111" s="5">
        <v>85</v>
      </c>
      <c r="AF111" s="5">
        <v>0</v>
      </c>
      <c r="AG111" s="5">
        <v>85</v>
      </c>
      <c r="AH111" s="5">
        <v>0</v>
      </c>
      <c r="AI111" s="5">
        <v>0</v>
      </c>
      <c r="AJ111" s="5">
        <v>0</v>
      </c>
    </row>
    <row r="112">
      <c r="A112" s="2" t="str">
        <f>HYPERLINK("https://www.avito.ru/moskva/bytovaya_elektronika/elegoo_giga_storm_original_moskva_8071201116","8071201116")</f>
      </c>
      <c r="B112" t="s">
        <v>36</v>
      </c>
      <c r="C112" t="s">
        <v>37</v>
      </c>
      <c r="D112" t="s">
        <v>167</v>
      </c>
      <c r="E112" t="s">
        <v>39</v>
      </c>
      <c r="F112" t="s">
        <v>40</v>
      </c>
      <c r="G112" t="s">
        <v>41</v>
      </c>
      <c r="H112" s="3" t="str">
        <f>HYPERLINK("https://www.avito.ru/moskva/bytovaya_elektronika/elegoo_giga_storm_original_moskva_8071201116","Elegoo Giga Storm — оригинал, Москва")</f>
      </c>
      <c r="I112" t="s">
        <v>219</v>
      </c>
      <c r="J112" t="s">
        <v>89</v>
      </c>
      <c r="K112" t="s">
        <v>84</v>
      </c>
      <c r="L112">
        <v>28</v>
      </c>
      <c r="M112">
        <v>101</v>
      </c>
      <c r="N112" s="4">
        <v>0.0198</v>
      </c>
      <c r="O112">
        <v>2</v>
      </c>
      <c r="P112" s="5">
        <v>28</v>
      </c>
      <c r="Q112" s="4">
        <v>0</v>
      </c>
      <c r="R112">
        <v>0</v>
      </c>
      <c r="S112">
        <v>0</v>
      </c>
      <c r="T112">
        <v>0</v>
      </c>
      <c r="U112">
        <v>0</v>
      </c>
      <c r="V112">
        <v>0</v>
      </c>
      <c r="W112">
        <v>0</v>
      </c>
      <c r="X112" s="5" t="s">
        <v>54</v>
      </c>
      <c r="Y112">
        <v>0</v>
      </c>
      <c r="Z112" s="4">
        <v>0</v>
      </c>
      <c r="AA112">
        <v>0</v>
      </c>
      <c r="AB112" s="5">
        <v>0</v>
      </c>
      <c r="AC112">
        <v>0</v>
      </c>
      <c r="AD112" s="5">
        <v>0</v>
      </c>
      <c r="AE112" s="5">
        <v>56</v>
      </c>
      <c r="AF112" s="5">
        <v>0</v>
      </c>
      <c r="AG112" s="5">
        <v>56</v>
      </c>
      <c r="AH112" s="5">
        <v>0</v>
      </c>
      <c r="AI112" s="5">
        <v>0</v>
      </c>
      <c r="AJ112" s="5">
        <v>0</v>
      </c>
    </row>
    <row r="113">
      <c r="A113" s="2" t="str">
        <f>HYPERLINK("https://www.avito.ru/sankt-peterburg/bytovaya_elektronika/bambu_lab_h2d_cn_dvoynoy_ekstruder_vygodnaya_tsena_8071201533","8071201533")</f>
      </c>
      <c r="B113" t="s">
        <v>36</v>
      </c>
      <c r="C113" t="s">
        <v>90</v>
      </c>
      <c r="D113" t="s">
        <v>115</v>
      </c>
      <c r="E113" t="s">
        <v>39</v>
      </c>
      <c r="F113" t="s">
        <v>40</v>
      </c>
      <c r="G113" t="s">
        <v>41</v>
      </c>
      <c r="H113" s="3" t="str">
        <f>HYPERLINK("https://www.avito.ru/sankt-peterburg/bytovaya_elektronika/bambu_lab_h2d_cn_dvoynoy_ekstruder_vygodnaya_tsena_8071201533","Bambu Lab H2D CN — двойной экструдер, выгодная цена")</f>
      </c>
      <c r="I113" t="s">
        <v>168</v>
      </c>
      <c r="J113" t="s">
        <v>55</v>
      </c>
      <c r="K113" t="s">
        <v>56</v>
      </c>
      <c r="L113">
        <v>30</v>
      </c>
      <c r="M113">
        <v>31</v>
      </c>
      <c r="N113" s="4">
        <v>0.2258</v>
      </c>
      <c r="O113">
        <v>7</v>
      </c>
      <c r="P113" s="5">
        <v>8</v>
      </c>
      <c r="Q113" s="4">
        <v>0</v>
      </c>
      <c r="R113">
        <v>0</v>
      </c>
      <c r="S113">
        <v>0</v>
      </c>
      <c r="T113">
        <v>0</v>
      </c>
      <c r="U113">
        <v>0</v>
      </c>
      <c r="V113">
        <v>0</v>
      </c>
      <c r="W113">
        <v>0</v>
      </c>
      <c r="X113" s="5" t="s">
        <v>54</v>
      </c>
      <c r="Y113">
        <v>0</v>
      </c>
      <c r="Z113" s="4">
        <v>0</v>
      </c>
      <c r="AA113">
        <v>0</v>
      </c>
      <c r="AB113" s="5">
        <v>0</v>
      </c>
      <c r="AC113">
        <v>0</v>
      </c>
      <c r="AD113" s="5">
        <v>0</v>
      </c>
      <c r="AE113" s="5">
        <v>56</v>
      </c>
      <c r="AF113" s="5">
        <v>0</v>
      </c>
      <c r="AG113" s="5">
        <v>56</v>
      </c>
      <c r="AH113" s="5">
        <v>0</v>
      </c>
      <c r="AI113" s="5">
        <v>0</v>
      </c>
      <c r="AJ113" s="5">
        <v>0</v>
      </c>
    </row>
    <row r="114">
      <c r="A114" s="2" t="str">
        <f>HYPERLINK("https://www.avito.ru/velikiy_novgorod/bytovaya_elektronika/bambu_h2s_eu_ams_2_pro_prototipy_i_proizvodstvo_8071203972","8071203972")</f>
      </c>
      <c r="B114" t="s">
        <v>191</v>
      </c>
      <c r="C114" t="s">
        <v>192</v>
      </c>
      <c r="D114" t="s">
        <v>193</v>
      </c>
      <c r="E114" t="s">
        <v>39</v>
      </c>
      <c r="F114" t="s">
        <v>40</v>
      </c>
      <c r="G114" t="s">
        <v>41</v>
      </c>
      <c r="H114" s="3" t="str">
        <f>HYPERLINK("https://www.avito.ru/velikiy_novgorod/bytovaya_elektronika/bambu_h2s_eu_ams_2_pro_prototipy_i_proizvodstvo_8071203972","Bambu H2S EU AMS 2 Pro — прототипы и производство")</f>
      </c>
      <c r="I114" t="s">
        <v>69</v>
      </c>
      <c r="J114" t="s">
        <v>78</v>
      </c>
      <c r="K114" t="s">
        <v>79</v>
      </c>
      <c r="L114">
        <v>29</v>
      </c>
      <c r="M114">
        <v>16</v>
      </c>
      <c r="N114" s="4">
        <v>0</v>
      </c>
      <c r="O114">
        <v>0</v>
      </c>
      <c r="P114" s="5" t="s">
        <v>54</v>
      </c>
      <c r="Q114" s="4" t="s">
        <v>54</v>
      </c>
      <c r="R114">
        <v>0</v>
      </c>
      <c r="S114">
        <v>0</v>
      </c>
      <c r="T114">
        <v>0</v>
      </c>
      <c r="U114">
        <v>0</v>
      </c>
      <c r="V114">
        <v>0</v>
      </c>
      <c r="W114">
        <v>0</v>
      </c>
      <c r="X114" s="5" t="s">
        <v>54</v>
      </c>
      <c r="Y114">
        <v>0</v>
      </c>
      <c r="Z114" s="4" t="s">
        <v>54</v>
      </c>
      <c r="AA114">
        <v>0</v>
      </c>
      <c r="AB114" s="5">
        <v>0</v>
      </c>
      <c r="AC114">
        <v>0</v>
      </c>
      <c r="AD114" s="5">
        <v>0</v>
      </c>
      <c r="AE114" s="5">
        <v>56</v>
      </c>
      <c r="AF114" s="5">
        <v>0</v>
      </c>
      <c r="AG114" s="5">
        <v>56</v>
      </c>
      <c r="AH114" s="5">
        <v>0</v>
      </c>
      <c r="AI114" s="5">
        <v>0</v>
      </c>
      <c r="AJ114" s="5">
        <v>0</v>
      </c>
    </row>
    <row r="115">
      <c r="A115" s="2" t="str">
        <f>HYPERLINK("https://www.avito.ru/samara/bytovaya_elektronika/bambu_lab_h2d_laser_40w_cn_vygodnaya_cn-versiya_8071210445","8071210445")</f>
      </c>
      <c r="B115" t="s">
        <v>143</v>
      </c>
      <c r="C115" t="s">
        <v>144</v>
      </c>
      <c r="D115" t="s">
        <v>145</v>
      </c>
      <c r="E115" t="s">
        <v>39</v>
      </c>
      <c r="F115" t="s">
        <v>40</v>
      </c>
      <c r="G115" t="s">
        <v>41</v>
      </c>
      <c r="H115" s="3" t="str">
        <f>HYPERLINK("https://www.avito.ru/samara/bytovaya_elektronika/bambu_lab_h2d_laser_40w_cn_vygodnaya_cn-versiya_8071210445","Bambu Lab H2D Laser 40W CN — выгодная CN-версия")</f>
      </c>
      <c r="I115" t="s">
        <v>220</v>
      </c>
      <c r="J115" t="s">
        <v>78</v>
      </c>
      <c r="K115" t="s">
        <v>79</v>
      </c>
      <c r="L115">
        <v>29</v>
      </c>
      <c r="M115">
        <v>372</v>
      </c>
      <c r="N115" s="4">
        <v>0.0618</v>
      </c>
      <c r="O115">
        <v>23</v>
      </c>
      <c r="P115" s="5">
        <v>2.43</v>
      </c>
      <c r="Q115" s="4">
        <v>0</v>
      </c>
      <c r="R115">
        <v>0</v>
      </c>
      <c r="S115">
        <v>0</v>
      </c>
      <c r="T115">
        <v>0</v>
      </c>
      <c r="U115">
        <v>0</v>
      </c>
      <c r="V115">
        <v>0</v>
      </c>
      <c r="W115">
        <v>0</v>
      </c>
      <c r="X115" s="5" t="s">
        <v>54</v>
      </c>
      <c r="Y115">
        <v>0</v>
      </c>
      <c r="Z115" s="4">
        <v>0</v>
      </c>
      <c r="AA115">
        <v>0</v>
      </c>
      <c r="AB115" s="5">
        <v>0</v>
      </c>
      <c r="AC115">
        <v>0</v>
      </c>
      <c r="AD115" s="5">
        <v>0</v>
      </c>
      <c r="AE115" s="5">
        <v>56</v>
      </c>
      <c r="AF115" s="5">
        <v>0</v>
      </c>
      <c r="AG115" s="5">
        <v>56</v>
      </c>
      <c r="AH115" s="5">
        <v>0</v>
      </c>
      <c r="AI115" s="5">
        <v>0</v>
      </c>
      <c r="AJ115" s="5">
        <v>0</v>
      </c>
    </row>
    <row r="116">
      <c r="A116" s="2" t="str">
        <f>HYPERLINK("https://www.avito.ru/kazan/bytovaya_elektronika/bambu_lab_h2c_laser_10w_eu_vortek_ams_2_pro_lazer_8071213367","8071213367")</f>
      </c>
      <c r="B116" t="s">
        <v>97</v>
      </c>
      <c r="C116" t="s">
        <v>98</v>
      </c>
      <c r="D116" t="s">
        <v>99</v>
      </c>
      <c r="E116" t="s">
        <v>39</v>
      </c>
      <c r="F116" t="s">
        <v>40</v>
      </c>
      <c r="G116" t="s">
        <v>41</v>
      </c>
      <c r="H116" s="3" t="str">
        <f>HYPERLINK("https://www.avito.ru/kazan/bytovaya_elektronika/bambu_lab_h2c_laser_10w_eu_vortek_ams_2_pro_lazer_8071213367","Bambu Lab H2C Laser 10W EU — Vortek + AMS 2 Pro + лазер")</f>
      </c>
      <c r="I116" t="s">
        <v>218</v>
      </c>
      <c r="J116" t="s">
        <v>78</v>
      </c>
      <c r="K116" t="s">
        <v>79</v>
      </c>
      <c r="L116">
        <v>29</v>
      </c>
      <c r="M116">
        <v>20</v>
      </c>
      <c r="N116" s="4">
        <v>0</v>
      </c>
      <c r="O116">
        <v>0</v>
      </c>
      <c r="P116" s="5" t="s">
        <v>54</v>
      </c>
      <c r="Q116" s="4" t="s">
        <v>54</v>
      </c>
      <c r="R116">
        <v>0</v>
      </c>
      <c r="S116">
        <v>0</v>
      </c>
      <c r="T116">
        <v>0</v>
      </c>
      <c r="U116">
        <v>0</v>
      </c>
      <c r="V116">
        <v>0</v>
      </c>
      <c r="W116">
        <v>0</v>
      </c>
      <c r="X116" s="5" t="s">
        <v>54</v>
      </c>
      <c r="Y116">
        <v>0</v>
      </c>
      <c r="Z116" s="4" t="s">
        <v>54</v>
      </c>
      <c r="AA116">
        <v>0</v>
      </c>
      <c r="AB116" s="5">
        <v>0</v>
      </c>
      <c r="AC116">
        <v>0</v>
      </c>
      <c r="AD116" s="5">
        <v>0</v>
      </c>
      <c r="AE116" s="5">
        <v>56</v>
      </c>
      <c r="AF116" s="5">
        <v>0</v>
      </c>
      <c r="AG116" s="5">
        <v>56</v>
      </c>
      <c r="AH116" s="5">
        <v>0</v>
      </c>
      <c r="AI116" s="5">
        <v>0</v>
      </c>
      <c r="AJ116" s="5">
        <v>0</v>
      </c>
    </row>
    <row r="117">
      <c r="A117" s="2" t="str">
        <f>HYPERLINK("https://www.avito.ru/novosibirsk/bytovaya_elektronika/bambu_lab_h2c_combo_cn_vortek_ams_2_pro_tsena_nizhe_eu_8071214056","8071214056")</f>
      </c>
      <c r="B117" t="s">
        <v>122</v>
      </c>
      <c r="C117" t="s">
        <v>123</v>
      </c>
      <c r="D117" t="s">
        <v>206</v>
      </c>
      <c r="E117" t="s">
        <v>39</v>
      </c>
      <c r="F117" t="s">
        <v>40</v>
      </c>
      <c r="G117" t="s">
        <v>41</v>
      </c>
      <c r="H117" s="3" t="str">
        <f>HYPERLINK("https://www.avito.ru/novosibirsk/bytovaya_elektronika/bambu_lab_h2c_combo_cn_vortek_ams_2_pro_tsena_nizhe_eu_8071214056","Bambu Lab H2C Combo CN — Vortek + AMS 2 Pro, цена ниже EU")</f>
      </c>
      <c r="I117" t="s">
        <v>64</v>
      </c>
      <c r="J117" t="s">
        <v>55</v>
      </c>
      <c r="K117" t="s">
        <v>56</v>
      </c>
      <c r="L117">
        <v>30</v>
      </c>
      <c r="M117">
        <v>442</v>
      </c>
      <c r="N117" s="4">
        <v>0.0723</v>
      </c>
      <c r="O117">
        <v>32</v>
      </c>
      <c r="P117" s="5">
        <v>1.75</v>
      </c>
      <c r="Q117" s="4">
        <v>0</v>
      </c>
      <c r="R117">
        <v>0</v>
      </c>
      <c r="S117">
        <v>0</v>
      </c>
      <c r="T117">
        <v>0</v>
      </c>
      <c r="U117">
        <v>0</v>
      </c>
      <c r="V117">
        <v>0</v>
      </c>
      <c r="W117">
        <v>0</v>
      </c>
      <c r="X117" s="5" t="s">
        <v>54</v>
      </c>
      <c r="Y117">
        <v>1</v>
      </c>
      <c r="Z117" s="4">
        <v>0</v>
      </c>
      <c r="AA117">
        <v>0</v>
      </c>
      <c r="AB117" s="5">
        <v>0</v>
      </c>
      <c r="AC117">
        <v>0</v>
      </c>
      <c r="AD117" s="5">
        <v>0</v>
      </c>
      <c r="AE117" s="5">
        <v>56</v>
      </c>
      <c r="AF117" s="5">
        <v>0</v>
      </c>
      <c r="AG117" s="5">
        <v>56</v>
      </c>
      <c r="AH117" s="5">
        <v>0</v>
      </c>
      <c r="AI117" s="5">
        <v>0</v>
      </c>
      <c r="AJ117" s="5">
        <v>0</v>
      </c>
    </row>
    <row r="118">
      <c r="A118" s="2" t="str">
        <f>HYPERLINK("https://www.avito.ru/ekaterinburg/bytovaya_elektronika/bambu_h2c_full_combo_laser_10w_eu_sdek_2527_dney_8071215439","8071215439")</f>
      </c>
      <c r="B118" t="s">
        <v>182</v>
      </c>
      <c r="C118" t="s">
        <v>183</v>
      </c>
      <c r="D118" t="s">
        <v>184</v>
      </c>
      <c r="E118" t="s">
        <v>39</v>
      </c>
      <c r="F118" t="s">
        <v>40</v>
      </c>
      <c r="G118" t="s">
        <v>41</v>
      </c>
      <c r="H118" s="3" t="str">
        <f>HYPERLINK("https://www.avito.ru/ekaterinburg/bytovaya_elektronika/bambu_h2c_full_combo_laser_10w_eu_sdek_2527_dney_8071215439","Bambu H2C Full Combo Laser 10W EU — сдэк 25–27 дней")</f>
      </c>
      <c r="I118" t="s">
        <v>42</v>
      </c>
      <c r="J118" t="s">
        <v>78</v>
      </c>
      <c r="K118" t="s">
        <v>84</v>
      </c>
      <c r="L118">
        <v>29</v>
      </c>
      <c r="M118">
        <v>4</v>
      </c>
      <c r="N118" s="4">
        <v>0.25</v>
      </c>
      <c r="O118">
        <v>1</v>
      </c>
      <c r="P118" s="5">
        <v>56</v>
      </c>
      <c r="Q118" s="4">
        <v>0</v>
      </c>
      <c r="R118">
        <v>0</v>
      </c>
      <c r="S118">
        <v>0</v>
      </c>
      <c r="T118">
        <v>0</v>
      </c>
      <c r="U118">
        <v>0</v>
      </c>
      <c r="V118">
        <v>0</v>
      </c>
      <c r="W118">
        <v>0</v>
      </c>
      <c r="X118" s="5" t="s">
        <v>54</v>
      </c>
      <c r="Y118">
        <v>0</v>
      </c>
      <c r="Z118" s="4">
        <v>0</v>
      </c>
      <c r="AA118">
        <v>0</v>
      </c>
      <c r="AB118" s="5">
        <v>0</v>
      </c>
      <c r="AC118">
        <v>0</v>
      </c>
      <c r="AD118" s="5">
        <v>0</v>
      </c>
      <c r="AE118" s="5">
        <v>56</v>
      </c>
      <c r="AF118" s="5">
        <v>0</v>
      </c>
      <c r="AG118" s="5">
        <v>56</v>
      </c>
      <c r="AH118" s="5">
        <v>0</v>
      </c>
      <c r="AI118" s="5">
        <v>0</v>
      </c>
      <c r="AJ118" s="5">
        <v>0</v>
      </c>
    </row>
    <row r="119">
      <c r="A119" s="2" t="str">
        <f>HYPERLINK("https://www.avito.ru/novosibirsk/bytovaya_elektronika/bambu_h2d_pro_ams_eu_pro-komponenty_sdek_2527_dney_8071217071","8071217071")</f>
      </c>
      <c r="B119" t="s">
        <v>122</v>
      </c>
      <c r="C119" t="s">
        <v>123</v>
      </c>
      <c r="D119" t="s">
        <v>206</v>
      </c>
      <c r="E119" t="s">
        <v>39</v>
      </c>
      <c r="F119" t="s">
        <v>40</v>
      </c>
      <c r="G119" t="s">
        <v>41</v>
      </c>
      <c r="H119" s="3" t="str">
        <f>HYPERLINK("https://www.avito.ru/novosibirsk/bytovaya_elektronika/bambu_h2d_pro_ams_eu_pro-komponenty_sdek_2527_dney_8071217071","Bambu H2D PRO AMS EU — PRO-компоненты, сдэк 25–27 дней")</f>
      </c>
      <c r="I119" t="s">
        <v>221</v>
      </c>
      <c r="J119" t="s">
        <v>78</v>
      </c>
      <c r="K119" t="s">
        <v>79</v>
      </c>
      <c r="L119">
        <v>29</v>
      </c>
      <c r="M119">
        <v>93</v>
      </c>
      <c r="N119" s="4">
        <v>0.0215</v>
      </c>
      <c r="O119">
        <v>2</v>
      </c>
      <c r="P119" s="5">
        <v>28</v>
      </c>
      <c r="Q119" s="4">
        <v>0</v>
      </c>
      <c r="R119">
        <v>0</v>
      </c>
      <c r="S119">
        <v>0</v>
      </c>
      <c r="T119">
        <v>0</v>
      </c>
      <c r="U119">
        <v>0</v>
      </c>
      <c r="V119">
        <v>0</v>
      </c>
      <c r="W119">
        <v>0</v>
      </c>
      <c r="X119" s="5" t="s">
        <v>54</v>
      </c>
      <c r="Y119">
        <v>0</v>
      </c>
      <c r="Z119" s="4">
        <v>0</v>
      </c>
      <c r="AA119">
        <v>0</v>
      </c>
      <c r="AB119" s="5">
        <v>0</v>
      </c>
      <c r="AC119">
        <v>0</v>
      </c>
      <c r="AD119" s="5">
        <v>0</v>
      </c>
      <c r="AE119" s="5">
        <v>56</v>
      </c>
      <c r="AF119" s="5">
        <v>0</v>
      </c>
      <c r="AG119" s="5">
        <v>56</v>
      </c>
      <c r="AH119" s="5">
        <v>0</v>
      </c>
      <c r="AI119" s="5">
        <v>0</v>
      </c>
      <c r="AJ119" s="5">
        <v>0</v>
      </c>
    </row>
    <row r="120">
      <c r="A120" s="2" t="str">
        <f>HYPERLINK("https://www.avito.ru/kazan/bytovaya_elektronika/3d_printer_h2c_combo_eu_nalichie_dostavka_37_dney_8071223186","8071223186")</f>
      </c>
      <c r="B120" t="s">
        <v>97</v>
      </c>
      <c r="C120" t="s">
        <v>98</v>
      </c>
      <c r="D120" t="s">
        <v>186</v>
      </c>
      <c r="E120" t="s">
        <v>39</v>
      </c>
      <c r="F120" t="s">
        <v>40</v>
      </c>
      <c r="G120" t="s">
        <v>41</v>
      </c>
      <c r="H120" s="3" t="str">
        <f>HYPERLINK("https://www.avito.ru/kazan/bytovaya_elektronika/3d_printer_h2c_combo_eu_nalichie_dostavka_37_dney_8071223186","3D принтер H2C Combo EU — наличие, доставка 3–7 дней")</f>
      </c>
      <c r="I120" t="s">
        <v>61</v>
      </c>
      <c r="J120" t="s">
        <v>55</v>
      </c>
      <c r="K120" t="s">
        <v>56</v>
      </c>
      <c r="L120">
        <v>30</v>
      </c>
      <c r="M120">
        <v>48</v>
      </c>
      <c r="N120" s="4">
        <v>0.2083</v>
      </c>
      <c r="O120">
        <v>10</v>
      </c>
      <c r="P120" s="5">
        <v>5.6</v>
      </c>
      <c r="Q120" s="4">
        <v>0</v>
      </c>
      <c r="R120">
        <v>0</v>
      </c>
      <c r="S120">
        <v>0</v>
      </c>
      <c r="T120">
        <v>0</v>
      </c>
      <c r="U120">
        <v>0</v>
      </c>
      <c r="V120">
        <v>0</v>
      </c>
      <c r="W120">
        <v>0</v>
      </c>
      <c r="X120" s="5" t="s">
        <v>54</v>
      </c>
      <c r="Y120">
        <v>1</v>
      </c>
      <c r="Z120" s="4">
        <v>0</v>
      </c>
      <c r="AA120">
        <v>0</v>
      </c>
      <c r="AB120" s="5">
        <v>0</v>
      </c>
      <c r="AC120">
        <v>0</v>
      </c>
      <c r="AD120" s="5">
        <v>0</v>
      </c>
      <c r="AE120" s="5">
        <v>56</v>
      </c>
      <c r="AF120" s="5">
        <v>0</v>
      </c>
      <c r="AG120" s="5">
        <v>56</v>
      </c>
      <c r="AH120" s="5">
        <v>0</v>
      </c>
      <c r="AI120" s="5">
        <v>0</v>
      </c>
      <c r="AJ120" s="5">
        <v>0</v>
      </c>
    </row>
    <row r="121">
      <c r="A121" s="2" t="str">
        <f>HYPERLINK("https://www.avito.ru/krasnodar/bytovaya_elektronika/bambu_lab_p2s_combo_ams_dlya_doma_i_studii_sdek_8071228896","8071228896")</f>
      </c>
      <c r="B121" t="s">
        <v>58</v>
      </c>
      <c r="C121" t="s">
        <v>59</v>
      </c>
      <c r="D121" t="s">
        <v>66</v>
      </c>
      <c r="E121" t="s">
        <v>39</v>
      </c>
      <c r="F121" t="s">
        <v>40</v>
      </c>
      <c r="G121" t="s">
        <v>41</v>
      </c>
      <c r="H121" s="3" t="str">
        <f>HYPERLINK("https://www.avito.ru/krasnodar/bytovaya_elektronika/bambu_lab_p2s_combo_ams_dlya_doma_i_studii_sdek_8071228896","Bambu Lab P2S Combo AMS — для дома и студии, сдэк")</f>
      </c>
      <c r="I121" t="s">
        <v>222</v>
      </c>
      <c r="J121" t="s">
        <v>89</v>
      </c>
      <c r="K121" t="s">
        <v>84</v>
      </c>
      <c r="L121">
        <v>28</v>
      </c>
      <c r="M121">
        <v>114</v>
      </c>
      <c r="N121" s="4">
        <v>0.0701</v>
      </c>
      <c r="O121">
        <v>8</v>
      </c>
      <c r="P121" s="5">
        <v>7</v>
      </c>
      <c r="Q121" s="4">
        <v>0</v>
      </c>
      <c r="R121">
        <v>0</v>
      </c>
      <c r="S121">
        <v>0</v>
      </c>
      <c r="T121">
        <v>0</v>
      </c>
      <c r="U121">
        <v>0</v>
      </c>
      <c r="V121">
        <v>0</v>
      </c>
      <c r="W121">
        <v>0</v>
      </c>
      <c r="X121" s="5" t="s">
        <v>54</v>
      </c>
      <c r="Y121">
        <v>0</v>
      </c>
      <c r="Z121" s="4">
        <v>0</v>
      </c>
      <c r="AA121">
        <v>0</v>
      </c>
      <c r="AB121" s="5">
        <v>0</v>
      </c>
      <c r="AC121">
        <v>0</v>
      </c>
      <c r="AD121" s="5">
        <v>0</v>
      </c>
      <c r="AE121" s="5">
        <v>56</v>
      </c>
      <c r="AF121" s="5">
        <v>0</v>
      </c>
      <c r="AG121" s="5">
        <v>56</v>
      </c>
      <c r="AH121" s="5">
        <v>0</v>
      </c>
      <c r="AI121" s="5">
        <v>0</v>
      </c>
      <c r="AJ121" s="5">
        <v>0</v>
      </c>
    </row>
    <row r="122">
      <c r="A122" s="2" t="str">
        <f>HYPERLINK("https://www.avito.ru/chelyabinsk/bytovaya_elektronika/3d_printer_h2s_eu_bambu_lab_ams_2_pro_pod_zakaz_8071233792","8071233792")</f>
      </c>
      <c r="B122" t="s">
        <v>175</v>
      </c>
      <c r="C122" t="s">
        <v>176</v>
      </c>
      <c r="D122" t="s">
        <v>177</v>
      </c>
      <c r="E122" t="s">
        <v>39</v>
      </c>
      <c r="F122" t="s">
        <v>40</v>
      </c>
      <c r="G122" t="s">
        <v>41</v>
      </c>
      <c r="H122" s="3" t="str">
        <f>HYPERLINK("https://www.avito.ru/chelyabinsk/bytovaya_elektronika/3d_printer_h2s_eu_bambu_lab_ams_2_pro_pod_zakaz_8071233792","3D принтер H2S EU Bambu Lab — AMS 2 Pro, под заказ")</f>
      </c>
      <c r="I122" t="s">
        <v>223</v>
      </c>
      <c r="J122" t="s">
        <v>89</v>
      </c>
      <c r="K122" t="s">
        <v>84</v>
      </c>
      <c r="L122">
        <v>28</v>
      </c>
      <c r="M122">
        <v>49</v>
      </c>
      <c r="N122" s="4">
        <v>0.0204</v>
      </c>
      <c r="O122">
        <v>1</v>
      </c>
      <c r="P122" s="5">
        <v>56</v>
      </c>
      <c r="Q122" s="4">
        <v>0</v>
      </c>
      <c r="R122">
        <v>0</v>
      </c>
      <c r="S122">
        <v>0</v>
      </c>
      <c r="T122">
        <v>0</v>
      </c>
      <c r="U122">
        <v>0</v>
      </c>
      <c r="V122">
        <v>0</v>
      </c>
      <c r="W122">
        <v>0</v>
      </c>
      <c r="X122" s="5" t="s">
        <v>54</v>
      </c>
      <c r="Y122">
        <v>0</v>
      </c>
      <c r="Z122" s="4">
        <v>0</v>
      </c>
      <c r="AA122">
        <v>0</v>
      </c>
      <c r="AB122" s="5">
        <v>0</v>
      </c>
      <c r="AC122">
        <v>0</v>
      </c>
      <c r="AD122" s="5">
        <v>0</v>
      </c>
      <c r="AE122" s="5">
        <v>56</v>
      </c>
      <c r="AF122" s="5">
        <v>0</v>
      </c>
      <c r="AG122" s="5">
        <v>56</v>
      </c>
      <c r="AH122" s="5">
        <v>0</v>
      </c>
      <c r="AI122" s="5">
        <v>0</v>
      </c>
      <c r="AJ122" s="5">
        <v>0</v>
      </c>
    </row>
    <row r="123">
      <c r="A123" s="2" t="str">
        <f>HYPERLINK("https://www.avito.ru/moskva/bytovaya_elektronika/h2d_laser_40w_cn_moschnyy_lazer_3d-pechat_tsena_nizhe_eu_8071272876","8071272876")</f>
      </c>
      <c r="B123" t="s">
        <v>36</v>
      </c>
      <c r="C123" t="s">
        <v>37</v>
      </c>
      <c r="D123" t="s">
        <v>38</v>
      </c>
      <c r="E123" t="s">
        <v>39</v>
      </c>
      <c r="F123" t="s">
        <v>40</v>
      </c>
      <c r="G123" t="s">
        <v>41</v>
      </c>
      <c r="H123" s="3" t="str">
        <f>HYPERLINK("https://www.avito.ru/moskva/bytovaya_elektronika/h2d_laser_40w_cn_moschnyy_lazer_3d-pechat_tsena_nizhe_eu_8071272876","H2D Laser 40W CN — мощный лазер + 3D-печать, цена ниже EU")</f>
      </c>
      <c r="I123" t="s">
        <v>185</v>
      </c>
      <c r="J123" t="s">
        <v>78</v>
      </c>
      <c r="K123" t="s">
        <v>79</v>
      </c>
      <c r="L123">
        <v>29</v>
      </c>
      <c r="M123">
        <v>14</v>
      </c>
      <c r="N123" s="4">
        <v>0.0714</v>
      </c>
      <c r="O123">
        <v>1</v>
      </c>
      <c r="P123" s="5">
        <v>85</v>
      </c>
      <c r="Q123" s="4">
        <v>0</v>
      </c>
      <c r="R123">
        <v>0</v>
      </c>
      <c r="S123">
        <v>0</v>
      </c>
      <c r="T123">
        <v>0</v>
      </c>
      <c r="U123">
        <v>0</v>
      </c>
      <c r="V123">
        <v>0</v>
      </c>
      <c r="W123">
        <v>0</v>
      </c>
      <c r="X123" s="5" t="s">
        <v>54</v>
      </c>
      <c r="Y123">
        <v>0</v>
      </c>
      <c r="Z123" s="4">
        <v>0</v>
      </c>
      <c r="AA123">
        <v>0</v>
      </c>
      <c r="AB123" s="5">
        <v>0</v>
      </c>
      <c r="AC123">
        <v>0</v>
      </c>
      <c r="AD123" s="5">
        <v>0</v>
      </c>
      <c r="AE123" s="5">
        <v>85</v>
      </c>
      <c r="AF123" s="5">
        <v>0</v>
      </c>
      <c r="AG123" s="5">
        <v>85</v>
      </c>
      <c r="AH123" s="5">
        <v>0</v>
      </c>
      <c r="AI123" s="5">
        <v>0</v>
      </c>
      <c r="AJ123" s="5">
        <v>0</v>
      </c>
    </row>
    <row r="124">
      <c r="A124" s="2" t="str">
        <f>HYPERLINK("https://www.avito.ru/ufa/bytovaya_elektronika/h2c_full_combo_laser_10w_eu_gravirovka_metalla_i_dereva_8071279212","8071279212")</f>
      </c>
      <c r="B124" t="s">
        <v>162</v>
      </c>
      <c r="C124" t="s">
        <v>163</v>
      </c>
      <c r="D124" t="s">
        <v>164</v>
      </c>
      <c r="E124" t="s">
        <v>39</v>
      </c>
      <c r="F124" t="s">
        <v>40</v>
      </c>
      <c r="G124" t="s">
        <v>41</v>
      </c>
      <c r="H124" s="3" t="str">
        <f>HYPERLINK("https://www.avito.ru/ufa/bytovaya_elektronika/h2c_full_combo_laser_10w_eu_gravirovka_metalla_i_dereva_8071279212","H2C Full Combo Laser 10W EU — гравировка металла и дерева")</f>
      </c>
      <c r="I124" t="s">
        <v>224</v>
      </c>
      <c r="J124" t="s">
        <v>89</v>
      </c>
      <c r="K124" t="s">
        <v>84</v>
      </c>
      <c r="L124">
        <v>28</v>
      </c>
      <c r="M124">
        <v>602</v>
      </c>
      <c r="N124" s="4">
        <v>0.0448</v>
      </c>
      <c r="O124">
        <v>27</v>
      </c>
      <c r="P124" s="5">
        <v>2.07</v>
      </c>
      <c r="Q124" s="4">
        <v>0</v>
      </c>
      <c r="R124">
        <v>0</v>
      </c>
      <c r="S124">
        <v>0</v>
      </c>
      <c r="T124">
        <v>0</v>
      </c>
      <c r="U124">
        <v>0</v>
      </c>
      <c r="V124">
        <v>0</v>
      </c>
      <c r="W124">
        <v>0</v>
      </c>
      <c r="X124" s="5" t="s">
        <v>54</v>
      </c>
      <c r="Y124">
        <v>0</v>
      </c>
      <c r="Z124" s="4">
        <v>0</v>
      </c>
      <c r="AA124">
        <v>0</v>
      </c>
      <c r="AB124" s="5">
        <v>0</v>
      </c>
      <c r="AC124">
        <v>0</v>
      </c>
      <c r="AD124" s="5">
        <v>0</v>
      </c>
      <c r="AE124" s="5">
        <v>56</v>
      </c>
      <c r="AF124" s="5">
        <v>0</v>
      </c>
      <c r="AG124" s="5">
        <v>56</v>
      </c>
      <c r="AH124" s="5">
        <v>0</v>
      </c>
      <c r="AI124" s="5">
        <v>0</v>
      </c>
      <c r="AJ124" s="5">
        <v>0</v>
      </c>
    </row>
    <row r="125">
      <c r="A125">
        <v>8071283432</v>
      </c>
      <c r="B125" t="s">
        <v>182</v>
      </c>
      <c r="C125" t="s">
        <v>183</v>
      </c>
      <c r="D125" t="s">
        <v>184</v>
      </c>
      <c r="E125" t="s">
        <v>39</v>
      </c>
      <c r="F125" t="s">
        <v>40</v>
      </c>
      <c r="G125" t="s">
        <v>41</v>
      </c>
      <c r="H125" t="s">
        <v>53</v>
      </c>
      <c r="I125" t="s">
        <v>54</v>
      </c>
      <c r="J125" t="s">
        <v>89</v>
      </c>
      <c r="K125" t="s">
        <v>84</v>
      </c>
      <c r="L125">
        <v>28</v>
      </c>
      <c r="M125">
        <v>135</v>
      </c>
      <c r="N125" s="4">
        <v>0.0296</v>
      </c>
      <c r="O125">
        <v>4</v>
      </c>
      <c r="P125" s="5">
        <v>14</v>
      </c>
      <c r="Q125" s="4">
        <v>0</v>
      </c>
      <c r="R125">
        <v>0</v>
      </c>
      <c r="S125">
        <v>0</v>
      </c>
      <c r="T125">
        <v>0</v>
      </c>
      <c r="U125">
        <v>0</v>
      </c>
      <c r="V125">
        <v>0</v>
      </c>
      <c r="W125">
        <v>0</v>
      </c>
      <c r="X125" s="5" t="s">
        <v>54</v>
      </c>
      <c r="Y125">
        <v>0</v>
      </c>
      <c r="Z125" s="4">
        <v>0</v>
      </c>
      <c r="AA125">
        <v>0</v>
      </c>
      <c r="AB125" s="5">
        <v>0</v>
      </c>
      <c r="AC125">
        <v>0</v>
      </c>
      <c r="AD125" s="5">
        <v>0</v>
      </c>
      <c r="AE125" s="5">
        <v>56</v>
      </c>
      <c r="AF125" s="5">
        <v>0</v>
      </c>
      <c r="AG125" s="5">
        <v>56</v>
      </c>
      <c r="AH125" s="5">
        <v>0</v>
      </c>
      <c r="AI125" s="5">
        <v>0</v>
      </c>
      <c r="AJ125" s="5">
        <v>0</v>
      </c>
    </row>
    <row r="126">
      <c r="A126" s="2" t="str">
        <f>HYPERLINK("https://www.avito.ru/penza/bytovaya_elektronika/3d_printer_bambu_lab_h2s_eu_abs_asa_pa_pc_pod_zakaz_8071284975","8071284975")</f>
      </c>
      <c r="B126" t="s">
        <v>202</v>
      </c>
      <c r="C126" t="s">
        <v>203</v>
      </c>
      <c r="D126" t="s">
        <v>204</v>
      </c>
      <c r="E126" t="s">
        <v>39</v>
      </c>
      <c r="F126" t="s">
        <v>40</v>
      </c>
      <c r="G126" t="s">
        <v>41</v>
      </c>
      <c r="H126" s="3" t="str">
        <f>HYPERLINK("https://www.avito.ru/penza/bytovaya_elektronika/3d_printer_bambu_lab_h2s_eu_abs_asa_pa_pc_pod_zakaz_8071284975","3D принтер Bambu Lab H2S EU — ABS, ASA, PA, PC под заказ")</f>
      </c>
      <c r="I126" t="s">
        <v>77</v>
      </c>
      <c r="J126" t="s">
        <v>78</v>
      </c>
      <c r="K126" t="s">
        <v>79</v>
      </c>
      <c r="L126">
        <v>29</v>
      </c>
      <c r="M126">
        <v>269</v>
      </c>
      <c r="N126" s="4">
        <v>0.0446</v>
      </c>
      <c r="O126">
        <v>12</v>
      </c>
      <c r="P126" s="5">
        <v>4.66</v>
      </c>
      <c r="Q126" s="4">
        <v>0</v>
      </c>
      <c r="R126">
        <v>0</v>
      </c>
      <c r="S126">
        <v>0</v>
      </c>
      <c r="T126">
        <v>0</v>
      </c>
      <c r="U126">
        <v>0</v>
      </c>
      <c r="V126">
        <v>0</v>
      </c>
      <c r="W126">
        <v>0</v>
      </c>
      <c r="X126" s="5" t="s">
        <v>54</v>
      </c>
      <c r="Y126">
        <v>1</v>
      </c>
      <c r="Z126" s="4">
        <v>0</v>
      </c>
      <c r="AA126">
        <v>0</v>
      </c>
      <c r="AB126" s="5">
        <v>0</v>
      </c>
      <c r="AC126">
        <v>0</v>
      </c>
      <c r="AD126" s="5">
        <v>0</v>
      </c>
      <c r="AE126" s="5">
        <v>56</v>
      </c>
      <c r="AF126" s="5">
        <v>0</v>
      </c>
      <c r="AG126" s="5">
        <v>56</v>
      </c>
      <c r="AH126" s="5">
        <v>0</v>
      </c>
      <c r="AI126" s="5">
        <v>0</v>
      </c>
      <c r="AJ126" s="5">
        <v>0</v>
      </c>
    </row>
    <row r="127">
      <c r="A127" s="2" t="str">
        <f>HYPERLINK("https://www.avito.ru/krasnoyarsk/bytovaya_elektronika/elegoo_giga_storm_8008001000_krasnoyarsk_8071285492","8071285492")</f>
      </c>
      <c r="B127" t="s">
        <v>156</v>
      </c>
      <c r="C127" t="s">
        <v>157</v>
      </c>
      <c r="D127" t="s">
        <v>158</v>
      </c>
      <c r="E127" t="s">
        <v>39</v>
      </c>
      <c r="F127" t="s">
        <v>40</v>
      </c>
      <c r="G127" t="s">
        <v>41</v>
      </c>
      <c r="H127" s="3" t="str">
        <f>HYPERLINK("https://www.avito.ru/krasnoyarsk/bytovaya_elektronika/elegoo_giga_storm_8008001000_krasnoyarsk_8071285492","Elegoo Giga Storm 8008001000 — Красноярск")</f>
      </c>
      <c r="I127" t="s">
        <v>225</v>
      </c>
      <c r="J127" t="s">
        <v>89</v>
      </c>
      <c r="K127" t="s">
        <v>84</v>
      </c>
      <c r="L127">
        <v>28</v>
      </c>
      <c r="M127">
        <v>11</v>
      </c>
      <c r="N127" s="4">
        <v>0.0909</v>
      </c>
      <c r="O127">
        <v>1</v>
      </c>
      <c r="P127" s="5">
        <v>56</v>
      </c>
      <c r="Q127" s="4">
        <v>0</v>
      </c>
      <c r="R127">
        <v>0</v>
      </c>
      <c r="S127">
        <v>0</v>
      </c>
      <c r="T127">
        <v>0</v>
      </c>
      <c r="U127">
        <v>0</v>
      </c>
      <c r="V127">
        <v>0</v>
      </c>
      <c r="W127">
        <v>0</v>
      </c>
      <c r="X127" s="5" t="s">
        <v>54</v>
      </c>
      <c r="Y127">
        <v>0</v>
      </c>
      <c r="Z127" s="4">
        <v>0</v>
      </c>
      <c r="AA127">
        <v>0</v>
      </c>
      <c r="AB127" s="5">
        <v>0</v>
      </c>
      <c r="AC127">
        <v>0</v>
      </c>
      <c r="AD127" s="5">
        <v>0</v>
      </c>
      <c r="AE127" s="5">
        <v>56</v>
      </c>
      <c r="AF127" s="5">
        <v>0</v>
      </c>
      <c r="AG127" s="5">
        <v>56</v>
      </c>
      <c r="AH127" s="5">
        <v>0</v>
      </c>
      <c r="AI127" s="5">
        <v>0</v>
      </c>
      <c r="AJ127" s="5">
        <v>0</v>
      </c>
    </row>
    <row r="128">
      <c r="A128" s="2" t="str">
        <f>HYPERLINK("https://www.avito.ru/novosibirsk/bytovaya_elektronika/bambu_lab_h2s_eu_600_mms_ams_2_pro_postavka_2527_dney_8071294769","8071294769")</f>
      </c>
      <c r="B128" t="s">
        <v>122</v>
      </c>
      <c r="C128" t="s">
        <v>123</v>
      </c>
      <c r="D128" t="s">
        <v>124</v>
      </c>
      <c r="E128" t="s">
        <v>39</v>
      </c>
      <c r="F128" t="s">
        <v>40</v>
      </c>
      <c r="G128" t="s">
        <v>41</v>
      </c>
      <c r="H128" s="3" t="str">
        <f>HYPERLINK("https://www.avito.ru/novosibirsk/bytovaya_elektronika/bambu_lab_h2s_eu_600_mms_ams_2_pro_postavka_2527_dney_8071294769","Bambu Lab H2S EU — 600 мм/с + AMS 2 Pro, поставка 25–27 дней")</f>
      </c>
      <c r="I128" t="s">
        <v>226</v>
      </c>
      <c r="J128" t="s">
        <v>89</v>
      </c>
      <c r="K128" t="s">
        <v>84</v>
      </c>
      <c r="L128">
        <v>28</v>
      </c>
      <c r="M128">
        <v>187</v>
      </c>
      <c r="N128" s="4">
        <v>0.0588</v>
      </c>
      <c r="O128">
        <v>11</v>
      </c>
      <c r="P128" s="5">
        <v>5.09</v>
      </c>
      <c r="Q128" s="4">
        <v>0</v>
      </c>
      <c r="R128">
        <v>0</v>
      </c>
      <c r="S128">
        <v>0</v>
      </c>
      <c r="T128">
        <v>0</v>
      </c>
      <c r="U128">
        <v>0</v>
      </c>
      <c r="V128">
        <v>0</v>
      </c>
      <c r="W128">
        <v>0</v>
      </c>
      <c r="X128" s="5" t="s">
        <v>54</v>
      </c>
      <c r="Y128">
        <v>0</v>
      </c>
      <c r="Z128" s="4">
        <v>0</v>
      </c>
      <c r="AA128">
        <v>0</v>
      </c>
      <c r="AB128" s="5">
        <v>0</v>
      </c>
      <c r="AC128">
        <v>0</v>
      </c>
      <c r="AD128" s="5">
        <v>0</v>
      </c>
      <c r="AE128" s="5">
        <v>56</v>
      </c>
      <c r="AF128" s="5">
        <v>0</v>
      </c>
      <c r="AG128" s="5">
        <v>56</v>
      </c>
      <c r="AH128" s="5">
        <v>0</v>
      </c>
      <c r="AI128" s="5">
        <v>0</v>
      </c>
      <c r="AJ128" s="5">
        <v>0</v>
      </c>
    </row>
    <row r="129">
      <c r="A129" s="2" t="str">
        <f>HYPERLINK("https://www.avito.ru/kaliningrad/bytovaya_elektronika/3d_printer_h2s_eu_bambu_lab_ams_2_pro_pod_zakaz_8071299807","8071299807")</f>
      </c>
      <c r="B129" t="s">
        <v>147</v>
      </c>
      <c r="C129" t="s">
        <v>148</v>
      </c>
      <c r="D129" t="s">
        <v>149</v>
      </c>
      <c r="E129" t="s">
        <v>39</v>
      </c>
      <c r="F129" t="s">
        <v>40</v>
      </c>
      <c r="G129" t="s">
        <v>41</v>
      </c>
      <c r="H129" s="3" t="str">
        <f>HYPERLINK("https://www.avito.ru/kaliningrad/bytovaya_elektronika/3d_printer_h2s_eu_bambu_lab_ams_2_pro_pod_zakaz_8071299807","3D принтер H2S EU Bambu Lab — AMS 2 Pro, под заказ")</f>
      </c>
      <c r="I129" t="s">
        <v>77</v>
      </c>
      <c r="J129" t="s">
        <v>78</v>
      </c>
      <c r="K129" t="s">
        <v>79</v>
      </c>
      <c r="L129">
        <v>29</v>
      </c>
      <c r="M129">
        <v>182</v>
      </c>
      <c r="N129" s="4">
        <v>0.0604</v>
      </c>
      <c r="O129">
        <v>11</v>
      </c>
      <c r="P129" s="5">
        <v>5.09</v>
      </c>
      <c r="Q129" s="4">
        <v>0</v>
      </c>
      <c r="R129">
        <v>0</v>
      </c>
      <c r="S129">
        <v>0</v>
      </c>
      <c r="T129">
        <v>0</v>
      </c>
      <c r="U129">
        <v>0</v>
      </c>
      <c r="V129">
        <v>0</v>
      </c>
      <c r="W129">
        <v>0</v>
      </c>
      <c r="X129" s="5" t="s">
        <v>54</v>
      </c>
      <c r="Y129">
        <v>0</v>
      </c>
      <c r="Z129" s="4">
        <v>0</v>
      </c>
      <c r="AA129">
        <v>0</v>
      </c>
      <c r="AB129" s="5">
        <v>0</v>
      </c>
      <c r="AC129">
        <v>0</v>
      </c>
      <c r="AD129" s="5">
        <v>0</v>
      </c>
      <c r="AE129" s="5">
        <v>56</v>
      </c>
      <c r="AF129" s="5">
        <v>0</v>
      </c>
      <c r="AG129" s="5">
        <v>56</v>
      </c>
      <c r="AH129" s="5">
        <v>0</v>
      </c>
      <c r="AI129" s="5">
        <v>0</v>
      </c>
      <c r="AJ129" s="5">
        <v>0</v>
      </c>
    </row>
    <row r="130">
      <c r="A130" s="2" t="str">
        <f>HYPERLINK("https://www.avito.ru/novosibirsk/bytovaya_elektronika/h2c_full_combo_laser_10w_eu_gravirovka_metalla_i_dereva_8071300849","8071300849")</f>
      </c>
      <c r="B130" t="s">
        <v>122</v>
      </c>
      <c r="C130" t="s">
        <v>123</v>
      </c>
      <c r="D130" t="s">
        <v>206</v>
      </c>
      <c r="E130" t="s">
        <v>39</v>
      </c>
      <c r="F130" t="s">
        <v>40</v>
      </c>
      <c r="G130" t="s">
        <v>41</v>
      </c>
      <c r="H130" s="3" t="str">
        <f>HYPERLINK("https://www.avito.ru/novosibirsk/bytovaya_elektronika/h2c_full_combo_laser_10w_eu_gravirovka_metalla_i_dereva_8071300849","H2C Full Combo Laser 10W EU — гравировка металла и дерева")</f>
      </c>
      <c r="I130" t="s">
        <v>42</v>
      </c>
      <c r="J130" t="s">
        <v>78</v>
      </c>
      <c r="K130" t="s">
        <v>84</v>
      </c>
      <c r="L130">
        <v>29</v>
      </c>
      <c r="M130">
        <v>2</v>
      </c>
      <c r="N130" s="4">
        <v>0</v>
      </c>
      <c r="O130">
        <v>0</v>
      </c>
      <c r="P130" s="5" t="s">
        <v>54</v>
      </c>
      <c r="Q130" s="4" t="s">
        <v>54</v>
      </c>
      <c r="R130">
        <v>0</v>
      </c>
      <c r="S130">
        <v>0</v>
      </c>
      <c r="T130">
        <v>0</v>
      </c>
      <c r="U130">
        <v>0</v>
      </c>
      <c r="V130">
        <v>0</v>
      </c>
      <c r="W130">
        <v>0</v>
      </c>
      <c r="X130" s="5" t="s">
        <v>54</v>
      </c>
      <c r="Y130">
        <v>0</v>
      </c>
      <c r="Z130" s="4" t="s">
        <v>54</v>
      </c>
      <c r="AA130">
        <v>0</v>
      </c>
      <c r="AB130" s="5">
        <v>0</v>
      </c>
      <c r="AC130">
        <v>0</v>
      </c>
      <c r="AD130" s="5">
        <v>0</v>
      </c>
      <c r="AE130" s="5">
        <v>56</v>
      </c>
      <c r="AF130" s="5">
        <v>0</v>
      </c>
      <c r="AG130" s="5">
        <v>56</v>
      </c>
      <c r="AH130" s="5">
        <v>0</v>
      </c>
      <c r="AI130" s="5">
        <v>0</v>
      </c>
      <c r="AJ130" s="5">
        <v>0</v>
      </c>
    </row>
    <row r="131">
      <c r="A131" s="2" t="str">
        <f>HYPERLINK("https://www.avito.ru/krasnodar/bytovaya_elektronika/h2d_full_combo_laser_40w_eu_dvoynoy_ekstruder_40_vt_8071313759","8071313759")</f>
      </c>
      <c r="B131" t="s">
        <v>58</v>
      </c>
      <c r="C131" t="s">
        <v>59</v>
      </c>
      <c r="D131" t="s">
        <v>66</v>
      </c>
      <c r="E131" t="s">
        <v>39</v>
      </c>
      <c r="F131" t="s">
        <v>40</v>
      </c>
      <c r="G131" t="s">
        <v>41</v>
      </c>
      <c r="H131" s="3" t="str">
        <f>HYPERLINK("https://www.avito.ru/krasnodar/bytovaya_elektronika/h2d_full_combo_laser_40w_eu_dvoynoy_ekstruder_40_vt_8071313759","H2D Full Combo Laser 40W EU — двойной экструдер + 40 Вт")</f>
      </c>
      <c r="I131" t="s">
        <v>190</v>
      </c>
      <c r="J131" t="s">
        <v>55</v>
      </c>
      <c r="K131" t="s">
        <v>56</v>
      </c>
      <c r="L131">
        <v>30</v>
      </c>
      <c r="M131">
        <v>223</v>
      </c>
      <c r="N131" s="4">
        <v>0.0807</v>
      </c>
      <c r="O131">
        <v>18</v>
      </c>
      <c r="P131" s="5">
        <v>3.11</v>
      </c>
      <c r="Q131" s="4">
        <v>0</v>
      </c>
      <c r="R131">
        <v>0</v>
      </c>
      <c r="S131">
        <v>0</v>
      </c>
      <c r="T131">
        <v>0</v>
      </c>
      <c r="U131">
        <v>0</v>
      </c>
      <c r="V131">
        <v>0</v>
      </c>
      <c r="W131">
        <v>0</v>
      </c>
      <c r="X131" s="5" t="s">
        <v>54</v>
      </c>
      <c r="Y131">
        <v>0</v>
      </c>
      <c r="Z131" s="4">
        <v>0</v>
      </c>
      <c r="AA131">
        <v>0</v>
      </c>
      <c r="AB131" s="5">
        <v>0</v>
      </c>
      <c r="AC131">
        <v>0</v>
      </c>
      <c r="AD131" s="5">
        <v>0</v>
      </c>
      <c r="AE131" s="5">
        <v>56</v>
      </c>
      <c r="AF131" s="5">
        <v>0</v>
      </c>
      <c r="AG131" s="5">
        <v>56</v>
      </c>
      <c r="AH131" s="5">
        <v>0</v>
      </c>
      <c r="AI131" s="5">
        <v>0</v>
      </c>
      <c r="AJ131" s="5">
        <v>0</v>
      </c>
    </row>
    <row r="132">
      <c r="A132" s="2" t="str">
        <f>HYPERLINK("https://www.avito.ru/moskva/bytovaya_elektronika/h2c_combo_cn_bambu_lab_vortek_vygodnaya_tsena_pod_zakaz_8071315058","8071315058")</f>
      </c>
      <c r="B132" t="s">
        <v>36</v>
      </c>
      <c r="C132" t="s">
        <v>37</v>
      </c>
      <c r="D132" t="s">
        <v>227</v>
      </c>
      <c r="E132" t="s">
        <v>39</v>
      </c>
      <c r="F132" t="s">
        <v>40</v>
      </c>
      <c r="G132" t="s">
        <v>41</v>
      </c>
      <c r="H132" s="3" t="str">
        <f>HYPERLINK("https://www.avito.ru/moskva/bytovaya_elektronika/h2c_combo_cn_bambu_lab_vortek_vygodnaya_tsena_pod_zakaz_8071315058","H2C Combo CN Bambu Lab — Vortek, выгодная цена, под заказ")</f>
      </c>
      <c r="I132" t="s">
        <v>228</v>
      </c>
      <c r="J132" t="s">
        <v>55</v>
      </c>
      <c r="K132" t="s">
        <v>56</v>
      </c>
      <c r="L132">
        <v>30</v>
      </c>
      <c r="M132">
        <v>220</v>
      </c>
      <c r="N132" s="4">
        <v>0.1454</v>
      </c>
      <c r="O132">
        <v>32</v>
      </c>
      <c r="P132" s="5">
        <v>2.65</v>
      </c>
      <c r="Q132" s="4">
        <v>0</v>
      </c>
      <c r="R132">
        <v>0</v>
      </c>
      <c r="S132">
        <v>0</v>
      </c>
      <c r="T132">
        <v>0</v>
      </c>
      <c r="U132">
        <v>0</v>
      </c>
      <c r="V132">
        <v>0</v>
      </c>
      <c r="W132">
        <v>0</v>
      </c>
      <c r="X132" s="5" t="s">
        <v>54</v>
      </c>
      <c r="Y132">
        <v>1</v>
      </c>
      <c r="Z132" s="4">
        <v>0</v>
      </c>
      <c r="AA132">
        <v>0</v>
      </c>
      <c r="AB132" s="5">
        <v>0</v>
      </c>
      <c r="AC132">
        <v>0</v>
      </c>
      <c r="AD132" s="5">
        <v>0</v>
      </c>
      <c r="AE132" s="5">
        <v>85</v>
      </c>
      <c r="AF132" s="5">
        <v>0</v>
      </c>
      <c r="AG132" s="5">
        <v>85</v>
      </c>
      <c r="AH132" s="5">
        <v>0</v>
      </c>
      <c r="AI132" s="5">
        <v>0</v>
      </c>
      <c r="AJ132" s="5">
        <v>0</v>
      </c>
    </row>
    <row r="133">
      <c r="A133" s="2" t="str">
        <f>HYPERLINK("https://www.avito.ru/krasnoyarsk/bytovaya_elektronika/bambu_lab_h2c_laser_10w_eu_3d-pechat_lazer_plotter_8071319792","8071319792")</f>
      </c>
      <c r="B133" t="s">
        <v>156</v>
      </c>
      <c r="C133" t="s">
        <v>157</v>
      </c>
      <c r="D133" t="s">
        <v>158</v>
      </c>
      <c r="E133" t="s">
        <v>39</v>
      </c>
      <c r="F133" t="s">
        <v>40</v>
      </c>
      <c r="G133" t="s">
        <v>41</v>
      </c>
      <c r="H133" s="3" t="str">
        <f>HYPERLINK("https://www.avito.ru/krasnoyarsk/bytovaya_elektronika/bambu_lab_h2c_laser_10w_eu_3d-pechat_lazer_plotter_8071319792","Bambu Lab H2C Laser 10W EU — 3D-печать + лазер + плоттер")</f>
      </c>
      <c r="I133" t="s">
        <v>229</v>
      </c>
      <c r="J133" t="s">
        <v>55</v>
      </c>
      <c r="K133" t="s">
        <v>56</v>
      </c>
      <c r="L133">
        <v>30</v>
      </c>
      <c r="M133">
        <v>30</v>
      </c>
      <c r="N133" s="4">
        <v>0.1</v>
      </c>
      <c r="O133">
        <v>3</v>
      </c>
      <c r="P133" s="5">
        <v>18.66</v>
      </c>
      <c r="Q133" s="4">
        <v>0</v>
      </c>
      <c r="R133">
        <v>0</v>
      </c>
      <c r="S133">
        <v>0</v>
      </c>
      <c r="T133">
        <v>0</v>
      </c>
      <c r="U133">
        <v>0</v>
      </c>
      <c r="V133">
        <v>0</v>
      </c>
      <c r="W133">
        <v>0</v>
      </c>
      <c r="X133" s="5" t="s">
        <v>54</v>
      </c>
      <c r="Y133">
        <v>0</v>
      </c>
      <c r="Z133" s="4">
        <v>0</v>
      </c>
      <c r="AA133">
        <v>0</v>
      </c>
      <c r="AB133" s="5">
        <v>0</v>
      </c>
      <c r="AC133">
        <v>0</v>
      </c>
      <c r="AD133" s="5">
        <v>0</v>
      </c>
      <c r="AE133" s="5">
        <v>56</v>
      </c>
      <c r="AF133" s="5">
        <v>0</v>
      </c>
      <c r="AG133" s="5">
        <v>56</v>
      </c>
      <c r="AH133" s="5">
        <v>0</v>
      </c>
      <c r="AI133" s="5">
        <v>0</v>
      </c>
      <c r="AJ133" s="5">
        <v>0</v>
      </c>
    </row>
    <row r="134">
      <c r="A134" s="2" t="str">
        <f>HYPERLINK("https://www.avito.ru/moskva/bytovaya_elektronika/3d_printer_eu_bambu_lab_h2c_combo_8071323439","8071323439")</f>
      </c>
      <c r="B134" t="s">
        <v>36</v>
      </c>
      <c r="C134" t="s">
        <v>37</v>
      </c>
      <c r="D134" t="s">
        <v>38</v>
      </c>
      <c r="E134" t="s">
        <v>39</v>
      </c>
      <c r="F134" t="s">
        <v>40</v>
      </c>
      <c r="G134" t="s">
        <v>41</v>
      </c>
      <c r="H134" s="3" t="str">
        <f>HYPERLINK("https://www.avito.ru/moskva/bytovaya_elektronika/3d_printer_eu_bambu_lab_h2c_combo_8071323439","3Д принтер EU Bambu Lab H2C combo")</f>
      </c>
      <c r="I134" t="s">
        <v>61</v>
      </c>
      <c r="J134" t="s">
        <v>43</v>
      </c>
      <c r="K134" t="s">
        <v>62</v>
      </c>
      <c r="L134">
        <v>35</v>
      </c>
      <c r="M134">
        <v>412</v>
      </c>
      <c r="N134" s="4">
        <v>0.1917</v>
      </c>
      <c r="O134">
        <v>79</v>
      </c>
      <c r="P134" s="5">
        <v>1.07</v>
      </c>
      <c r="Q134" s="4">
        <v>0</v>
      </c>
      <c r="R134">
        <v>0</v>
      </c>
      <c r="S134">
        <v>0</v>
      </c>
      <c r="T134">
        <v>0</v>
      </c>
      <c r="U134">
        <v>0</v>
      </c>
      <c r="V134">
        <v>0</v>
      </c>
      <c r="W134">
        <v>0</v>
      </c>
      <c r="X134" s="5" t="s">
        <v>54</v>
      </c>
      <c r="Y134">
        <v>10</v>
      </c>
      <c r="Z134" s="4">
        <v>0</v>
      </c>
      <c r="AA134">
        <v>0</v>
      </c>
      <c r="AB134" s="5">
        <v>0</v>
      </c>
      <c r="AC134">
        <v>0</v>
      </c>
      <c r="AD134" s="5">
        <v>0</v>
      </c>
      <c r="AE134" s="5">
        <v>85</v>
      </c>
      <c r="AF134" s="5">
        <v>0</v>
      </c>
      <c r="AG134" s="5">
        <v>85</v>
      </c>
      <c r="AH134" s="5">
        <v>0</v>
      </c>
      <c r="AI134" s="5">
        <v>0</v>
      </c>
      <c r="AJ134" s="5">
        <v>0</v>
      </c>
    </row>
    <row r="135">
      <c r="A135" s="2" t="str">
        <f>HYPERLINK("https://www.avito.ru/voronezh/bytovaya_elektronika/bambu_lab_h2d_ams_2_pro_eu_dostavka_sdek_2527_dney_8071325045","8071325045")</f>
      </c>
      <c r="B135" t="s">
        <v>169</v>
      </c>
      <c r="C135" t="s">
        <v>170</v>
      </c>
      <c r="D135" t="s">
        <v>171</v>
      </c>
      <c r="E135" t="s">
        <v>39</v>
      </c>
      <c r="F135" t="s">
        <v>40</v>
      </c>
      <c r="G135" t="s">
        <v>41</v>
      </c>
      <c r="H135" s="3" t="str">
        <f>HYPERLINK("https://www.avito.ru/voronezh/bytovaya_elektronika/bambu_lab_h2d_ams_2_pro_eu_dostavka_sdek_2527_dney_8071325045","Bambu Lab H2D AMS 2 Pro EU — доставка сдэк 25–27 дней")</f>
      </c>
      <c r="I135" t="s">
        <v>96</v>
      </c>
      <c r="J135" t="s">
        <v>55</v>
      </c>
      <c r="K135" t="s">
        <v>56</v>
      </c>
      <c r="L135">
        <v>30</v>
      </c>
      <c r="M135">
        <v>38</v>
      </c>
      <c r="N135" s="4">
        <v>0.0526</v>
      </c>
      <c r="O135">
        <v>2</v>
      </c>
      <c r="P135" s="5">
        <v>28</v>
      </c>
      <c r="Q135" s="4">
        <v>0</v>
      </c>
      <c r="R135">
        <v>0</v>
      </c>
      <c r="S135">
        <v>0</v>
      </c>
      <c r="T135">
        <v>0</v>
      </c>
      <c r="U135">
        <v>0</v>
      </c>
      <c r="V135">
        <v>0</v>
      </c>
      <c r="W135">
        <v>0</v>
      </c>
      <c r="X135" s="5" t="s">
        <v>54</v>
      </c>
      <c r="Y135">
        <v>0</v>
      </c>
      <c r="Z135" s="4">
        <v>0</v>
      </c>
      <c r="AA135">
        <v>0</v>
      </c>
      <c r="AB135" s="5">
        <v>0</v>
      </c>
      <c r="AC135">
        <v>0</v>
      </c>
      <c r="AD135" s="5">
        <v>0</v>
      </c>
      <c r="AE135" s="5">
        <v>56</v>
      </c>
      <c r="AF135" s="5">
        <v>0</v>
      </c>
      <c r="AG135" s="5">
        <v>56</v>
      </c>
      <c r="AH135" s="5">
        <v>0</v>
      </c>
      <c r="AI135" s="5">
        <v>0</v>
      </c>
      <c r="AJ135" s="5">
        <v>0</v>
      </c>
    </row>
    <row r="136">
      <c r="A136" s="2" t="str">
        <f>HYPERLINK("https://www.avito.ru/rostov-na-donu/bytovaya_elektronika/3d_printer_h2d_laser_10w_cn_pod_zakaz_sdek_8071328254","8071328254")</f>
      </c>
      <c r="B136" t="s">
        <v>70</v>
      </c>
      <c r="C136" t="s">
        <v>71</v>
      </c>
      <c r="D136" t="s">
        <v>72</v>
      </c>
      <c r="E136" t="s">
        <v>39</v>
      </c>
      <c r="F136" t="s">
        <v>40</v>
      </c>
      <c r="G136" t="s">
        <v>41</v>
      </c>
      <c r="H136" s="3" t="str">
        <f>HYPERLINK("https://www.avito.ru/rostov-na-donu/bytovaya_elektronika/3d_printer_h2d_laser_10w_cn_pod_zakaz_sdek_8071328254","3D принтер H2D Laser 10W CN — под заказ, сдэк")</f>
      </c>
      <c r="I136" t="s">
        <v>188</v>
      </c>
      <c r="J136" t="s">
        <v>78</v>
      </c>
      <c r="K136" t="s">
        <v>79</v>
      </c>
      <c r="L136">
        <v>29</v>
      </c>
      <c r="M136">
        <v>278</v>
      </c>
      <c r="N136" s="4">
        <v>0.0359</v>
      </c>
      <c r="O136">
        <v>10</v>
      </c>
      <c r="P136" s="5">
        <v>5.6</v>
      </c>
      <c r="Q136" s="4">
        <v>0</v>
      </c>
      <c r="R136">
        <v>0</v>
      </c>
      <c r="S136">
        <v>0</v>
      </c>
      <c r="T136">
        <v>0</v>
      </c>
      <c r="U136">
        <v>0</v>
      </c>
      <c r="V136">
        <v>0</v>
      </c>
      <c r="W136">
        <v>0</v>
      </c>
      <c r="X136" s="5" t="s">
        <v>54</v>
      </c>
      <c r="Y136">
        <v>1</v>
      </c>
      <c r="Z136" s="4">
        <v>0</v>
      </c>
      <c r="AA136">
        <v>0</v>
      </c>
      <c r="AB136" s="5">
        <v>0</v>
      </c>
      <c r="AC136">
        <v>0</v>
      </c>
      <c r="AD136" s="5">
        <v>0</v>
      </c>
      <c r="AE136" s="5">
        <v>56</v>
      </c>
      <c r="AF136" s="5">
        <v>0</v>
      </c>
      <c r="AG136" s="5">
        <v>56</v>
      </c>
      <c r="AH136" s="5">
        <v>0</v>
      </c>
      <c r="AI136" s="5">
        <v>0</v>
      </c>
      <c r="AJ136" s="5">
        <v>0</v>
      </c>
    </row>
    <row r="137">
      <c r="A137" s="2" t="str">
        <f>HYPERLINK("https://www.avito.ru/moskva/bytovaya_elektronika/3d_printer_bambu_lab_h2c_combo_eu_ams_2_pro_8071329082","8071329082")</f>
      </c>
      <c r="B137" t="s">
        <v>36</v>
      </c>
      <c r="C137" t="s">
        <v>37</v>
      </c>
      <c r="D137" t="s">
        <v>230</v>
      </c>
      <c r="E137" t="s">
        <v>39</v>
      </c>
      <c r="F137" t="s">
        <v>40</v>
      </c>
      <c r="G137" t="s">
        <v>41</v>
      </c>
      <c r="H137" s="3" t="str">
        <f>HYPERLINK("https://www.avito.ru/moskva/bytovaya_elektronika/3d_printer_bambu_lab_h2c_combo_eu_ams_2_pro_8071329082","3D принтер Bambu Lab H2C Combo EU + AMS 2 Pro")</f>
      </c>
      <c r="I137" t="s">
        <v>61</v>
      </c>
      <c r="J137" t="s">
        <v>55</v>
      </c>
      <c r="K137" t="s">
        <v>136</v>
      </c>
      <c r="L137">
        <v>30</v>
      </c>
      <c r="M137">
        <v>44</v>
      </c>
      <c r="N137" s="4">
        <v>0.1818</v>
      </c>
      <c r="O137">
        <v>8</v>
      </c>
      <c r="P137" s="5">
        <v>10.62</v>
      </c>
      <c r="Q137" s="4">
        <v>0</v>
      </c>
      <c r="R137">
        <v>0</v>
      </c>
      <c r="S137">
        <v>0</v>
      </c>
      <c r="T137">
        <v>0</v>
      </c>
      <c r="U137">
        <v>0</v>
      </c>
      <c r="V137">
        <v>0</v>
      </c>
      <c r="W137">
        <v>0</v>
      </c>
      <c r="X137" s="5" t="s">
        <v>54</v>
      </c>
      <c r="Y137">
        <v>0</v>
      </c>
      <c r="Z137" s="4">
        <v>0</v>
      </c>
      <c r="AA137">
        <v>0</v>
      </c>
      <c r="AB137" s="5">
        <v>0</v>
      </c>
      <c r="AC137">
        <v>0</v>
      </c>
      <c r="AD137" s="5">
        <v>0</v>
      </c>
      <c r="AE137" s="5">
        <v>85</v>
      </c>
      <c r="AF137" s="5">
        <v>0</v>
      </c>
      <c r="AG137" s="5">
        <v>85</v>
      </c>
      <c r="AH137" s="5">
        <v>0</v>
      </c>
      <c r="AI137" s="5">
        <v>0</v>
      </c>
      <c r="AJ137" s="5">
        <v>0</v>
      </c>
    </row>
    <row r="138">
      <c r="A138" s="2" t="str">
        <f>HYPERLINK("https://www.avito.ru/krasnoyarsk/bytovaya_elektronika/bambu_lab_h2d_eu_laser_10w_3_v_1_pod_zakaz_sdek_8071333191","8071333191")</f>
      </c>
      <c r="B138" t="s">
        <v>156</v>
      </c>
      <c r="C138" t="s">
        <v>157</v>
      </c>
      <c r="D138" t="s">
        <v>158</v>
      </c>
      <c r="E138" t="s">
        <v>39</v>
      </c>
      <c r="F138" t="s">
        <v>40</v>
      </c>
      <c r="G138" t="s">
        <v>41</v>
      </c>
      <c r="H138" s="3" t="str">
        <f>HYPERLINK("https://www.avito.ru/krasnoyarsk/bytovaya_elektronika/bambu_lab_h2d_eu_laser_10w_3_v_1_pod_zakaz_sdek_8071333191","Bambu Lab H2D EU Laser 10W — 3 в 1, под заказ сдэк")</f>
      </c>
      <c r="I138" t="s">
        <v>73</v>
      </c>
      <c r="J138" t="s">
        <v>89</v>
      </c>
      <c r="K138" t="s">
        <v>84</v>
      </c>
      <c r="L138">
        <v>28</v>
      </c>
      <c r="M138">
        <v>26</v>
      </c>
      <c r="N138" s="4">
        <v>0.0769</v>
      </c>
      <c r="O138">
        <v>2</v>
      </c>
      <c r="P138" s="5">
        <v>28</v>
      </c>
      <c r="Q138" s="4">
        <v>0</v>
      </c>
      <c r="R138">
        <v>0</v>
      </c>
      <c r="S138">
        <v>0</v>
      </c>
      <c r="T138">
        <v>0</v>
      </c>
      <c r="U138">
        <v>0</v>
      </c>
      <c r="V138">
        <v>0</v>
      </c>
      <c r="W138">
        <v>0</v>
      </c>
      <c r="X138" s="5" t="s">
        <v>54</v>
      </c>
      <c r="Y138">
        <v>0</v>
      </c>
      <c r="Z138" s="4">
        <v>0</v>
      </c>
      <c r="AA138">
        <v>0</v>
      </c>
      <c r="AB138" s="5">
        <v>0</v>
      </c>
      <c r="AC138">
        <v>0</v>
      </c>
      <c r="AD138" s="5">
        <v>0</v>
      </c>
      <c r="AE138" s="5">
        <v>56</v>
      </c>
      <c r="AF138" s="5">
        <v>0</v>
      </c>
      <c r="AG138" s="5">
        <v>56</v>
      </c>
      <c r="AH138" s="5">
        <v>0</v>
      </c>
      <c r="AI138" s="5">
        <v>0</v>
      </c>
      <c r="AJ138" s="5">
        <v>0</v>
      </c>
    </row>
    <row r="139">
      <c r="A139" s="2" t="str">
        <f>HYPERLINK("https://www.avito.ru/kazan/bytovaya_elektronika/bambu_lab_h2d_laser_10w_cn_vygodnaya_cn-versiya_8071334446","8071334446")</f>
      </c>
      <c r="B139" t="s">
        <v>97</v>
      </c>
      <c r="C139" t="s">
        <v>98</v>
      </c>
      <c r="D139" t="s">
        <v>99</v>
      </c>
      <c r="E139" t="s">
        <v>39</v>
      </c>
      <c r="F139" t="s">
        <v>40</v>
      </c>
      <c r="G139" t="s">
        <v>41</v>
      </c>
      <c r="H139" s="3" t="str">
        <f>HYPERLINK("https://www.avito.ru/kazan/bytovaya_elektronika/bambu_lab_h2d_laser_10w_cn_vygodnaya_cn-versiya_8071334446","Bambu Lab H2D Laser 10W CN — выгодная CN-версия")</f>
      </c>
      <c r="I139" t="s">
        <v>125</v>
      </c>
      <c r="J139" t="s">
        <v>78</v>
      </c>
      <c r="K139" t="s">
        <v>84</v>
      </c>
      <c r="L139">
        <v>29</v>
      </c>
      <c r="M139">
        <v>3</v>
      </c>
      <c r="N139" s="4">
        <v>0</v>
      </c>
      <c r="O139">
        <v>0</v>
      </c>
      <c r="P139" s="5" t="s">
        <v>54</v>
      </c>
      <c r="Q139" s="4" t="s">
        <v>54</v>
      </c>
      <c r="R139">
        <v>0</v>
      </c>
      <c r="S139">
        <v>0</v>
      </c>
      <c r="T139">
        <v>0</v>
      </c>
      <c r="U139">
        <v>0</v>
      </c>
      <c r="V139">
        <v>0</v>
      </c>
      <c r="W139">
        <v>0</v>
      </c>
      <c r="X139" s="5" t="s">
        <v>54</v>
      </c>
      <c r="Y139">
        <v>0</v>
      </c>
      <c r="Z139" s="4" t="s">
        <v>54</v>
      </c>
      <c r="AA139">
        <v>0</v>
      </c>
      <c r="AB139" s="5">
        <v>0</v>
      </c>
      <c r="AC139">
        <v>0</v>
      </c>
      <c r="AD139" s="5">
        <v>0</v>
      </c>
      <c r="AE139" s="5">
        <v>56</v>
      </c>
      <c r="AF139" s="5">
        <v>0</v>
      </c>
      <c r="AG139" s="5">
        <v>56</v>
      </c>
      <c r="AH139" s="5">
        <v>0</v>
      </c>
      <c r="AI139" s="5">
        <v>0</v>
      </c>
      <c r="AJ139" s="5">
        <v>0</v>
      </c>
    </row>
    <row r="140">
      <c r="A140" s="2" t="str">
        <f>HYPERLINK("https://www.avito.ru/perm/bytovaya_elektronika/3d_printer_h2c_combo_eu_est_v_nalichii_vortek_ams_8071335857","8071335857")</f>
      </c>
      <c r="B140" t="s">
        <v>126</v>
      </c>
      <c r="C140" t="s">
        <v>127</v>
      </c>
      <c r="D140" t="s">
        <v>128</v>
      </c>
      <c r="E140" t="s">
        <v>39</v>
      </c>
      <c r="F140" t="s">
        <v>40</v>
      </c>
      <c r="G140" t="s">
        <v>41</v>
      </c>
      <c r="H140" s="3" t="str">
        <f>HYPERLINK("https://www.avito.ru/perm/bytovaya_elektronika/3d_printer_h2c_combo_eu_est_v_nalichii_vortek_ams_8071335857","3D принтер H2C Combo EU — есть в наличии, Vortek + AMS")</f>
      </c>
      <c r="I140" t="s">
        <v>61</v>
      </c>
      <c r="J140" t="s">
        <v>89</v>
      </c>
      <c r="K140" t="s">
        <v>84</v>
      </c>
      <c r="L140">
        <v>28</v>
      </c>
      <c r="M140">
        <v>6</v>
      </c>
      <c r="N140" s="4">
        <v>0.1666</v>
      </c>
      <c r="O140">
        <v>1</v>
      </c>
      <c r="P140" s="5">
        <v>56</v>
      </c>
      <c r="Q140" s="4">
        <v>0</v>
      </c>
      <c r="R140">
        <v>0</v>
      </c>
      <c r="S140">
        <v>0</v>
      </c>
      <c r="T140">
        <v>0</v>
      </c>
      <c r="U140">
        <v>0</v>
      </c>
      <c r="V140">
        <v>0</v>
      </c>
      <c r="W140">
        <v>0</v>
      </c>
      <c r="X140" s="5" t="s">
        <v>54</v>
      </c>
      <c r="Y140">
        <v>0</v>
      </c>
      <c r="Z140" s="4">
        <v>0</v>
      </c>
      <c r="AA140">
        <v>0</v>
      </c>
      <c r="AB140" s="5">
        <v>0</v>
      </c>
      <c r="AC140">
        <v>0</v>
      </c>
      <c r="AD140" s="5">
        <v>0</v>
      </c>
      <c r="AE140" s="5">
        <v>56</v>
      </c>
      <c r="AF140" s="5">
        <v>0</v>
      </c>
      <c r="AG140" s="5">
        <v>56</v>
      </c>
      <c r="AH140" s="5">
        <v>0</v>
      </c>
      <c r="AI140" s="5">
        <v>0</v>
      </c>
      <c r="AJ140" s="5">
        <v>0</v>
      </c>
    </row>
    <row r="141">
      <c r="A141">
        <v>8071336069</v>
      </c>
      <c r="B141" t="s">
        <v>58</v>
      </c>
      <c r="C141" t="s">
        <v>59</v>
      </c>
      <c r="D141" t="s">
        <v>66</v>
      </c>
      <c r="E141" t="s">
        <v>39</v>
      </c>
      <c r="F141" t="s">
        <v>40</v>
      </c>
      <c r="G141" t="s">
        <v>41</v>
      </c>
      <c r="H141" t="s">
        <v>53</v>
      </c>
      <c r="I141" t="s">
        <v>54</v>
      </c>
      <c r="J141" t="s">
        <v>89</v>
      </c>
      <c r="K141" t="s">
        <v>84</v>
      </c>
      <c r="L141">
        <v>28</v>
      </c>
      <c r="M141">
        <v>96</v>
      </c>
      <c r="N141" s="4">
        <v>0.0416</v>
      </c>
      <c r="O141">
        <v>4</v>
      </c>
      <c r="P141" s="5">
        <v>14</v>
      </c>
      <c r="Q141" s="4">
        <v>0</v>
      </c>
      <c r="R141">
        <v>0</v>
      </c>
      <c r="S141">
        <v>0</v>
      </c>
      <c r="T141">
        <v>0</v>
      </c>
      <c r="U141">
        <v>0</v>
      </c>
      <c r="V141">
        <v>0</v>
      </c>
      <c r="W141">
        <v>0</v>
      </c>
      <c r="X141" s="5" t="s">
        <v>54</v>
      </c>
      <c r="Y141">
        <v>0</v>
      </c>
      <c r="Z141" s="4">
        <v>0</v>
      </c>
      <c r="AA141">
        <v>0</v>
      </c>
      <c r="AB141" s="5">
        <v>0</v>
      </c>
      <c r="AC141">
        <v>0</v>
      </c>
      <c r="AD141" s="5">
        <v>0</v>
      </c>
      <c r="AE141" s="5">
        <v>56</v>
      </c>
      <c r="AF141" s="5">
        <v>0</v>
      </c>
      <c r="AG141" s="5">
        <v>56</v>
      </c>
      <c r="AH141" s="5">
        <v>0</v>
      </c>
      <c r="AI141" s="5">
        <v>0</v>
      </c>
      <c r="AJ141" s="5">
        <v>0</v>
      </c>
    </row>
    <row r="142">
      <c r="A142" s="2" t="str">
        <f>HYPERLINK("https://www.avito.ru/voronezh/bytovaya_elektronika/bambu_lab_h2c_laser_10w_eu_3d-pechat_lazer_plotter_8071336282","8071336282")</f>
      </c>
      <c r="B142" t="s">
        <v>169</v>
      </c>
      <c r="C142" t="s">
        <v>170</v>
      </c>
      <c r="D142" t="s">
        <v>171</v>
      </c>
      <c r="E142" t="s">
        <v>39</v>
      </c>
      <c r="F142" t="s">
        <v>40</v>
      </c>
      <c r="G142" t="s">
        <v>41</v>
      </c>
      <c r="H142" s="3" t="str">
        <f>HYPERLINK("https://www.avito.ru/voronezh/bytovaya_elektronika/bambu_lab_h2c_laser_10w_eu_3d-pechat_lazer_plotter_8071336282","Bambu Lab H2C Laser 10W EU — 3D-печать + лазер + плоттер")</f>
      </c>
      <c r="I142" t="s">
        <v>231</v>
      </c>
      <c r="J142" t="s">
        <v>89</v>
      </c>
      <c r="K142" t="s">
        <v>84</v>
      </c>
      <c r="L142">
        <v>28</v>
      </c>
      <c r="M142">
        <v>22</v>
      </c>
      <c r="N142" s="4">
        <v>0</v>
      </c>
      <c r="O142">
        <v>0</v>
      </c>
      <c r="P142" s="5" t="s">
        <v>54</v>
      </c>
      <c r="Q142" s="4" t="s">
        <v>54</v>
      </c>
      <c r="R142">
        <v>0</v>
      </c>
      <c r="S142">
        <v>0</v>
      </c>
      <c r="T142">
        <v>0</v>
      </c>
      <c r="U142">
        <v>0</v>
      </c>
      <c r="V142">
        <v>0</v>
      </c>
      <c r="W142">
        <v>0</v>
      </c>
      <c r="X142" s="5" t="s">
        <v>54</v>
      </c>
      <c r="Y142">
        <v>0</v>
      </c>
      <c r="Z142" s="4" t="s">
        <v>54</v>
      </c>
      <c r="AA142">
        <v>0</v>
      </c>
      <c r="AB142" s="5">
        <v>0</v>
      </c>
      <c r="AC142">
        <v>0</v>
      </c>
      <c r="AD142" s="5">
        <v>0</v>
      </c>
      <c r="AE142" s="5">
        <v>56</v>
      </c>
      <c r="AF142" s="5">
        <v>0</v>
      </c>
      <c r="AG142" s="5">
        <v>56</v>
      </c>
      <c r="AH142" s="5">
        <v>0</v>
      </c>
      <c r="AI142" s="5">
        <v>0</v>
      </c>
      <c r="AJ142" s="5">
        <v>0</v>
      </c>
    </row>
    <row r="143">
      <c r="A143" s="2" t="str">
        <f>HYPERLINK("https://www.avito.ru/volgograd/bytovaya_elektronika/3d_printer_h2c_combo_eu_nalichie_dostavka_37_dney_8071336908","8071336908")</f>
      </c>
      <c r="B143" t="s">
        <v>105</v>
      </c>
      <c r="C143" t="s">
        <v>106</v>
      </c>
      <c r="D143" t="s">
        <v>107</v>
      </c>
      <c r="E143" t="s">
        <v>39</v>
      </c>
      <c r="F143" t="s">
        <v>40</v>
      </c>
      <c r="G143" t="s">
        <v>41</v>
      </c>
      <c r="H143" s="3" t="str">
        <f>HYPERLINK("https://www.avito.ru/volgograd/bytovaya_elektronika/3d_printer_h2c_combo_eu_nalichie_dostavka_37_dney_8071336908","3D принтер H2C Combo EU — наличие, доставка 3–7 дней")</f>
      </c>
      <c r="I143" t="s">
        <v>61</v>
      </c>
      <c r="J143" t="s">
        <v>78</v>
      </c>
      <c r="K143" t="s">
        <v>79</v>
      </c>
      <c r="L143">
        <v>29</v>
      </c>
      <c r="M143">
        <v>142</v>
      </c>
      <c r="N143" s="4">
        <v>0.0281</v>
      </c>
      <c r="O143">
        <v>4</v>
      </c>
      <c r="P143" s="5">
        <v>14</v>
      </c>
      <c r="Q143" s="4">
        <v>0</v>
      </c>
      <c r="R143">
        <v>0</v>
      </c>
      <c r="S143">
        <v>0</v>
      </c>
      <c r="T143">
        <v>0</v>
      </c>
      <c r="U143">
        <v>0</v>
      </c>
      <c r="V143">
        <v>0</v>
      </c>
      <c r="W143">
        <v>0</v>
      </c>
      <c r="X143" s="5" t="s">
        <v>54</v>
      </c>
      <c r="Y143">
        <v>0</v>
      </c>
      <c r="Z143" s="4">
        <v>0</v>
      </c>
      <c r="AA143">
        <v>0</v>
      </c>
      <c r="AB143" s="5">
        <v>0</v>
      </c>
      <c r="AC143">
        <v>0</v>
      </c>
      <c r="AD143" s="5">
        <v>0</v>
      </c>
      <c r="AE143" s="5">
        <v>56</v>
      </c>
      <c r="AF143" s="5">
        <v>0</v>
      </c>
      <c r="AG143" s="5">
        <v>56</v>
      </c>
      <c r="AH143" s="5">
        <v>0</v>
      </c>
      <c r="AI143" s="5">
        <v>0</v>
      </c>
      <c r="AJ143" s="5">
        <v>0</v>
      </c>
    </row>
    <row r="144">
      <c r="A144" s="2" t="str">
        <f>HYPERLINK("https://www.avito.ru/chelyabinsk/bytovaya_elektronika/h2d_full_combo_laser_10w_eu_dvoynoy_ekstruder_lazer_8071340621","8071340621")</f>
      </c>
      <c r="B144" t="s">
        <v>175</v>
      </c>
      <c r="C144" t="s">
        <v>176</v>
      </c>
      <c r="D144" t="s">
        <v>177</v>
      </c>
      <c r="E144" t="s">
        <v>39</v>
      </c>
      <c r="F144" t="s">
        <v>40</v>
      </c>
      <c r="G144" t="s">
        <v>41</v>
      </c>
      <c r="H144" s="3" t="str">
        <f>HYPERLINK("https://www.avito.ru/chelyabinsk/bytovaya_elektronika/h2d_full_combo_laser_10w_eu_dvoynoy_ekstruder_lazer_8071340621","H2D Full Combo Laser 10W EU — двойной экструдер + лазер")</f>
      </c>
      <c r="I144" t="s">
        <v>232</v>
      </c>
      <c r="J144" t="s">
        <v>89</v>
      </c>
      <c r="K144" t="s">
        <v>84</v>
      </c>
      <c r="L144">
        <v>28</v>
      </c>
      <c r="M144">
        <v>16</v>
      </c>
      <c r="N144" s="4">
        <v>0.0625</v>
      </c>
      <c r="O144">
        <v>1</v>
      </c>
      <c r="P144" s="5">
        <v>56</v>
      </c>
      <c r="Q144" s="4">
        <v>0</v>
      </c>
      <c r="R144">
        <v>0</v>
      </c>
      <c r="S144">
        <v>0</v>
      </c>
      <c r="T144">
        <v>0</v>
      </c>
      <c r="U144">
        <v>0</v>
      </c>
      <c r="V144">
        <v>0</v>
      </c>
      <c r="W144">
        <v>0</v>
      </c>
      <c r="X144" s="5" t="s">
        <v>54</v>
      </c>
      <c r="Y144">
        <v>0</v>
      </c>
      <c r="Z144" s="4">
        <v>0</v>
      </c>
      <c r="AA144">
        <v>0</v>
      </c>
      <c r="AB144" s="5">
        <v>0</v>
      </c>
      <c r="AC144">
        <v>0</v>
      </c>
      <c r="AD144" s="5">
        <v>0</v>
      </c>
      <c r="AE144" s="5">
        <v>56</v>
      </c>
      <c r="AF144" s="5">
        <v>0</v>
      </c>
      <c r="AG144" s="5">
        <v>56</v>
      </c>
      <c r="AH144" s="5">
        <v>0</v>
      </c>
      <c r="AI144" s="5">
        <v>0</v>
      </c>
      <c r="AJ144" s="5">
        <v>0</v>
      </c>
    </row>
    <row r="145">
      <c r="A145" s="2" t="str">
        <f>HYPERLINK("https://www.avito.ru/kazan/bytovaya_elektronika/bambu_lab_h2d_combo_eu_dvoynoy_ekstruder_ams_2_pro_8071352711","8071352711")</f>
      </c>
      <c r="B145" t="s">
        <v>97</v>
      </c>
      <c r="C145" t="s">
        <v>98</v>
      </c>
      <c r="D145" t="s">
        <v>99</v>
      </c>
      <c r="E145" t="s">
        <v>39</v>
      </c>
      <c r="F145" t="s">
        <v>40</v>
      </c>
      <c r="G145" t="s">
        <v>41</v>
      </c>
      <c r="H145" s="3" t="str">
        <f>HYPERLINK("https://www.avito.ru/kazan/bytovaya_elektronika/bambu_lab_h2d_combo_eu_dvoynoy_ekstruder_ams_2_pro_8071352711","Bambu Lab H2D Combo EU — двойной экструдер + AMS 2 Pro")</f>
      </c>
      <c r="I145" t="s">
        <v>142</v>
      </c>
      <c r="J145" t="s">
        <v>233</v>
      </c>
      <c r="K145" t="s">
        <v>62</v>
      </c>
      <c r="L145">
        <v>33</v>
      </c>
      <c r="M145">
        <v>134</v>
      </c>
      <c r="N145" s="4">
        <v>0.1194</v>
      </c>
      <c r="O145">
        <v>16</v>
      </c>
      <c r="P145" s="5">
        <v>3.5</v>
      </c>
      <c r="Q145" s="4">
        <v>0</v>
      </c>
      <c r="R145">
        <v>0</v>
      </c>
      <c r="S145">
        <v>0</v>
      </c>
      <c r="T145">
        <v>0</v>
      </c>
      <c r="U145">
        <v>0</v>
      </c>
      <c r="V145">
        <v>0</v>
      </c>
      <c r="W145">
        <v>0</v>
      </c>
      <c r="X145" s="5" t="s">
        <v>54</v>
      </c>
      <c r="Y145">
        <v>0</v>
      </c>
      <c r="Z145" s="4">
        <v>0</v>
      </c>
      <c r="AA145">
        <v>0</v>
      </c>
      <c r="AB145" s="5">
        <v>0</v>
      </c>
      <c r="AC145">
        <v>0</v>
      </c>
      <c r="AD145" s="5">
        <v>0</v>
      </c>
      <c r="AE145" s="5">
        <v>56</v>
      </c>
      <c r="AF145" s="5">
        <v>0</v>
      </c>
      <c r="AG145" s="5">
        <v>56</v>
      </c>
      <c r="AH145" s="5">
        <v>0</v>
      </c>
      <c r="AI145" s="5">
        <v>0</v>
      </c>
      <c r="AJ145" s="5">
        <v>0</v>
      </c>
    </row>
    <row r="146">
      <c r="A146" s="2" t="str">
        <f>HYPERLINK("https://www.avito.ru/chelyabinsk/bytovaya_elektronika/bambu_lab_h2c_laser_40w_eu_vortek_ams_2_pro_40_vt_8071353463","8071353463")</f>
      </c>
      <c r="B146" t="s">
        <v>175</v>
      </c>
      <c r="C146" t="s">
        <v>176</v>
      </c>
      <c r="D146" t="s">
        <v>177</v>
      </c>
      <c r="E146" t="s">
        <v>39</v>
      </c>
      <c r="F146" t="s">
        <v>40</v>
      </c>
      <c r="G146" t="s">
        <v>41</v>
      </c>
      <c r="H146" s="3" t="str">
        <f>HYPERLINK("https://www.avito.ru/chelyabinsk/bytovaya_elektronika/bambu_lab_h2c_laser_40w_eu_vortek_ams_2_pro_40_vt_8071353463","Bambu Lab H2C Laser 40W EU — Vortek + AMS 2 Pro + 40 Вт")</f>
      </c>
      <c r="I146" t="s">
        <v>234</v>
      </c>
      <c r="J146" t="s">
        <v>89</v>
      </c>
      <c r="K146" t="s">
        <v>84</v>
      </c>
      <c r="L146">
        <v>28</v>
      </c>
      <c r="M146">
        <v>19</v>
      </c>
      <c r="N146" s="4">
        <v>0.0526</v>
      </c>
      <c r="O146">
        <v>1</v>
      </c>
      <c r="P146" s="5">
        <v>56</v>
      </c>
      <c r="Q146" s="4">
        <v>0</v>
      </c>
      <c r="R146">
        <v>0</v>
      </c>
      <c r="S146">
        <v>0</v>
      </c>
      <c r="T146">
        <v>0</v>
      </c>
      <c r="U146">
        <v>0</v>
      </c>
      <c r="V146">
        <v>0</v>
      </c>
      <c r="W146">
        <v>0</v>
      </c>
      <c r="X146" s="5" t="s">
        <v>54</v>
      </c>
      <c r="Y146">
        <v>0</v>
      </c>
      <c r="Z146" s="4">
        <v>0</v>
      </c>
      <c r="AA146">
        <v>0</v>
      </c>
      <c r="AB146" s="5">
        <v>0</v>
      </c>
      <c r="AC146">
        <v>0</v>
      </c>
      <c r="AD146" s="5">
        <v>0</v>
      </c>
      <c r="AE146" s="5">
        <v>56</v>
      </c>
      <c r="AF146" s="5">
        <v>0</v>
      </c>
      <c r="AG146" s="5">
        <v>56</v>
      </c>
      <c r="AH146" s="5">
        <v>0</v>
      </c>
      <c r="AI146" s="5">
        <v>0</v>
      </c>
      <c r="AJ146" s="5">
        <v>0</v>
      </c>
    </row>
    <row r="147">
      <c r="A147" s="2" t="str">
        <f>HYPERLINK("https://www.avito.ru/ufa/bytovaya_elektronika/bambu_lab_h2d_laser_10w_eu_3d-pechat_lazer_plotter_8071355920","8071355920")</f>
      </c>
      <c r="B147" t="s">
        <v>162</v>
      </c>
      <c r="C147" t="s">
        <v>163</v>
      </c>
      <c r="D147" t="s">
        <v>164</v>
      </c>
      <c r="E147" t="s">
        <v>39</v>
      </c>
      <c r="F147" t="s">
        <v>40</v>
      </c>
      <c r="G147" t="s">
        <v>41</v>
      </c>
      <c r="H147" s="3" t="str">
        <f>HYPERLINK("https://www.avito.ru/ufa/bytovaya_elektronika/bambu_lab_h2d_laser_10w_eu_3d-pechat_lazer_plotter_8071355920","Bambu Lab H2D Laser 10W EU — 3D-печать + лазер + плоттер")</f>
      </c>
      <c r="I147" t="s">
        <v>235</v>
      </c>
      <c r="J147" t="s">
        <v>89</v>
      </c>
      <c r="K147" t="s">
        <v>84</v>
      </c>
      <c r="L147">
        <v>28</v>
      </c>
      <c r="M147">
        <v>104</v>
      </c>
      <c r="N147" s="4">
        <v>0</v>
      </c>
      <c r="O147">
        <v>0</v>
      </c>
      <c r="P147" s="5" t="s">
        <v>54</v>
      </c>
      <c r="Q147" s="4" t="s">
        <v>54</v>
      </c>
      <c r="R147">
        <v>0</v>
      </c>
      <c r="S147">
        <v>0</v>
      </c>
      <c r="T147">
        <v>0</v>
      </c>
      <c r="U147">
        <v>0</v>
      </c>
      <c r="V147">
        <v>0</v>
      </c>
      <c r="W147">
        <v>0</v>
      </c>
      <c r="X147" s="5" t="s">
        <v>54</v>
      </c>
      <c r="Y147">
        <v>0</v>
      </c>
      <c r="Z147" s="4" t="s">
        <v>54</v>
      </c>
      <c r="AA147">
        <v>0</v>
      </c>
      <c r="AB147" s="5">
        <v>0</v>
      </c>
      <c r="AC147">
        <v>0</v>
      </c>
      <c r="AD147" s="5">
        <v>0</v>
      </c>
      <c r="AE147" s="5">
        <v>56</v>
      </c>
      <c r="AF147" s="5">
        <v>0</v>
      </c>
      <c r="AG147" s="5">
        <v>56</v>
      </c>
      <c r="AH147" s="5">
        <v>0</v>
      </c>
      <c r="AI147" s="5">
        <v>0</v>
      </c>
      <c r="AJ147" s="5">
        <v>0</v>
      </c>
    </row>
    <row r="148">
      <c r="A148" s="2" t="str">
        <f>HYPERLINK("https://www.avito.ru/nizhniy_novgorod/bytovaya_elektronika/bambu_lab_h2s_eu_600_mms_ams_2_pro_postavka_2527_dney_8071358530","8071358530")</f>
      </c>
      <c r="B148" t="s">
        <v>137</v>
      </c>
      <c r="C148" t="s">
        <v>138</v>
      </c>
      <c r="D148" t="s">
        <v>139</v>
      </c>
      <c r="E148" t="s">
        <v>39</v>
      </c>
      <c r="F148" t="s">
        <v>40</v>
      </c>
      <c r="G148" t="s">
        <v>41</v>
      </c>
      <c r="H148" s="3" t="str">
        <f>HYPERLINK("https://www.avito.ru/nizhniy_novgorod/bytovaya_elektronika/bambu_lab_h2s_eu_600_mms_ams_2_pro_postavka_2527_dney_8071358530","Bambu Lab H2S EU — 600 мм/с + AMS 2 Pro, поставка 25–27 дней")</f>
      </c>
      <c r="I148" t="s">
        <v>77</v>
      </c>
      <c r="J148" t="s">
        <v>55</v>
      </c>
      <c r="K148" t="s">
        <v>56</v>
      </c>
      <c r="L148">
        <v>30</v>
      </c>
      <c r="M148">
        <v>131</v>
      </c>
      <c r="N148" s="4">
        <v>0.0534</v>
      </c>
      <c r="O148">
        <v>7</v>
      </c>
      <c r="P148" s="5">
        <v>8</v>
      </c>
      <c r="Q148" s="4">
        <v>0</v>
      </c>
      <c r="R148">
        <v>0</v>
      </c>
      <c r="S148">
        <v>0</v>
      </c>
      <c r="T148">
        <v>0</v>
      </c>
      <c r="U148">
        <v>0</v>
      </c>
      <c r="V148">
        <v>0</v>
      </c>
      <c r="W148">
        <v>0</v>
      </c>
      <c r="X148" s="5" t="s">
        <v>54</v>
      </c>
      <c r="Y148">
        <v>1</v>
      </c>
      <c r="Z148" s="4">
        <v>0</v>
      </c>
      <c r="AA148">
        <v>0</v>
      </c>
      <c r="AB148" s="5">
        <v>0</v>
      </c>
      <c r="AC148">
        <v>0</v>
      </c>
      <c r="AD148" s="5">
        <v>0</v>
      </c>
      <c r="AE148" s="5">
        <v>56</v>
      </c>
      <c r="AF148" s="5">
        <v>0</v>
      </c>
      <c r="AG148" s="5">
        <v>56</v>
      </c>
      <c r="AH148" s="5">
        <v>0</v>
      </c>
      <c r="AI148" s="5">
        <v>0</v>
      </c>
      <c r="AJ148" s="5">
        <v>0</v>
      </c>
    </row>
    <row r="149">
      <c r="A149" s="2" t="str">
        <f>HYPERLINK("https://www.avito.ru/samara/bytovaya_elektronika/3d_printer_h2c_laser_10w_eu_3_v_1_pod_zakaz_8071360376","8071360376")</f>
      </c>
      <c r="B149" t="s">
        <v>143</v>
      </c>
      <c r="C149" t="s">
        <v>144</v>
      </c>
      <c r="D149" t="s">
        <v>236</v>
      </c>
      <c r="E149" t="s">
        <v>39</v>
      </c>
      <c r="F149" t="s">
        <v>40</v>
      </c>
      <c r="G149" t="s">
        <v>41</v>
      </c>
      <c r="H149" s="3" t="str">
        <f>HYPERLINK("https://www.avito.ru/samara/bytovaya_elektronika/3d_printer_h2c_laser_10w_eu_3_v_1_pod_zakaz_8071360376","3D принтер H2C Laser 10W EU — 3 в 1, под заказ")</f>
      </c>
      <c r="I149" t="s">
        <v>218</v>
      </c>
      <c r="J149" t="s">
        <v>78</v>
      </c>
      <c r="K149" t="s">
        <v>79</v>
      </c>
      <c r="L149">
        <v>29</v>
      </c>
      <c r="M149">
        <v>106</v>
      </c>
      <c r="N149" s="4">
        <v>0.0094</v>
      </c>
      <c r="O149">
        <v>1</v>
      </c>
      <c r="P149" s="5">
        <v>56</v>
      </c>
      <c r="Q149" s="4">
        <v>0</v>
      </c>
      <c r="R149">
        <v>0</v>
      </c>
      <c r="S149">
        <v>0</v>
      </c>
      <c r="T149">
        <v>0</v>
      </c>
      <c r="U149">
        <v>0</v>
      </c>
      <c r="V149">
        <v>0</v>
      </c>
      <c r="W149">
        <v>0</v>
      </c>
      <c r="X149" s="5" t="s">
        <v>54</v>
      </c>
      <c r="Y149">
        <v>0</v>
      </c>
      <c r="Z149" s="4">
        <v>0</v>
      </c>
      <c r="AA149">
        <v>0</v>
      </c>
      <c r="AB149" s="5">
        <v>0</v>
      </c>
      <c r="AC149">
        <v>0</v>
      </c>
      <c r="AD149" s="5">
        <v>0</v>
      </c>
      <c r="AE149" s="5">
        <v>56</v>
      </c>
      <c r="AF149" s="5">
        <v>0</v>
      </c>
      <c r="AG149" s="5">
        <v>56</v>
      </c>
      <c r="AH149" s="5">
        <v>0</v>
      </c>
      <c r="AI149" s="5">
        <v>0</v>
      </c>
      <c r="AJ149" s="5">
        <v>0</v>
      </c>
    </row>
    <row r="150">
      <c r="A150" s="2" t="str">
        <f>HYPERLINK("https://www.avito.ru/sankt-peterburg/bytovaya_elektronika/h2c_full_combo_laser_40w_eu_rezka_metalla_i_dereva_8071364326","8071364326")</f>
      </c>
      <c r="B150" t="s">
        <v>36</v>
      </c>
      <c r="C150" t="s">
        <v>90</v>
      </c>
      <c r="D150" t="s">
        <v>115</v>
      </c>
      <c r="E150" t="s">
        <v>39</v>
      </c>
      <c r="F150" t="s">
        <v>40</v>
      </c>
      <c r="G150" t="s">
        <v>41</v>
      </c>
      <c r="H150" s="3" t="str">
        <f>HYPERLINK("https://www.avito.ru/sankt-peterburg/bytovaya_elektronika/h2c_full_combo_laser_40w_eu_rezka_metalla_i_dereva_8071364326","H2C Full Combo Laser 40W EU — резка металла и дерева")</f>
      </c>
      <c r="I150" t="s">
        <v>146</v>
      </c>
      <c r="J150" t="s">
        <v>55</v>
      </c>
      <c r="K150" t="s">
        <v>56</v>
      </c>
      <c r="L150">
        <v>30</v>
      </c>
      <c r="M150">
        <v>23</v>
      </c>
      <c r="N150" s="4">
        <v>0.0869</v>
      </c>
      <c r="O150">
        <v>2</v>
      </c>
      <c r="P150" s="5">
        <v>28</v>
      </c>
      <c r="Q150" s="4">
        <v>0</v>
      </c>
      <c r="R150">
        <v>0</v>
      </c>
      <c r="S150">
        <v>0</v>
      </c>
      <c r="T150">
        <v>0</v>
      </c>
      <c r="U150">
        <v>0</v>
      </c>
      <c r="V150">
        <v>0</v>
      </c>
      <c r="W150">
        <v>0</v>
      </c>
      <c r="X150" s="5" t="s">
        <v>54</v>
      </c>
      <c r="Y150">
        <v>1</v>
      </c>
      <c r="Z150" s="4">
        <v>0</v>
      </c>
      <c r="AA150">
        <v>0</v>
      </c>
      <c r="AB150" s="5">
        <v>0</v>
      </c>
      <c r="AC150">
        <v>0</v>
      </c>
      <c r="AD150" s="5">
        <v>0</v>
      </c>
      <c r="AE150" s="5">
        <v>56</v>
      </c>
      <c r="AF150" s="5">
        <v>0</v>
      </c>
      <c r="AG150" s="5">
        <v>56</v>
      </c>
      <c r="AH150" s="5">
        <v>0</v>
      </c>
      <c r="AI150" s="5">
        <v>0</v>
      </c>
      <c r="AJ150" s="5">
        <v>0</v>
      </c>
    </row>
    <row r="151">
      <c r="A151" s="2" t="str">
        <f>HYPERLINK("https://www.avito.ru/perm/bytovaya_elektronika/3d_printer_h2c_laser_10w_eu_3_v_1_pod_zakaz_8071365409","8071365409")</f>
      </c>
      <c r="B151" t="s">
        <v>126</v>
      </c>
      <c r="C151" t="s">
        <v>127</v>
      </c>
      <c r="D151" t="s">
        <v>128</v>
      </c>
      <c r="E151" t="s">
        <v>39</v>
      </c>
      <c r="F151" t="s">
        <v>40</v>
      </c>
      <c r="G151" t="s">
        <v>41</v>
      </c>
      <c r="H151" s="3" t="str">
        <f>HYPERLINK("https://www.avito.ru/perm/bytovaya_elektronika/3d_printer_h2c_laser_10w_eu_3_v_1_pod_zakaz_8071365409","3D принтер H2C Laser 10W EU — 3 в 1, под заказ")</f>
      </c>
      <c r="I151" t="s">
        <v>42</v>
      </c>
      <c r="J151" t="s">
        <v>89</v>
      </c>
      <c r="K151" t="s">
        <v>84</v>
      </c>
      <c r="L151">
        <v>28</v>
      </c>
      <c r="M151">
        <v>5</v>
      </c>
      <c r="N151" s="4">
        <v>0.2</v>
      </c>
      <c r="O151">
        <v>1</v>
      </c>
      <c r="P151" s="5">
        <v>56</v>
      </c>
      <c r="Q151" s="4">
        <v>0</v>
      </c>
      <c r="R151">
        <v>0</v>
      </c>
      <c r="S151">
        <v>0</v>
      </c>
      <c r="T151">
        <v>0</v>
      </c>
      <c r="U151">
        <v>0</v>
      </c>
      <c r="V151">
        <v>0</v>
      </c>
      <c r="W151">
        <v>0</v>
      </c>
      <c r="X151" s="5" t="s">
        <v>54</v>
      </c>
      <c r="Y151">
        <v>0</v>
      </c>
      <c r="Z151" s="4">
        <v>0</v>
      </c>
      <c r="AA151">
        <v>0</v>
      </c>
      <c r="AB151" s="5">
        <v>0</v>
      </c>
      <c r="AC151">
        <v>0</v>
      </c>
      <c r="AD151" s="5">
        <v>0</v>
      </c>
      <c r="AE151" s="5">
        <v>56</v>
      </c>
      <c r="AF151" s="5">
        <v>0</v>
      </c>
      <c r="AG151" s="5">
        <v>56</v>
      </c>
      <c r="AH151" s="5">
        <v>0</v>
      </c>
      <c r="AI151" s="5">
        <v>0</v>
      </c>
      <c r="AJ151" s="5">
        <v>0</v>
      </c>
    </row>
    <row r="152">
      <c r="A152" s="2" t="str">
        <f>HYPERLINK("https://www.avito.ru/sankt-peterburg/bytovaya_elektronika/3d_printer_bambu_lab_h2s_eu_abs_asa_pa_pc_pod_zakaz_8071365740","8071365740")</f>
      </c>
      <c r="B152" t="s">
        <v>36</v>
      </c>
      <c r="C152" t="s">
        <v>90</v>
      </c>
      <c r="D152" t="s">
        <v>104</v>
      </c>
      <c r="E152" t="s">
        <v>39</v>
      </c>
      <c r="F152" t="s">
        <v>40</v>
      </c>
      <c r="G152" t="s">
        <v>41</v>
      </c>
      <c r="H152" s="3" t="str">
        <f>HYPERLINK("https://www.avito.ru/sankt-peterburg/bytovaya_elektronika/3d_printer_bambu_lab_h2s_eu_abs_asa_pa_pc_pod_zakaz_8071365740","3D принтер Bambu Lab H2S EU — ABS, ASA, PA, PC под заказ")</f>
      </c>
      <c r="I152" t="s">
        <v>69</v>
      </c>
      <c r="J152" t="s">
        <v>55</v>
      </c>
      <c r="K152" t="s">
        <v>56</v>
      </c>
      <c r="L152">
        <v>30</v>
      </c>
      <c r="M152">
        <v>41</v>
      </c>
      <c r="N152" s="4">
        <v>0.1463</v>
      </c>
      <c r="O152">
        <v>6</v>
      </c>
      <c r="P152" s="5">
        <v>9.33</v>
      </c>
      <c r="Q152" s="4">
        <v>0</v>
      </c>
      <c r="R152">
        <v>0</v>
      </c>
      <c r="S152">
        <v>0</v>
      </c>
      <c r="T152">
        <v>0</v>
      </c>
      <c r="U152">
        <v>0</v>
      </c>
      <c r="V152">
        <v>0</v>
      </c>
      <c r="W152">
        <v>0</v>
      </c>
      <c r="X152" s="5" t="s">
        <v>54</v>
      </c>
      <c r="Y152">
        <v>0</v>
      </c>
      <c r="Z152" s="4">
        <v>0</v>
      </c>
      <c r="AA152">
        <v>0</v>
      </c>
      <c r="AB152" s="5">
        <v>0</v>
      </c>
      <c r="AC152">
        <v>0</v>
      </c>
      <c r="AD152" s="5">
        <v>0</v>
      </c>
      <c r="AE152" s="5">
        <v>56</v>
      </c>
      <c r="AF152" s="5">
        <v>0</v>
      </c>
      <c r="AG152" s="5">
        <v>56</v>
      </c>
      <c r="AH152" s="5">
        <v>0</v>
      </c>
      <c r="AI152" s="5">
        <v>0</v>
      </c>
      <c r="AJ152" s="5">
        <v>0</v>
      </c>
    </row>
    <row r="153">
      <c r="A153" s="2" t="str">
        <f>HYPERLINK("https://www.avito.ru/sankt-peterburg/bytovaya_elektronika/elegoo_giga_storm_8008001000_sankt-peterburg_8071365852","8071365852")</f>
      </c>
      <c r="B153" t="s">
        <v>36</v>
      </c>
      <c r="C153" t="s">
        <v>90</v>
      </c>
      <c r="D153" t="s">
        <v>91</v>
      </c>
      <c r="E153" t="s">
        <v>39</v>
      </c>
      <c r="F153" t="s">
        <v>40</v>
      </c>
      <c r="G153" t="s">
        <v>41</v>
      </c>
      <c r="H153" s="3" t="str">
        <f>HYPERLINK("https://www.avito.ru/sankt-peterburg/bytovaya_elektronika/elegoo_giga_storm_8008001000_sankt-peterburg_8071365852","Elegoo Giga Storm 8008001000 — Санкт-Петербург")</f>
      </c>
      <c r="I153" t="s">
        <v>237</v>
      </c>
      <c r="J153" t="s">
        <v>89</v>
      </c>
      <c r="K153" t="s">
        <v>84</v>
      </c>
      <c r="L153">
        <v>28</v>
      </c>
      <c r="M153">
        <v>39</v>
      </c>
      <c r="N153" s="4">
        <v>0.3076</v>
      </c>
      <c r="O153">
        <v>12</v>
      </c>
      <c r="P153" s="5">
        <v>4.66</v>
      </c>
      <c r="Q153" s="4">
        <v>0</v>
      </c>
      <c r="R153">
        <v>0</v>
      </c>
      <c r="S153">
        <v>0</v>
      </c>
      <c r="T153">
        <v>0</v>
      </c>
      <c r="U153">
        <v>0</v>
      </c>
      <c r="V153">
        <v>0</v>
      </c>
      <c r="W153">
        <v>0</v>
      </c>
      <c r="X153" s="5" t="s">
        <v>54</v>
      </c>
      <c r="Y153">
        <v>2</v>
      </c>
      <c r="Z153" s="4">
        <v>0</v>
      </c>
      <c r="AA153">
        <v>0</v>
      </c>
      <c r="AB153" s="5">
        <v>0</v>
      </c>
      <c r="AC153">
        <v>0</v>
      </c>
      <c r="AD153" s="5">
        <v>0</v>
      </c>
      <c r="AE153" s="5">
        <v>56</v>
      </c>
      <c r="AF153" s="5">
        <v>0</v>
      </c>
      <c r="AG153" s="5">
        <v>56</v>
      </c>
      <c r="AH153" s="5">
        <v>0</v>
      </c>
      <c r="AI153" s="5">
        <v>0</v>
      </c>
      <c r="AJ153" s="5">
        <v>0</v>
      </c>
    </row>
    <row r="154">
      <c r="A154" s="2" t="str">
        <f>HYPERLINK("https://www.avito.ru/samara/bytovaya_elektronika/bambu_lab_h2d_laser_40w_eu_moschnyy_lazer_3d-pechat_8071368802","8071368802")</f>
      </c>
      <c r="B154" t="s">
        <v>143</v>
      </c>
      <c r="C154" t="s">
        <v>144</v>
      </c>
      <c r="D154" t="s">
        <v>145</v>
      </c>
      <c r="E154" t="s">
        <v>39</v>
      </c>
      <c r="F154" t="s">
        <v>40</v>
      </c>
      <c r="G154" t="s">
        <v>41</v>
      </c>
      <c r="H154" s="3" t="str">
        <f>HYPERLINK("https://www.avito.ru/samara/bytovaya_elektronika/bambu_lab_h2d_laser_40w_eu_moschnyy_lazer_3d-pechat_8071368802","Bambu Lab H2D Laser 40W EU — мощный лазер + 3D-печать")</f>
      </c>
      <c r="I154" t="s">
        <v>238</v>
      </c>
      <c r="J154" t="s">
        <v>55</v>
      </c>
      <c r="K154" t="s">
        <v>56</v>
      </c>
      <c r="L154">
        <v>30</v>
      </c>
      <c r="M154">
        <v>16</v>
      </c>
      <c r="N154" s="4">
        <v>0</v>
      </c>
      <c r="O154">
        <v>0</v>
      </c>
      <c r="P154" s="5" t="s">
        <v>54</v>
      </c>
      <c r="Q154" s="4" t="s">
        <v>54</v>
      </c>
      <c r="R154">
        <v>0</v>
      </c>
      <c r="S154">
        <v>0</v>
      </c>
      <c r="T154">
        <v>0</v>
      </c>
      <c r="U154">
        <v>0</v>
      </c>
      <c r="V154">
        <v>0</v>
      </c>
      <c r="W154">
        <v>0</v>
      </c>
      <c r="X154" s="5" t="s">
        <v>54</v>
      </c>
      <c r="Y154">
        <v>0</v>
      </c>
      <c r="Z154" s="4" t="s">
        <v>54</v>
      </c>
      <c r="AA154">
        <v>0</v>
      </c>
      <c r="AB154" s="5">
        <v>0</v>
      </c>
      <c r="AC154">
        <v>0</v>
      </c>
      <c r="AD154" s="5">
        <v>0</v>
      </c>
      <c r="AE154" s="5">
        <v>56</v>
      </c>
      <c r="AF154" s="5">
        <v>0</v>
      </c>
      <c r="AG154" s="5">
        <v>56</v>
      </c>
      <c r="AH154" s="5">
        <v>0</v>
      </c>
      <c r="AI154" s="5">
        <v>0</v>
      </c>
      <c r="AJ154" s="5">
        <v>0</v>
      </c>
    </row>
    <row r="155">
      <c r="A155" s="2" t="str">
        <f>HYPERLINK("https://www.avito.ru/samara/bytovaya_elektronika/3d_printer_h2c_laser_40w_eu_3_v_1_pod_zakaz_8071372106","8071372106")</f>
      </c>
      <c r="B155" t="s">
        <v>143</v>
      </c>
      <c r="C155" t="s">
        <v>144</v>
      </c>
      <c r="D155" t="s">
        <v>236</v>
      </c>
      <c r="E155" t="s">
        <v>39</v>
      </c>
      <c r="F155" t="s">
        <v>40</v>
      </c>
      <c r="G155" t="s">
        <v>41</v>
      </c>
      <c r="H155" s="3" t="str">
        <f>HYPERLINK("https://www.avito.ru/samara/bytovaya_elektronika/3d_printer_h2c_laser_40w_eu_3_v_1_pod_zakaz_8071372106","3D принтер H2C Laser 40W EU — 3 в 1, под заказ")</f>
      </c>
      <c r="I155" t="s">
        <v>146</v>
      </c>
      <c r="J155" t="s">
        <v>78</v>
      </c>
      <c r="K155" t="s">
        <v>84</v>
      </c>
      <c r="L155">
        <v>29</v>
      </c>
      <c r="M155">
        <v>4</v>
      </c>
      <c r="N155" s="4">
        <v>0</v>
      </c>
      <c r="O155">
        <v>0</v>
      </c>
      <c r="P155" s="5" t="s">
        <v>54</v>
      </c>
      <c r="Q155" s="4" t="s">
        <v>54</v>
      </c>
      <c r="R155">
        <v>0</v>
      </c>
      <c r="S155">
        <v>0</v>
      </c>
      <c r="T155">
        <v>0</v>
      </c>
      <c r="U155">
        <v>0</v>
      </c>
      <c r="V155">
        <v>0</v>
      </c>
      <c r="W155">
        <v>0</v>
      </c>
      <c r="X155" s="5" t="s">
        <v>54</v>
      </c>
      <c r="Y155">
        <v>0</v>
      </c>
      <c r="Z155" s="4" t="s">
        <v>54</v>
      </c>
      <c r="AA155">
        <v>0</v>
      </c>
      <c r="AB155" s="5">
        <v>0</v>
      </c>
      <c r="AC155">
        <v>0</v>
      </c>
      <c r="AD155" s="5">
        <v>0</v>
      </c>
      <c r="AE155" s="5">
        <v>56</v>
      </c>
      <c r="AF155" s="5">
        <v>0</v>
      </c>
      <c r="AG155" s="5">
        <v>56</v>
      </c>
      <c r="AH155" s="5">
        <v>0</v>
      </c>
      <c r="AI155" s="5">
        <v>0</v>
      </c>
      <c r="AJ155" s="5">
        <v>0</v>
      </c>
    </row>
    <row r="156">
      <c r="A156" s="2" t="str">
        <f>HYPERLINK("https://www.avito.ru/barnaul/bytovaya_elektronika/3d_printer_bambu_h2d_combo_eu_pod_zakaz_sdek_rf_8071390872","8071390872")</f>
      </c>
      <c r="B156" t="s">
        <v>92</v>
      </c>
      <c r="C156" t="s">
        <v>93</v>
      </c>
      <c r="D156" t="s">
        <v>94</v>
      </c>
      <c r="E156" t="s">
        <v>39</v>
      </c>
      <c r="F156" t="s">
        <v>40</v>
      </c>
      <c r="G156" t="s">
        <v>41</v>
      </c>
      <c r="H156" s="3" t="str">
        <f>HYPERLINK("https://www.avito.ru/barnaul/bytovaya_elektronika/3d_printer_bambu_h2d_combo_eu_pod_zakaz_sdek_rf_8071390872","3D принтер Bambu H2D Combo EU — под заказ, сдэк РФ")</f>
      </c>
      <c r="I156" t="s">
        <v>96</v>
      </c>
      <c r="J156" t="s">
        <v>78</v>
      </c>
      <c r="K156" t="s">
        <v>79</v>
      </c>
      <c r="L156">
        <v>29</v>
      </c>
      <c r="M156">
        <v>59</v>
      </c>
      <c r="N156" s="4">
        <v>0.1016</v>
      </c>
      <c r="O156">
        <v>6</v>
      </c>
      <c r="P156" s="5">
        <v>9.33</v>
      </c>
      <c r="Q156" s="4">
        <v>0</v>
      </c>
      <c r="R156">
        <v>0</v>
      </c>
      <c r="S156">
        <v>0</v>
      </c>
      <c r="T156">
        <v>0</v>
      </c>
      <c r="U156">
        <v>0</v>
      </c>
      <c r="V156">
        <v>0</v>
      </c>
      <c r="W156">
        <v>0</v>
      </c>
      <c r="X156" s="5" t="s">
        <v>54</v>
      </c>
      <c r="Y156">
        <v>0</v>
      </c>
      <c r="Z156" s="4">
        <v>0</v>
      </c>
      <c r="AA156">
        <v>0</v>
      </c>
      <c r="AB156" s="5">
        <v>0</v>
      </c>
      <c r="AC156">
        <v>0</v>
      </c>
      <c r="AD156" s="5">
        <v>0</v>
      </c>
      <c r="AE156" s="5">
        <v>56</v>
      </c>
      <c r="AF156" s="5">
        <v>0</v>
      </c>
      <c r="AG156" s="5">
        <v>56</v>
      </c>
      <c r="AH156" s="5">
        <v>0</v>
      </c>
      <c r="AI156" s="5">
        <v>0</v>
      </c>
      <c r="AJ156" s="5">
        <v>0</v>
      </c>
    </row>
    <row r="157">
      <c r="A157" s="2" t="str">
        <f>HYPERLINK("https://www.avito.ru/rostov-na-donu/bytovaya_elektronika/3d_printer_p2s_combo_bambu_ams_600_mms_pod_zakaz_8071392968","8071392968")</f>
      </c>
      <c r="B157" t="s">
        <v>70</v>
      </c>
      <c r="C157" t="s">
        <v>71</v>
      </c>
      <c r="D157" t="s">
        <v>72</v>
      </c>
      <c r="E157" t="s">
        <v>39</v>
      </c>
      <c r="F157" t="s">
        <v>40</v>
      </c>
      <c r="G157" t="s">
        <v>41</v>
      </c>
      <c r="H157" s="3" t="str">
        <f>HYPERLINK("https://www.avito.ru/rostov-na-donu/bytovaya_elektronika/3d_printer_p2s_combo_bambu_ams_600_mms_pod_zakaz_8071392968","3D принтер P2S Combo Bambu — AMS, 600 мм/с, под заказ")</f>
      </c>
      <c r="I157" t="s">
        <v>239</v>
      </c>
      <c r="J157" t="s">
        <v>89</v>
      </c>
      <c r="K157" t="s">
        <v>84</v>
      </c>
      <c r="L157">
        <v>28</v>
      </c>
      <c r="M157">
        <v>109</v>
      </c>
      <c r="N157" s="4">
        <v>0.0825</v>
      </c>
      <c r="O157">
        <v>9</v>
      </c>
      <c r="P157" s="5">
        <v>6.22</v>
      </c>
      <c r="Q157" s="4">
        <v>0</v>
      </c>
      <c r="R157">
        <v>0</v>
      </c>
      <c r="S157">
        <v>0</v>
      </c>
      <c r="T157">
        <v>0</v>
      </c>
      <c r="U157">
        <v>0</v>
      </c>
      <c r="V157">
        <v>0</v>
      </c>
      <c r="W157">
        <v>0</v>
      </c>
      <c r="X157" s="5" t="s">
        <v>54</v>
      </c>
      <c r="Y157">
        <v>1</v>
      </c>
      <c r="Z157" s="4">
        <v>0</v>
      </c>
      <c r="AA157">
        <v>0</v>
      </c>
      <c r="AB157" s="5">
        <v>0</v>
      </c>
      <c r="AC157">
        <v>0</v>
      </c>
      <c r="AD157" s="5">
        <v>0</v>
      </c>
      <c r="AE157" s="5">
        <v>56</v>
      </c>
      <c r="AF157" s="5">
        <v>0</v>
      </c>
      <c r="AG157" s="5">
        <v>56</v>
      </c>
      <c r="AH157" s="5">
        <v>0</v>
      </c>
      <c r="AI157" s="5">
        <v>0</v>
      </c>
      <c r="AJ157" s="5">
        <v>0</v>
      </c>
    </row>
    <row r="158">
      <c r="A158" s="2" t="str">
        <f>HYPERLINK("https://www.avito.ru/novosibirsk/bytovaya_elektronika/h2d_laser_10w_cn_lazer_3d-pechat_tsena_nizhe_eu_8071397225","8071397225")</f>
      </c>
      <c r="B158" t="s">
        <v>122</v>
      </c>
      <c r="C158" t="s">
        <v>123</v>
      </c>
      <c r="D158" t="s">
        <v>206</v>
      </c>
      <c r="E158" t="s">
        <v>39</v>
      </c>
      <c r="F158" t="s">
        <v>40</v>
      </c>
      <c r="G158" t="s">
        <v>41</v>
      </c>
      <c r="H158" s="3" t="str">
        <f>HYPERLINK("https://www.avito.ru/novosibirsk/bytovaya_elektronika/h2d_laser_10w_cn_lazer_3d-pechat_tsena_nizhe_eu_8071397225","H2D Laser 10W CN — лазер + 3D-печать, цена ниже EU")</f>
      </c>
      <c r="I158" t="s">
        <v>240</v>
      </c>
      <c r="J158" t="s">
        <v>78</v>
      </c>
      <c r="K158" t="s">
        <v>84</v>
      </c>
      <c r="L158">
        <v>29</v>
      </c>
      <c r="M158">
        <v>4</v>
      </c>
      <c r="N158" s="4">
        <v>0.25</v>
      </c>
      <c r="O158">
        <v>1</v>
      </c>
      <c r="P158" s="5">
        <v>56</v>
      </c>
      <c r="Q158" s="4">
        <v>0</v>
      </c>
      <c r="R158">
        <v>0</v>
      </c>
      <c r="S158">
        <v>0</v>
      </c>
      <c r="T158">
        <v>0</v>
      </c>
      <c r="U158">
        <v>0</v>
      </c>
      <c r="V158">
        <v>0</v>
      </c>
      <c r="W158">
        <v>0</v>
      </c>
      <c r="X158" s="5" t="s">
        <v>54</v>
      </c>
      <c r="Y158">
        <v>0</v>
      </c>
      <c r="Z158" s="4">
        <v>0</v>
      </c>
      <c r="AA158">
        <v>0</v>
      </c>
      <c r="AB158" s="5">
        <v>0</v>
      </c>
      <c r="AC158">
        <v>0</v>
      </c>
      <c r="AD158" s="5">
        <v>0</v>
      </c>
      <c r="AE158" s="5">
        <v>56</v>
      </c>
      <c r="AF158" s="5">
        <v>0</v>
      </c>
      <c r="AG158" s="5">
        <v>56</v>
      </c>
      <c r="AH158" s="5">
        <v>0</v>
      </c>
      <c r="AI158" s="5">
        <v>0</v>
      </c>
      <c r="AJ158" s="5">
        <v>0</v>
      </c>
    </row>
    <row r="159">
      <c r="A159" s="2" t="str">
        <f>HYPERLINK("https://www.avito.ru/volgograd/bytovaya_elektronika/bambu_lab_h2d_eu_slozhnye_prototipy_s_podderzhkami_8071397362","8071397362")</f>
      </c>
      <c r="B159" t="s">
        <v>105</v>
      </c>
      <c r="C159" t="s">
        <v>106</v>
      </c>
      <c r="D159" t="s">
        <v>107</v>
      </c>
      <c r="E159" t="s">
        <v>39</v>
      </c>
      <c r="F159" t="s">
        <v>40</v>
      </c>
      <c r="G159" t="s">
        <v>41</v>
      </c>
      <c r="H159" s="3" t="str">
        <f>HYPERLINK("https://www.avito.ru/volgograd/bytovaya_elektronika/bambu_lab_h2d_eu_slozhnye_prototipy_s_podderzhkami_8071397362","Bambu Lab H2D EU — сложные прототипы с поддержками")</f>
      </c>
      <c r="I159" t="s">
        <v>67</v>
      </c>
      <c r="J159" t="s">
        <v>78</v>
      </c>
      <c r="K159" t="s">
        <v>79</v>
      </c>
      <c r="L159">
        <v>29</v>
      </c>
      <c r="M159">
        <v>87</v>
      </c>
      <c r="N159" s="4">
        <v>0.1379</v>
      </c>
      <c r="O159">
        <v>12</v>
      </c>
      <c r="P159" s="5">
        <v>4.66</v>
      </c>
      <c r="Q159" s="4">
        <v>0</v>
      </c>
      <c r="R159">
        <v>0</v>
      </c>
      <c r="S159">
        <v>0</v>
      </c>
      <c r="T159">
        <v>0</v>
      </c>
      <c r="U159">
        <v>0</v>
      </c>
      <c r="V159">
        <v>0</v>
      </c>
      <c r="W159">
        <v>0</v>
      </c>
      <c r="X159" s="5" t="s">
        <v>54</v>
      </c>
      <c r="Y159">
        <v>1</v>
      </c>
      <c r="Z159" s="4">
        <v>0</v>
      </c>
      <c r="AA159">
        <v>0</v>
      </c>
      <c r="AB159" s="5">
        <v>0</v>
      </c>
      <c r="AC159">
        <v>0</v>
      </c>
      <c r="AD159" s="5">
        <v>0</v>
      </c>
      <c r="AE159" s="5">
        <v>56</v>
      </c>
      <c r="AF159" s="5">
        <v>0</v>
      </c>
      <c r="AG159" s="5">
        <v>56</v>
      </c>
      <c r="AH159" s="5">
        <v>0</v>
      </c>
      <c r="AI159" s="5">
        <v>0</v>
      </c>
      <c r="AJ159" s="5">
        <v>0</v>
      </c>
    </row>
    <row r="160">
      <c r="A160" s="2" t="str">
        <f>HYPERLINK("https://www.avito.ru/krasnoyarsk/bytovaya_elektronika/3d_printer_h2d_laser_40w_eu_ams_2_pro_rezka_metalla_8071411907","8071411907")</f>
      </c>
      <c r="B160" t="s">
        <v>156</v>
      </c>
      <c r="C160" t="s">
        <v>157</v>
      </c>
      <c r="D160" t="s">
        <v>158</v>
      </c>
      <c r="E160" t="s">
        <v>39</v>
      </c>
      <c r="F160" t="s">
        <v>40</v>
      </c>
      <c r="G160" t="s">
        <v>41</v>
      </c>
      <c r="H160" s="3" t="str">
        <f>HYPERLINK("https://www.avito.ru/krasnoyarsk/bytovaya_elektronika/3d_printer_h2d_laser_40w_eu_ams_2_pro_rezka_metalla_8071411907","3D принтер H2D Laser 40W EU — AMS 2 Pro + резка металла")</f>
      </c>
      <c r="I160" t="s">
        <v>238</v>
      </c>
      <c r="J160" t="s">
        <v>89</v>
      </c>
      <c r="K160" t="s">
        <v>84</v>
      </c>
      <c r="L160">
        <v>28</v>
      </c>
      <c r="M160">
        <v>41</v>
      </c>
      <c r="N160" s="4">
        <v>0.0487</v>
      </c>
      <c r="O160">
        <v>2</v>
      </c>
      <c r="P160" s="5">
        <v>28</v>
      </c>
      <c r="Q160" s="4">
        <v>0</v>
      </c>
      <c r="R160">
        <v>0</v>
      </c>
      <c r="S160">
        <v>0</v>
      </c>
      <c r="T160">
        <v>0</v>
      </c>
      <c r="U160">
        <v>0</v>
      </c>
      <c r="V160">
        <v>0</v>
      </c>
      <c r="W160">
        <v>0</v>
      </c>
      <c r="X160" s="5" t="s">
        <v>54</v>
      </c>
      <c r="Y160">
        <v>1</v>
      </c>
      <c r="Z160" s="4">
        <v>0</v>
      </c>
      <c r="AA160">
        <v>0</v>
      </c>
      <c r="AB160" s="5">
        <v>0</v>
      </c>
      <c r="AC160">
        <v>0</v>
      </c>
      <c r="AD160" s="5">
        <v>0</v>
      </c>
      <c r="AE160" s="5">
        <v>56</v>
      </c>
      <c r="AF160" s="5">
        <v>0</v>
      </c>
      <c r="AG160" s="5">
        <v>56</v>
      </c>
      <c r="AH160" s="5">
        <v>0</v>
      </c>
      <c r="AI160" s="5">
        <v>0</v>
      </c>
      <c r="AJ160" s="5">
        <v>0</v>
      </c>
    </row>
    <row r="161">
      <c r="A161" s="2" t="str">
        <f>HYPERLINK("https://www.avito.ru/ekaterinburg/bytovaya_elektronika/bambu_lab_p2s_combo_kompaktnyy_3d-printer_s_ams_8071418611","8071418611")</f>
      </c>
      <c r="B161" t="s">
        <v>182</v>
      </c>
      <c r="C161" t="s">
        <v>183</v>
      </c>
      <c r="D161" t="s">
        <v>184</v>
      </c>
      <c r="E161" t="s">
        <v>39</v>
      </c>
      <c r="F161" t="s">
        <v>40</v>
      </c>
      <c r="G161" t="s">
        <v>41</v>
      </c>
      <c r="H161" s="3" t="str">
        <f>HYPERLINK("https://www.avito.ru/ekaterinburg/bytovaya_elektronika/bambu_lab_p2s_combo_kompaktnyy_3d-printer_s_ams_8071418611","Bambu Lab P2S Combo — компактный 3D-принтер с AMS")</f>
      </c>
      <c r="I161" t="s">
        <v>241</v>
      </c>
      <c r="J161" t="s">
        <v>89</v>
      </c>
      <c r="K161" t="s">
        <v>84</v>
      </c>
      <c r="L161">
        <v>28</v>
      </c>
      <c r="M161">
        <v>32</v>
      </c>
      <c r="N161" s="4">
        <v>0.1875</v>
      </c>
      <c r="O161">
        <v>6</v>
      </c>
      <c r="P161" s="5">
        <v>9.33</v>
      </c>
      <c r="Q161" s="4">
        <v>0</v>
      </c>
      <c r="R161">
        <v>0</v>
      </c>
      <c r="S161">
        <v>0</v>
      </c>
      <c r="T161">
        <v>0</v>
      </c>
      <c r="U161">
        <v>0</v>
      </c>
      <c r="V161">
        <v>0</v>
      </c>
      <c r="W161">
        <v>0</v>
      </c>
      <c r="X161" s="5" t="s">
        <v>54</v>
      </c>
      <c r="Y161">
        <v>0</v>
      </c>
      <c r="Z161" s="4">
        <v>0</v>
      </c>
      <c r="AA161">
        <v>0</v>
      </c>
      <c r="AB161" s="5">
        <v>0</v>
      </c>
      <c r="AC161">
        <v>0</v>
      </c>
      <c r="AD161" s="5">
        <v>0</v>
      </c>
      <c r="AE161" s="5">
        <v>56</v>
      </c>
      <c r="AF161" s="5">
        <v>0</v>
      </c>
      <c r="AG161" s="5">
        <v>56</v>
      </c>
      <c r="AH161" s="5">
        <v>0</v>
      </c>
      <c r="AI161" s="5">
        <v>0</v>
      </c>
      <c r="AJ161" s="5">
        <v>0</v>
      </c>
    </row>
    <row r="162">
      <c r="A162" s="2" t="str">
        <f>HYPERLINK("https://www.avito.ru/chelyabinsk/bytovaya_elektronika/bambu_lab_h2d_laser_40w_promyshlennyy_lazer_3-v-1_8071423187","8071423187")</f>
      </c>
      <c r="B162" t="s">
        <v>175</v>
      </c>
      <c r="C162" t="s">
        <v>176</v>
      </c>
      <c r="D162" t="s">
        <v>177</v>
      </c>
      <c r="E162" t="s">
        <v>39</v>
      </c>
      <c r="F162" t="s">
        <v>40</v>
      </c>
      <c r="G162" t="s">
        <v>41</v>
      </c>
      <c r="H162" s="3" t="str">
        <f>HYPERLINK("https://www.avito.ru/chelyabinsk/bytovaya_elektronika/bambu_lab_h2d_laser_40w_promyshlennyy_lazer_3-v-1_8071423187","Bambu Lab H2D Laser 40W — промышленный лазер 3-в-1")</f>
      </c>
      <c r="I162" t="s">
        <v>109</v>
      </c>
      <c r="J162" t="s">
        <v>89</v>
      </c>
      <c r="K162" t="s">
        <v>84</v>
      </c>
      <c r="L162">
        <v>28</v>
      </c>
      <c r="M162">
        <v>17</v>
      </c>
      <c r="N162" s="4">
        <v>0</v>
      </c>
      <c r="O162">
        <v>0</v>
      </c>
      <c r="P162" s="5" t="s">
        <v>54</v>
      </c>
      <c r="Q162" s="4" t="s">
        <v>54</v>
      </c>
      <c r="R162">
        <v>0</v>
      </c>
      <c r="S162">
        <v>0</v>
      </c>
      <c r="T162">
        <v>0</v>
      </c>
      <c r="U162">
        <v>0</v>
      </c>
      <c r="V162">
        <v>0</v>
      </c>
      <c r="W162">
        <v>0</v>
      </c>
      <c r="X162" s="5" t="s">
        <v>54</v>
      </c>
      <c r="Y162">
        <v>0</v>
      </c>
      <c r="Z162" s="4" t="s">
        <v>54</v>
      </c>
      <c r="AA162">
        <v>0</v>
      </c>
      <c r="AB162" s="5">
        <v>0</v>
      </c>
      <c r="AC162">
        <v>0</v>
      </c>
      <c r="AD162" s="5">
        <v>0</v>
      </c>
      <c r="AE162" s="5">
        <v>56</v>
      </c>
      <c r="AF162" s="5">
        <v>0</v>
      </c>
      <c r="AG162" s="5">
        <v>56</v>
      </c>
      <c r="AH162" s="5">
        <v>0</v>
      </c>
      <c r="AI162" s="5">
        <v>0</v>
      </c>
      <c r="AJ162" s="5">
        <v>0</v>
      </c>
    </row>
    <row r="163">
      <c r="A163" s="2" t="str">
        <f>HYPERLINK("https://www.avito.ru/ufa/bytovaya_elektronika/h2c_full_combo_laser_40w_eu_rezka_metalla_i_dereva_8071424527","8071424527")</f>
      </c>
      <c r="B163" t="s">
        <v>162</v>
      </c>
      <c r="C163" t="s">
        <v>163</v>
      </c>
      <c r="D163" t="s">
        <v>164</v>
      </c>
      <c r="E163" t="s">
        <v>39</v>
      </c>
      <c r="F163" t="s">
        <v>40</v>
      </c>
      <c r="G163" t="s">
        <v>41</v>
      </c>
      <c r="H163" s="3" t="str">
        <f>HYPERLINK("https://www.avito.ru/ufa/bytovaya_elektronika/h2c_full_combo_laser_40w_eu_rezka_metalla_i_dereva_8071424527","H2C Full Combo Laser 40W EU — резка металла и дерева")</f>
      </c>
      <c r="I163" t="s">
        <v>242</v>
      </c>
      <c r="J163" t="s">
        <v>89</v>
      </c>
      <c r="K163" t="s">
        <v>84</v>
      </c>
      <c r="L163">
        <v>28</v>
      </c>
      <c r="M163">
        <v>10</v>
      </c>
      <c r="N163" s="4">
        <v>0</v>
      </c>
      <c r="O163">
        <v>0</v>
      </c>
      <c r="P163" s="5" t="s">
        <v>54</v>
      </c>
      <c r="Q163" s="4" t="s">
        <v>54</v>
      </c>
      <c r="R163">
        <v>0</v>
      </c>
      <c r="S163">
        <v>0</v>
      </c>
      <c r="T163">
        <v>0</v>
      </c>
      <c r="U163">
        <v>0</v>
      </c>
      <c r="V163">
        <v>0</v>
      </c>
      <c r="W163">
        <v>0</v>
      </c>
      <c r="X163" s="5" t="s">
        <v>54</v>
      </c>
      <c r="Y163">
        <v>0</v>
      </c>
      <c r="Z163" s="4" t="s">
        <v>54</v>
      </c>
      <c r="AA163">
        <v>0</v>
      </c>
      <c r="AB163" s="5">
        <v>0</v>
      </c>
      <c r="AC163">
        <v>0</v>
      </c>
      <c r="AD163" s="5">
        <v>0</v>
      </c>
      <c r="AE163" s="5">
        <v>56</v>
      </c>
      <c r="AF163" s="5">
        <v>0</v>
      </c>
      <c r="AG163" s="5">
        <v>56</v>
      </c>
      <c r="AH163" s="5">
        <v>0</v>
      </c>
      <c r="AI163" s="5">
        <v>0</v>
      </c>
      <c r="AJ163" s="5">
        <v>0</v>
      </c>
    </row>
    <row r="164">
      <c r="A164" s="2" t="str">
        <f>HYPERLINK("https://www.avito.ru/tyumen/bytovaya_elektronika/3d_printer_bambu_h2d_combo_eu_pod_zakaz_sdek_rf_8071425288","8071425288")</f>
      </c>
      <c r="B164" t="s">
        <v>243</v>
      </c>
      <c r="C164" t="s">
        <v>244</v>
      </c>
      <c r="D164" t="s">
        <v>245</v>
      </c>
      <c r="E164" t="s">
        <v>39</v>
      </c>
      <c r="F164" t="s">
        <v>40</v>
      </c>
      <c r="G164" t="s">
        <v>41</v>
      </c>
      <c r="H164" s="3" t="str">
        <f>HYPERLINK("https://www.avito.ru/tyumen/bytovaya_elektronika/3d_printer_bambu_h2d_combo_eu_pod_zakaz_sdek_rf_8071425288","3D принтер Bambu H2D Combo EU — под заказ, сдэк РФ")</f>
      </c>
      <c r="I164" t="s">
        <v>96</v>
      </c>
      <c r="J164" t="s">
        <v>89</v>
      </c>
      <c r="K164" t="s">
        <v>84</v>
      </c>
      <c r="L164">
        <v>28</v>
      </c>
      <c r="M164">
        <v>183</v>
      </c>
      <c r="N164" s="4">
        <v>0.0491</v>
      </c>
      <c r="O164">
        <v>9</v>
      </c>
      <c r="P164" s="5">
        <v>6.22</v>
      </c>
      <c r="Q164" s="4">
        <v>0</v>
      </c>
      <c r="R164">
        <v>0</v>
      </c>
      <c r="S164">
        <v>0</v>
      </c>
      <c r="T164">
        <v>0</v>
      </c>
      <c r="U164">
        <v>0</v>
      </c>
      <c r="V164">
        <v>0</v>
      </c>
      <c r="W164">
        <v>0</v>
      </c>
      <c r="X164" s="5" t="s">
        <v>54</v>
      </c>
      <c r="Y164">
        <v>1</v>
      </c>
      <c r="Z164" s="4">
        <v>0</v>
      </c>
      <c r="AA164">
        <v>0</v>
      </c>
      <c r="AB164" s="5">
        <v>0</v>
      </c>
      <c r="AC164">
        <v>0</v>
      </c>
      <c r="AD164" s="5">
        <v>0</v>
      </c>
      <c r="AE164" s="5">
        <v>56</v>
      </c>
      <c r="AF164" s="5">
        <v>0</v>
      </c>
      <c r="AG164" s="5">
        <v>56</v>
      </c>
      <c r="AH164" s="5">
        <v>0</v>
      </c>
      <c r="AI164" s="5">
        <v>0</v>
      </c>
      <c r="AJ164" s="5">
        <v>0</v>
      </c>
    </row>
    <row r="165">
      <c r="A165" s="2" t="str">
        <f>HYPERLINK("https://www.avito.ru/yaroslavl/bytovaya_elektronika/3d_printer_h2d_eu_bambu_lab_1000_mms_pod_zakaz_8071429546","8071429546")</f>
      </c>
      <c r="B165" t="s">
        <v>133</v>
      </c>
      <c r="C165" t="s">
        <v>134</v>
      </c>
      <c r="D165" t="s">
        <v>135</v>
      </c>
      <c r="E165" t="s">
        <v>39</v>
      </c>
      <c r="F165" t="s">
        <v>40</v>
      </c>
      <c r="G165" t="s">
        <v>41</v>
      </c>
      <c r="H165" s="3" t="str">
        <f>HYPERLINK("https://www.avito.ru/yaroslavl/bytovaya_elektronika/3d_printer_h2d_eu_bambu_lab_1000_mms_pod_zakaz_8071429546","3D принтер H2D EU Bambu Lab — 1000 мм/с, под заказ")</f>
      </c>
      <c r="I165" t="s">
        <v>67</v>
      </c>
      <c r="J165" t="s">
        <v>89</v>
      </c>
      <c r="K165" t="s">
        <v>84</v>
      </c>
      <c r="L165">
        <v>28</v>
      </c>
      <c r="M165">
        <v>366</v>
      </c>
      <c r="N165" s="4">
        <v>0.03</v>
      </c>
      <c r="O165">
        <v>11</v>
      </c>
      <c r="P165" s="5">
        <v>5.09</v>
      </c>
      <c r="Q165" s="4">
        <v>0</v>
      </c>
      <c r="R165">
        <v>0</v>
      </c>
      <c r="S165">
        <v>0</v>
      </c>
      <c r="T165">
        <v>0</v>
      </c>
      <c r="U165">
        <v>0</v>
      </c>
      <c r="V165">
        <v>0</v>
      </c>
      <c r="W165">
        <v>0</v>
      </c>
      <c r="X165" s="5" t="s">
        <v>54</v>
      </c>
      <c r="Y165">
        <v>0</v>
      </c>
      <c r="Z165" s="4">
        <v>0</v>
      </c>
      <c r="AA165">
        <v>0</v>
      </c>
      <c r="AB165" s="5">
        <v>0</v>
      </c>
      <c r="AC165">
        <v>0</v>
      </c>
      <c r="AD165" s="5">
        <v>0</v>
      </c>
      <c r="AE165" s="5">
        <v>56</v>
      </c>
      <c r="AF165" s="5">
        <v>0</v>
      </c>
      <c r="AG165" s="5">
        <v>56</v>
      </c>
      <c r="AH165" s="5">
        <v>0</v>
      </c>
      <c r="AI165" s="5">
        <v>0</v>
      </c>
      <c r="AJ165" s="5">
        <v>0</v>
      </c>
    </row>
    <row r="166">
      <c r="A166" s="2" t="str">
        <f>HYPERLINK("https://www.avito.ru/tyumen/bytovaya_elektronika/3d_printer_bambu_lab_h2s_eu_abs_asa_pa_pc_pod_zakaz_8071429582","8071429582")</f>
      </c>
      <c r="B166" t="s">
        <v>243</v>
      </c>
      <c r="C166" t="s">
        <v>244</v>
      </c>
      <c r="D166" t="s">
        <v>245</v>
      </c>
      <c r="E166" t="s">
        <v>39</v>
      </c>
      <c r="F166" t="s">
        <v>40</v>
      </c>
      <c r="G166" t="s">
        <v>41</v>
      </c>
      <c r="H166" s="3" t="str">
        <f>HYPERLINK("https://www.avito.ru/tyumen/bytovaya_elektronika/3d_printer_bambu_lab_h2s_eu_abs_asa_pa_pc_pod_zakaz_8071429582","3D принтер Bambu Lab H2S EU — ABS, ASA, PA, PC под заказ")</f>
      </c>
      <c r="I166" t="s">
        <v>77</v>
      </c>
      <c r="J166" t="s">
        <v>89</v>
      </c>
      <c r="K166" t="s">
        <v>84</v>
      </c>
      <c r="L166">
        <v>28</v>
      </c>
      <c r="M166">
        <v>74</v>
      </c>
      <c r="N166" s="4">
        <v>0.081</v>
      </c>
      <c r="O166">
        <v>6</v>
      </c>
      <c r="P166" s="5">
        <v>9.33</v>
      </c>
      <c r="Q166" s="4">
        <v>0</v>
      </c>
      <c r="R166">
        <v>0</v>
      </c>
      <c r="S166">
        <v>0</v>
      </c>
      <c r="T166">
        <v>0</v>
      </c>
      <c r="U166">
        <v>0</v>
      </c>
      <c r="V166">
        <v>0</v>
      </c>
      <c r="W166">
        <v>0</v>
      </c>
      <c r="X166" s="5" t="s">
        <v>54</v>
      </c>
      <c r="Y166">
        <v>0</v>
      </c>
      <c r="Z166" s="4">
        <v>0</v>
      </c>
      <c r="AA166">
        <v>0</v>
      </c>
      <c r="AB166" s="5">
        <v>0</v>
      </c>
      <c r="AC166">
        <v>0</v>
      </c>
      <c r="AD166" s="5">
        <v>0</v>
      </c>
      <c r="AE166" s="5">
        <v>56</v>
      </c>
      <c r="AF166" s="5">
        <v>0</v>
      </c>
      <c r="AG166" s="5">
        <v>56</v>
      </c>
      <c r="AH166" s="5">
        <v>0</v>
      </c>
      <c r="AI166" s="5">
        <v>0</v>
      </c>
      <c r="AJ166" s="5">
        <v>0</v>
      </c>
    </row>
    <row r="167">
      <c r="A167" s="2" t="str">
        <f>HYPERLINK("https://www.avito.ru/kemerovo/bytovaya_elektronika/3d_printer_bambu_lab_h2s_eu_abs_asa_pa_pc_pod_zakaz_8071436634","8071436634")</f>
      </c>
      <c r="B167" t="s">
        <v>207</v>
      </c>
      <c r="C167" t="s">
        <v>208</v>
      </c>
      <c r="D167" t="s">
        <v>209</v>
      </c>
      <c r="E167" t="s">
        <v>39</v>
      </c>
      <c r="F167" t="s">
        <v>40</v>
      </c>
      <c r="G167" t="s">
        <v>41</v>
      </c>
      <c r="H167" s="3" t="str">
        <f>HYPERLINK("https://www.avito.ru/kemerovo/bytovaya_elektronika/3d_printer_bambu_lab_h2s_eu_abs_asa_pa_pc_pod_zakaz_8071436634","3D принтер Bambu Lab H2S EU — ABS, ASA, PA, PC под заказ")</f>
      </c>
      <c r="I167" t="s">
        <v>77</v>
      </c>
      <c r="J167" t="s">
        <v>78</v>
      </c>
      <c r="K167" t="s">
        <v>79</v>
      </c>
      <c r="L167">
        <v>29</v>
      </c>
      <c r="M167">
        <v>72</v>
      </c>
      <c r="N167" s="4">
        <v>0.0555</v>
      </c>
      <c r="O167">
        <v>4</v>
      </c>
      <c r="P167" s="5">
        <v>14</v>
      </c>
      <c r="Q167" s="4">
        <v>0</v>
      </c>
      <c r="R167">
        <v>0</v>
      </c>
      <c r="S167">
        <v>0</v>
      </c>
      <c r="T167">
        <v>0</v>
      </c>
      <c r="U167">
        <v>0</v>
      </c>
      <c r="V167">
        <v>0</v>
      </c>
      <c r="W167">
        <v>0</v>
      </c>
      <c r="X167" s="5" t="s">
        <v>54</v>
      </c>
      <c r="Y167">
        <v>0</v>
      </c>
      <c r="Z167" s="4">
        <v>0</v>
      </c>
      <c r="AA167">
        <v>0</v>
      </c>
      <c r="AB167" s="5">
        <v>0</v>
      </c>
      <c r="AC167">
        <v>0</v>
      </c>
      <c r="AD167" s="5">
        <v>0</v>
      </c>
      <c r="AE167" s="5">
        <v>56</v>
      </c>
      <c r="AF167" s="5">
        <v>0</v>
      </c>
      <c r="AG167" s="5">
        <v>56</v>
      </c>
      <c r="AH167" s="5">
        <v>0</v>
      </c>
      <c r="AI167" s="5">
        <v>0</v>
      </c>
      <c r="AJ167" s="5">
        <v>0</v>
      </c>
    </row>
    <row r="168">
      <c r="A168" s="2" t="str">
        <f>HYPERLINK("https://www.avito.ru/moskva/bytovaya_elektronika/3d_printer_h2c_laser_40w_eu_vortek_ams_2_pro_lazer_8071437787","8071437787")</f>
      </c>
      <c r="B168" t="s">
        <v>36</v>
      </c>
      <c r="C168" t="s">
        <v>37</v>
      </c>
      <c r="D168" t="s">
        <v>246</v>
      </c>
      <c r="E168" t="s">
        <v>39</v>
      </c>
      <c r="F168" t="s">
        <v>40</v>
      </c>
      <c r="G168" t="s">
        <v>41</v>
      </c>
      <c r="H168" s="3" t="str">
        <f>HYPERLINK("https://www.avito.ru/moskva/bytovaya_elektronika/3d_printer_h2c_laser_40w_eu_vortek_ams_2_pro_lazer_8071437787","3D принтер H2C Laser 40W EU — Vortek + AMS 2 Pro + лазер")</f>
      </c>
      <c r="I168" t="s">
        <v>146</v>
      </c>
      <c r="J168" t="s">
        <v>78</v>
      </c>
      <c r="K168" t="s">
        <v>84</v>
      </c>
      <c r="L168">
        <v>29</v>
      </c>
      <c r="M168">
        <v>4</v>
      </c>
      <c r="N168" s="4">
        <v>0</v>
      </c>
      <c r="O168">
        <v>0</v>
      </c>
      <c r="P168" s="5" t="s">
        <v>54</v>
      </c>
      <c r="Q168" s="4" t="s">
        <v>54</v>
      </c>
      <c r="R168">
        <v>0</v>
      </c>
      <c r="S168">
        <v>0</v>
      </c>
      <c r="T168">
        <v>0</v>
      </c>
      <c r="U168">
        <v>0</v>
      </c>
      <c r="V168">
        <v>0</v>
      </c>
      <c r="W168">
        <v>0</v>
      </c>
      <c r="X168" s="5" t="s">
        <v>54</v>
      </c>
      <c r="Y168">
        <v>0</v>
      </c>
      <c r="Z168" s="4" t="s">
        <v>54</v>
      </c>
      <c r="AA168">
        <v>0</v>
      </c>
      <c r="AB168" s="5">
        <v>0</v>
      </c>
      <c r="AC168">
        <v>0</v>
      </c>
      <c r="AD168" s="5">
        <v>0</v>
      </c>
      <c r="AE168" s="5">
        <v>85</v>
      </c>
      <c r="AF168" s="5">
        <v>0</v>
      </c>
      <c r="AG168" s="5">
        <v>85</v>
      </c>
      <c r="AH168" s="5">
        <v>0</v>
      </c>
      <c r="AI168" s="5">
        <v>0</v>
      </c>
      <c r="AJ168" s="5">
        <v>0</v>
      </c>
    </row>
    <row r="169">
      <c r="A169" s="2" t="str">
        <f>HYPERLINK("https://www.avito.ru/omsk/bytovaya_elektronika/3d_printer_h2c_combo_eu_est_v_nalichii_vortek_ams_8071442018","8071442018")</f>
      </c>
      <c r="B169" t="s">
        <v>74</v>
      </c>
      <c r="C169" t="s">
        <v>75</v>
      </c>
      <c r="D169" t="s">
        <v>76</v>
      </c>
      <c r="E169" t="s">
        <v>39</v>
      </c>
      <c r="F169" t="s">
        <v>40</v>
      </c>
      <c r="G169" t="s">
        <v>41</v>
      </c>
      <c r="H169" s="3" t="str">
        <f>HYPERLINK("https://www.avito.ru/omsk/bytovaya_elektronika/3d_printer_h2c_combo_eu_est_v_nalichii_vortek_ams_8071442018","3D принтер H2C Combo EU — есть в наличии, Vortek + AMS")</f>
      </c>
      <c r="I169" t="s">
        <v>61</v>
      </c>
      <c r="J169" t="s">
        <v>78</v>
      </c>
      <c r="K169" t="s">
        <v>84</v>
      </c>
      <c r="L169">
        <v>29</v>
      </c>
      <c r="M169">
        <v>13</v>
      </c>
      <c r="N169" s="4">
        <v>0.0769</v>
      </c>
      <c r="O169">
        <v>1</v>
      </c>
      <c r="P169" s="5">
        <v>56</v>
      </c>
      <c r="Q169" s="4">
        <v>0</v>
      </c>
      <c r="R169">
        <v>0</v>
      </c>
      <c r="S169">
        <v>0</v>
      </c>
      <c r="T169">
        <v>0</v>
      </c>
      <c r="U169">
        <v>0</v>
      </c>
      <c r="V169">
        <v>0</v>
      </c>
      <c r="W169">
        <v>0</v>
      </c>
      <c r="X169" s="5" t="s">
        <v>54</v>
      </c>
      <c r="Y169">
        <v>0</v>
      </c>
      <c r="Z169" s="4">
        <v>0</v>
      </c>
      <c r="AA169">
        <v>0</v>
      </c>
      <c r="AB169" s="5">
        <v>0</v>
      </c>
      <c r="AC169">
        <v>0</v>
      </c>
      <c r="AD169" s="5">
        <v>0</v>
      </c>
      <c r="AE169" s="5">
        <v>56</v>
      </c>
      <c r="AF169" s="5">
        <v>0</v>
      </c>
      <c r="AG169" s="5">
        <v>56</v>
      </c>
      <c r="AH169" s="5">
        <v>0</v>
      </c>
      <c r="AI169" s="5">
        <v>0</v>
      </c>
      <c r="AJ169" s="5">
        <v>0</v>
      </c>
    </row>
    <row r="170">
      <c r="A170" s="2" t="str">
        <f>HYPERLINK("https://www.avito.ru/kazan/bytovaya_elektronika/bambu_lab_h2c_laser_40w_eu_vortek_ams_2_pro_40_vt_8071442805","8071442805")</f>
      </c>
      <c r="B170" t="s">
        <v>97</v>
      </c>
      <c r="C170" t="s">
        <v>98</v>
      </c>
      <c r="D170" t="s">
        <v>99</v>
      </c>
      <c r="E170" t="s">
        <v>39</v>
      </c>
      <c r="F170" t="s">
        <v>40</v>
      </c>
      <c r="G170" t="s">
        <v>41</v>
      </c>
      <c r="H170" s="3" t="str">
        <f>HYPERLINK("https://www.avito.ru/kazan/bytovaya_elektronika/bambu_lab_h2c_laser_40w_eu_vortek_ams_2_pro_40_vt_8071442805","Bambu Lab H2C Laser 40W EU — Vortek + AMS 2 Pro + 40 Вт")</f>
      </c>
      <c r="I170" t="s">
        <v>146</v>
      </c>
      <c r="J170" t="s">
        <v>78</v>
      </c>
      <c r="K170" t="s">
        <v>79</v>
      </c>
      <c r="L170">
        <v>29</v>
      </c>
      <c r="M170">
        <v>652</v>
      </c>
      <c r="N170" s="4">
        <v>0.0613</v>
      </c>
      <c r="O170">
        <v>40</v>
      </c>
      <c r="P170" s="5">
        <v>1.4</v>
      </c>
      <c r="Q170" s="4">
        <v>0</v>
      </c>
      <c r="R170">
        <v>0</v>
      </c>
      <c r="S170">
        <v>0</v>
      </c>
      <c r="T170">
        <v>0</v>
      </c>
      <c r="U170">
        <v>0</v>
      </c>
      <c r="V170">
        <v>0</v>
      </c>
      <c r="W170">
        <v>0</v>
      </c>
      <c r="X170" s="5" t="s">
        <v>54</v>
      </c>
      <c r="Y170">
        <v>0</v>
      </c>
      <c r="Z170" s="4">
        <v>0</v>
      </c>
      <c r="AA170">
        <v>0</v>
      </c>
      <c r="AB170" s="5">
        <v>0</v>
      </c>
      <c r="AC170">
        <v>0</v>
      </c>
      <c r="AD170" s="5">
        <v>0</v>
      </c>
      <c r="AE170" s="5">
        <v>56</v>
      </c>
      <c r="AF170" s="5">
        <v>0</v>
      </c>
      <c r="AG170" s="5">
        <v>56</v>
      </c>
      <c r="AH170" s="5">
        <v>0</v>
      </c>
      <c r="AI170" s="5">
        <v>0</v>
      </c>
      <c r="AJ170" s="5">
        <v>0</v>
      </c>
    </row>
    <row r="171">
      <c r="A171" s="2" t="str">
        <f>HYPERLINK("https://www.avito.ru/chelyabinsk/bytovaya_elektronika/h2d_pro_combo_ams_eu_topovyy_bambu_lab_pod_zakaz_8071443755","8071443755")</f>
      </c>
      <c r="B171" t="s">
        <v>175</v>
      </c>
      <c r="C171" t="s">
        <v>176</v>
      </c>
      <c r="D171" t="s">
        <v>177</v>
      </c>
      <c r="E171" t="s">
        <v>39</v>
      </c>
      <c r="F171" t="s">
        <v>40</v>
      </c>
      <c r="G171" t="s">
        <v>41</v>
      </c>
      <c r="H171" s="3" t="str">
        <f>HYPERLINK("https://www.avito.ru/chelyabinsk/bytovaya_elektronika/h2d_pro_combo_ams_eu_topovyy_bambu_lab_pod_zakaz_8071443755","H2D PRO Combo AMS EU — топовый Bambu Lab под заказ")</f>
      </c>
      <c r="I171" t="s">
        <v>201</v>
      </c>
      <c r="J171" t="s">
        <v>89</v>
      </c>
      <c r="K171" t="s">
        <v>84</v>
      </c>
      <c r="L171">
        <v>28</v>
      </c>
      <c r="M171">
        <v>11</v>
      </c>
      <c r="N171" s="4">
        <v>0</v>
      </c>
      <c r="O171">
        <v>0</v>
      </c>
      <c r="P171" s="5" t="s">
        <v>54</v>
      </c>
      <c r="Q171" s="4" t="s">
        <v>54</v>
      </c>
      <c r="R171">
        <v>0</v>
      </c>
      <c r="S171">
        <v>0</v>
      </c>
      <c r="T171">
        <v>0</v>
      </c>
      <c r="U171">
        <v>0</v>
      </c>
      <c r="V171">
        <v>0</v>
      </c>
      <c r="W171">
        <v>0</v>
      </c>
      <c r="X171" s="5" t="s">
        <v>54</v>
      </c>
      <c r="Y171">
        <v>0</v>
      </c>
      <c r="Z171" s="4" t="s">
        <v>54</v>
      </c>
      <c r="AA171">
        <v>0</v>
      </c>
      <c r="AB171" s="5">
        <v>0</v>
      </c>
      <c r="AC171">
        <v>0</v>
      </c>
      <c r="AD171" s="5">
        <v>0</v>
      </c>
      <c r="AE171" s="5">
        <v>56</v>
      </c>
      <c r="AF171" s="5">
        <v>0</v>
      </c>
      <c r="AG171" s="5">
        <v>56</v>
      </c>
      <c r="AH171" s="5">
        <v>0</v>
      </c>
      <c r="AI171" s="5">
        <v>0</v>
      </c>
      <c r="AJ171" s="5">
        <v>0</v>
      </c>
    </row>
    <row r="172">
      <c r="A172" s="2" t="str">
        <f>HYPERLINK("https://www.avito.ru/moskva/bytovaya_elektronika/h2d_pro_combo_ams_eu_topovyy_bambu_lab_pod_zakaz_8071443985","8071443985")</f>
      </c>
      <c r="B172" t="s">
        <v>36</v>
      </c>
      <c r="C172" t="s">
        <v>37</v>
      </c>
      <c r="D172" t="s">
        <v>38</v>
      </c>
      <c r="E172" t="s">
        <v>39</v>
      </c>
      <c r="F172" t="s">
        <v>40</v>
      </c>
      <c r="G172" t="s">
        <v>41</v>
      </c>
      <c r="H172" s="3" t="str">
        <f>HYPERLINK("https://www.avito.ru/moskva/bytovaya_elektronika/h2d_pro_combo_ams_eu_topovyy_bambu_lab_pod_zakaz_8071443985","H2D PRO Combo AMS EU — топовый Bambu Lab под заказ")</f>
      </c>
      <c r="I172" t="s">
        <v>221</v>
      </c>
      <c r="J172" t="s">
        <v>78</v>
      </c>
      <c r="K172" t="s">
        <v>79</v>
      </c>
      <c r="L172">
        <v>29</v>
      </c>
      <c r="M172">
        <v>14</v>
      </c>
      <c r="N172" s="4">
        <v>0.2142</v>
      </c>
      <c r="O172">
        <v>3</v>
      </c>
      <c r="P172" s="5">
        <v>28.33</v>
      </c>
      <c r="Q172" s="4">
        <v>0</v>
      </c>
      <c r="R172">
        <v>0</v>
      </c>
      <c r="S172">
        <v>0</v>
      </c>
      <c r="T172">
        <v>0</v>
      </c>
      <c r="U172">
        <v>0</v>
      </c>
      <c r="V172">
        <v>0</v>
      </c>
      <c r="W172">
        <v>0</v>
      </c>
      <c r="X172" s="5" t="s">
        <v>54</v>
      </c>
      <c r="Y172">
        <v>0</v>
      </c>
      <c r="Z172" s="4">
        <v>0</v>
      </c>
      <c r="AA172">
        <v>0</v>
      </c>
      <c r="AB172" s="5">
        <v>0</v>
      </c>
      <c r="AC172">
        <v>0</v>
      </c>
      <c r="AD172" s="5">
        <v>0</v>
      </c>
      <c r="AE172" s="5">
        <v>85</v>
      </c>
      <c r="AF172" s="5">
        <v>0</v>
      </c>
      <c r="AG172" s="5">
        <v>85</v>
      </c>
      <c r="AH172" s="5">
        <v>0</v>
      </c>
      <c r="AI172" s="5">
        <v>0</v>
      </c>
      <c r="AJ172" s="5">
        <v>0</v>
      </c>
    </row>
    <row r="173">
      <c r="A173" s="2" t="str">
        <f>HYPERLINK("https://www.avito.ru/voronezh/bytovaya_elektronika/3d_printer_bambu_lab_h2s_eu_abs_asa_pa_pc_pod_zakaz_8071447078","8071447078")</f>
      </c>
      <c r="B173" t="s">
        <v>169</v>
      </c>
      <c r="C173" t="s">
        <v>170</v>
      </c>
      <c r="D173" t="s">
        <v>195</v>
      </c>
      <c r="E173" t="s">
        <v>39</v>
      </c>
      <c r="F173" t="s">
        <v>40</v>
      </c>
      <c r="G173" t="s">
        <v>41</v>
      </c>
      <c r="H173" s="3" t="str">
        <f>HYPERLINK("https://www.avito.ru/voronezh/bytovaya_elektronika/3d_printer_bambu_lab_h2s_eu_abs_asa_pa_pc_pod_zakaz_8071447078","3D принтер Bambu Lab H2S EU — ABS, ASA, PA, PC под заказ")</f>
      </c>
      <c r="I173" t="s">
        <v>77</v>
      </c>
      <c r="J173" t="s">
        <v>78</v>
      </c>
      <c r="K173" t="s">
        <v>79</v>
      </c>
      <c r="L173">
        <v>29</v>
      </c>
      <c r="M173">
        <v>526</v>
      </c>
      <c r="N173" s="4">
        <v>0.0456</v>
      </c>
      <c r="O173">
        <v>24</v>
      </c>
      <c r="P173" s="5">
        <v>2.33</v>
      </c>
      <c r="Q173" s="4">
        <v>0</v>
      </c>
      <c r="R173">
        <v>0</v>
      </c>
      <c r="S173">
        <v>0</v>
      </c>
      <c r="T173">
        <v>0</v>
      </c>
      <c r="U173">
        <v>0</v>
      </c>
      <c r="V173">
        <v>0</v>
      </c>
      <c r="W173">
        <v>0</v>
      </c>
      <c r="X173" s="5" t="s">
        <v>54</v>
      </c>
      <c r="Y173">
        <v>1</v>
      </c>
      <c r="Z173" s="4">
        <v>0</v>
      </c>
      <c r="AA173">
        <v>0</v>
      </c>
      <c r="AB173" s="5">
        <v>0</v>
      </c>
      <c r="AC173">
        <v>0</v>
      </c>
      <c r="AD173" s="5">
        <v>0</v>
      </c>
      <c r="AE173" s="5">
        <v>56</v>
      </c>
      <c r="AF173" s="5">
        <v>0</v>
      </c>
      <c r="AG173" s="5">
        <v>56</v>
      </c>
      <c r="AH173" s="5">
        <v>0</v>
      </c>
      <c r="AI173" s="5">
        <v>0</v>
      </c>
      <c r="AJ173" s="5">
        <v>0</v>
      </c>
    </row>
    <row r="174">
      <c r="A174" s="2" t="str">
        <f>HYPERLINK("https://www.avito.ru/izhevsk/bytovaya_elektronika/h2d_combo_ams_2_pro_eu_dvoynoy_ekstruder_ai-kamera_8071448118","8071448118")</f>
      </c>
      <c r="B174" t="s">
        <v>81</v>
      </c>
      <c r="C174" t="s">
        <v>82</v>
      </c>
      <c r="D174" t="s">
        <v>83</v>
      </c>
      <c r="E174" t="s">
        <v>39</v>
      </c>
      <c r="F174" t="s">
        <v>40</v>
      </c>
      <c r="G174" t="s">
        <v>41</v>
      </c>
      <c r="H174" s="3" t="str">
        <f>HYPERLINK("https://www.avito.ru/izhevsk/bytovaya_elektronika/h2d_combo_ams_2_pro_eu_dvoynoy_ekstruder_ai-kamera_8071448118","H2D Combo AMS 2 Pro EU — двойной экструдер, AI-камера")</f>
      </c>
      <c r="I174" t="s">
        <v>142</v>
      </c>
      <c r="J174" t="s">
        <v>78</v>
      </c>
      <c r="K174" t="s">
        <v>84</v>
      </c>
      <c r="L174">
        <v>29</v>
      </c>
      <c r="M174">
        <v>12</v>
      </c>
      <c r="N174" s="4">
        <v>0.1666</v>
      </c>
      <c r="O174">
        <v>2</v>
      </c>
      <c r="P174" s="5">
        <v>28</v>
      </c>
      <c r="Q174" s="4">
        <v>0</v>
      </c>
      <c r="R174">
        <v>0</v>
      </c>
      <c r="S174">
        <v>0</v>
      </c>
      <c r="T174">
        <v>0</v>
      </c>
      <c r="U174">
        <v>0</v>
      </c>
      <c r="V174">
        <v>0</v>
      </c>
      <c r="W174">
        <v>0</v>
      </c>
      <c r="X174" s="5" t="s">
        <v>54</v>
      </c>
      <c r="Y174">
        <v>0</v>
      </c>
      <c r="Z174" s="4">
        <v>0</v>
      </c>
      <c r="AA174">
        <v>0</v>
      </c>
      <c r="AB174" s="5">
        <v>0</v>
      </c>
      <c r="AC174">
        <v>0</v>
      </c>
      <c r="AD174" s="5">
        <v>0</v>
      </c>
      <c r="AE174" s="5">
        <v>56</v>
      </c>
      <c r="AF174" s="5">
        <v>0</v>
      </c>
      <c r="AG174" s="5">
        <v>56</v>
      </c>
      <c r="AH174" s="5">
        <v>0</v>
      </c>
      <c r="AI174" s="5">
        <v>0</v>
      </c>
      <c r="AJ174" s="5">
        <v>0</v>
      </c>
    </row>
    <row r="175">
      <c r="A175" s="2" t="str">
        <f>HYPERLINK("https://www.avito.ru/sankt-peterburg/bytovaya_elektronika/bambu_lab_h2d_pro_combo_ams_eu_flagman_lineyki_8071451866","8071451866")</f>
      </c>
      <c r="B175" t="s">
        <v>36</v>
      </c>
      <c r="C175" t="s">
        <v>90</v>
      </c>
      <c r="D175" t="s">
        <v>115</v>
      </c>
      <c r="E175" t="s">
        <v>39</v>
      </c>
      <c r="F175" t="s">
        <v>40</v>
      </c>
      <c r="G175" t="s">
        <v>41</v>
      </c>
      <c r="H175" s="3" t="str">
        <f>HYPERLINK("https://www.avito.ru/sankt-peterburg/bytovaya_elektronika/bambu_lab_h2d_pro_combo_ams_eu_flagman_lineyki_8071451866","Bambu Lab H2D PRO Combo AMS EU — флагман линейки")</f>
      </c>
      <c r="I175" t="s">
        <v>194</v>
      </c>
      <c r="J175" t="s">
        <v>78</v>
      </c>
      <c r="K175" t="s">
        <v>79</v>
      </c>
      <c r="L175">
        <v>29</v>
      </c>
      <c r="M175">
        <v>26</v>
      </c>
      <c r="N175" s="4">
        <v>0.0384</v>
      </c>
      <c r="O175">
        <v>1</v>
      </c>
      <c r="P175" s="5">
        <v>56</v>
      </c>
      <c r="Q175" s="4">
        <v>0</v>
      </c>
      <c r="R175">
        <v>0</v>
      </c>
      <c r="S175">
        <v>0</v>
      </c>
      <c r="T175">
        <v>0</v>
      </c>
      <c r="U175">
        <v>0</v>
      </c>
      <c r="V175">
        <v>0</v>
      </c>
      <c r="W175">
        <v>0</v>
      </c>
      <c r="X175" s="5" t="s">
        <v>54</v>
      </c>
      <c r="Y175">
        <v>0</v>
      </c>
      <c r="Z175" s="4">
        <v>0</v>
      </c>
      <c r="AA175">
        <v>0</v>
      </c>
      <c r="AB175" s="5">
        <v>0</v>
      </c>
      <c r="AC175">
        <v>0</v>
      </c>
      <c r="AD175" s="5">
        <v>0</v>
      </c>
      <c r="AE175" s="5">
        <v>56</v>
      </c>
      <c r="AF175" s="5">
        <v>0</v>
      </c>
      <c r="AG175" s="5">
        <v>56</v>
      </c>
      <c r="AH175" s="5">
        <v>0</v>
      </c>
      <c r="AI175" s="5">
        <v>0</v>
      </c>
      <c r="AJ175" s="5">
        <v>0</v>
      </c>
    </row>
    <row r="176">
      <c r="A176">
        <v>8071452896</v>
      </c>
      <c r="B176" t="s">
        <v>122</v>
      </c>
      <c r="C176" t="s">
        <v>123</v>
      </c>
      <c r="D176" t="s">
        <v>124</v>
      </c>
      <c r="E176" t="s">
        <v>39</v>
      </c>
      <c r="F176" t="s">
        <v>40</v>
      </c>
      <c r="G176" t="s">
        <v>41</v>
      </c>
      <c r="H176" t="s">
        <v>53</v>
      </c>
      <c r="I176" t="s">
        <v>54</v>
      </c>
      <c r="J176" t="s">
        <v>89</v>
      </c>
      <c r="K176" t="s">
        <v>84</v>
      </c>
      <c r="L176">
        <v>28</v>
      </c>
      <c r="M176">
        <v>10</v>
      </c>
      <c r="N176" s="4">
        <v>0</v>
      </c>
      <c r="O176">
        <v>0</v>
      </c>
      <c r="P176" s="5" t="s">
        <v>54</v>
      </c>
      <c r="Q176" s="4" t="s">
        <v>54</v>
      </c>
      <c r="R176">
        <v>0</v>
      </c>
      <c r="S176">
        <v>0</v>
      </c>
      <c r="T176">
        <v>0</v>
      </c>
      <c r="U176">
        <v>0</v>
      </c>
      <c r="V176">
        <v>0</v>
      </c>
      <c r="W176">
        <v>0</v>
      </c>
      <c r="X176" s="5" t="s">
        <v>54</v>
      </c>
      <c r="Y176">
        <v>0</v>
      </c>
      <c r="Z176" s="4" t="s">
        <v>54</v>
      </c>
      <c r="AA176">
        <v>0</v>
      </c>
      <c r="AB176" s="5">
        <v>0</v>
      </c>
      <c r="AC176">
        <v>0</v>
      </c>
      <c r="AD176" s="5">
        <v>0</v>
      </c>
      <c r="AE176" s="5">
        <v>56</v>
      </c>
      <c r="AF176" s="5">
        <v>0</v>
      </c>
      <c r="AG176" s="5">
        <v>56</v>
      </c>
      <c r="AH176" s="5">
        <v>0</v>
      </c>
      <c r="AI176" s="5">
        <v>0</v>
      </c>
      <c r="AJ176" s="5">
        <v>0</v>
      </c>
    </row>
    <row r="177">
      <c r="A177">
        <v>8071464412</v>
      </c>
      <c r="B177" t="s">
        <v>36</v>
      </c>
      <c r="C177" t="s">
        <v>90</v>
      </c>
      <c r="D177" t="s">
        <v>115</v>
      </c>
      <c r="E177" t="s">
        <v>39</v>
      </c>
      <c r="F177" t="s">
        <v>40</v>
      </c>
      <c r="G177" t="s">
        <v>41</v>
      </c>
      <c r="H177" t="s">
        <v>53</v>
      </c>
      <c r="I177" t="s">
        <v>54</v>
      </c>
      <c r="J177" t="s">
        <v>89</v>
      </c>
      <c r="K177" t="s">
        <v>84</v>
      </c>
      <c r="L177">
        <v>28</v>
      </c>
      <c r="M177">
        <v>27</v>
      </c>
      <c r="N177" s="4">
        <v>0</v>
      </c>
      <c r="O177">
        <v>0</v>
      </c>
      <c r="P177" s="5" t="s">
        <v>54</v>
      </c>
      <c r="Q177" s="4" t="s">
        <v>54</v>
      </c>
      <c r="R177">
        <v>0</v>
      </c>
      <c r="S177">
        <v>0</v>
      </c>
      <c r="T177">
        <v>0</v>
      </c>
      <c r="U177">
        <v>0</v>
      </c>
      <c r="V177">
        <v>0</v>
      </c>
      <c r="W177">
        <v>0</v>
      </c>
      <c r="X177" s="5" t="s">
        <v>54</v>
      </c>
      <c r="Y177">
        <v>0</v>
      </c>
      <c r="Z177" s="4" t="s">
        <v>54</v>
      </c>
      <c r="AA177">
        <v>0</v>
      </c>
      <c r="AB177" s="5">
        <v>0</v>
      </c>
      <c r="AC177">
        <v>0</v>
      </c>
      <c r="AD177" s="5">
        <v>0</v>
      </c>
      <c r="AE177" s="5">
        <v>56</v>
      </c>
      <c r="AF177" s="5">
        <v>0</v>
      </c>
      <c r="AG177" s="5">
        <v>56</v>
      </c>
      <c r="AH177" s="5">
        <v>0</v>
      </c>
      <c r="AI177" s="5">
        <v>0</v>
      </c>
      <c r="AJ177" s="5">
        <v>0</v>
      </c>
    </row>
    <row r="178">
      <c r="A178" s="2" t="str">
        <f>HYPERLINK("https://www.avito.ru/rostov-na-donu/bytovaya_elektronika/3d_printer_h2c_laser_10w_eu_3_v_1_pod_zakaz_8071469822","8071469822")</f>
      </c>
      <c r="B178" t="s">
        <v>70</v>
      </c>
      <c r="C178" t="s">
        <v>71</v>
      </c>
      <c r="D178" t="s">
        <v>72</v>
      </c>
      <c r="E178" t="s">
        <v>39</v>
      </c>
      <c r="F178" t="s">
        <v>40</v>
      </c>
      <c r="G178" t="s">
        <v>41</v>
      </c>
      <c r="H178" s="3" t="str">
        <f>HYPERLINK("https://www.avito.ru/rostov-na-donu/bytovaya_elektronika/3d_printer_h2c_laser_10w_eu_3_v_1_pod_zakaz_8071469822","3D принтер H2C Laser 10W EU — 3 в 1, под заказ")</f>
      </c>
      <c r="I178" t="s">
        <v>229</v>
      </c>
      <c r="J178" t="s">
        <v>78</v>
      </c>
      <c r="K178" t="s">
        <v>79</v>
      </c>
      <c r="L178">
        <v>29</v>
      </c>
      <c r="M178">
        <v>141</v>
      </c>
      <c r="N178" s="4">
        <v>0.0567</v>
      </c>
      <c r="O178">
        <v>8</v>
      </c>
      <c r="P178" s="5">
        <v>7</v>
      </c>
      <c r="Q178" s="4">
        <v>0</v>
      </c>
      <c r="R178">
        <v>0</v>
      </c>
      <c r="S178">
        <v>0</v>
      </c>
      <c r="T178">
        <v>0</v>
      </c>
      <c r="U178">
        <v>0</v>
      </c>
      <c r="V178">
        <v>0</v>
      </c>
      <c r="W178">
        <v>0</v>
      </c>
      <c r="X178" s="5" t="s">
        <v>54</v>
      </c>
      <c r="Y178">
        <v>0</v>
      </c>
      <c r="Z178" s="4">
        <v>0</v>
      </c>
      <c r="AA178">
        <v>0</v>
      </c>
      <c r="AB178" s="5">
        <v>0</v>
      </c>
      <c r="AC178">
        <v>0</v>
      </c>
      <c r="AD178" s="5">
        <v>0</v>
      </c>
      <c r="AE178" s="5">
        <v>56</v>
      </c>
      <c r="AF178" s="5">
        <v>0</v>
      </c>
      <c r="AG178" s="5">
        <v>56</v>
      </c>
      <c r="AH178" s="5">
        <v>0</v>
      </c>
      <c r="AI178" s="5">
        <v>0</v>
      </c>
      <c r="AJ178" s="5">
        <v>0</v>
      </c>
    </row>
    <row r="179">
      <c r="A179" s="2" t="str">
        <f>HYPERLINK("https://www.avito.ru/moskva/bytovaya_elektronika/bambu_h2s_eu_ams_2_pro_prototipy_i_proizvodstvo_8071474347","8071474347")</f>
      </c>
      <c r="B179" t="s">
        <v>36</v>
      </c>
      <c r="C179" t="s">
        <v>37</v>
      </c>
      <c r="D179" t="s">
        <v>167</v>
      </c>
      <c r="E179" t="s">
        <v>39</v>
      </c>
      <c r="F179" t="s">
        <v>40</v>
      </c>
      <c r="G179" t="s">
        <v>41</v>
      </c>
      <c r="H179" s="3" t="str">
        <f>HYPERLINK("https://www.avito.ru/moskva/bytovaya_elektronika/bambu_h2s_eu_ams_2_pro_prototipy_i_proizvodstvo_8071474347","Bambu H2S EU AMS 2 Pro — прототипы и производство")</f>
      </c>
      <c r="I179" t="s">
        <v>80</v>
      </c>
      <c r="J179" t="s">
        <v>55</v>
      </c>
      <c r="K179" t="s">
        <v>56</v>
      </c>
      <c r="L179">
        <v>30</v>
      </c>
      <c r="M179">
        <v>20</v>
      </c>
      <c r="N179" s="4">
        <v>0</v>
      </c>
      <c r="O179">
        <v>0</v>
      </c>
      <c r="P179" s="5" t="s">
        <v>54</v>
      </c>
      <c r="Q179" s="4" t="s">
        <v>54</v>
      </c>
      <c r="R179">
        <v>0</v>
      </c>
      <c r="S179">
        <v>0</v>
      </c>
      <c r="T179">
        <v>0</v>
      </c>
      <c r="U179">
        <v>0</v>
      </c>
      <c r="V179">
        <v>0</v>
      </c>
      <c r="W179">
        <v>0</v>
      </c>
      <c r="X179" s="5" t="s">
        <v>54</v>
      </c>
      <c r="Y179">
        <v>0</v>
      </c>
      <c r="Z179" s="4" t="s">
        <v>54</v>
      </c>
      <c r="AA179">
        <v>0</v>
      </c>
      <c r="AB179" s="5">
        <v>0</v>
      </c>
      <c r="AC179">
        <v>0</v>
      </c>
      <c r="AD179" s="5">
        <v>0</v>
      </c>
      <c r="AE179" s="5">
        <v>85</v>
      </c>
      <c r="AF179" s="5">
        <v>0</v>
      </c>
      <c r="AG179" s="5">
        <v>85</v>
      </c>
      <c r="AH179" s="5">
        <v>0</v>
      </c>
      <c r="AI179" s="5">
        <v>0</v>
      </c>
      <c r="AJ179" s="5">
        <v>0</v>
      </c>
    </row>
    <row r="180">
      <c r="A180" s="2" t="str">
        <f>HYPERLINK("https://www.avito.ru/mahachkala/bytovaya_elektronika/bambu_lab_h2d_eu_slozhnye_prototipy_s_podderzhkami_8071476700","8071476700")</f>
      </c>
      <c r="B180" t="s">
        <v>247</v>
      </c>
      <c r="C180" t="s">
        <v>248</v>
      </c>
      <c r="D180" t="s">
        <v>249</v>
      </c>
      <c r="E180" t="s">
        <v>39</v>
      </c>
      <c r="F180" t="s">
        <v>40</v>
      </c>
      <c r="G180" t="s">
        <v>41</v>
      </c>
      <c r="H180" s="3" t="str">
        <f>HYPERLINK("https://www.avito.ru/mahachkala/bytovaya_elektronika/bambu_lab_h2d_eu_slozhnye_prototipy_s_podderzhkami_8071476700","Bambu Lab H2D EU — сложные прототипы с поддержками")</f>
      </c>
      <c r="I180" t="s">
        <v>67</v>
      </c>
      <c r="J180" t="s">
        <v>78</v>
      </c>
      <c r="K180" t="s">
        <v>84</v>
      </c>
      <c r="L180">
        <v>29</v>
      </c>
      <c r="M180">
        <v>17</v>
      </c>
      <c r="N180" s="4">
        <v>0.0588</v>
      </c>
      <c r="O180">
        <v>1</v>
      </c>
      <c r="P180" s="5">
        <v>56</v>
      </c>
      <c r="Q180" s="4">
        <v>0</v>
      </c>
      <c r="R180">
        <v>0</v>
      </c>
      <c r="S180">
        <v>0</v>
      </c>
      <c r="T180">
        <v>0</v>
      </c>
      <c r="U180">
        <v>0</v>
      </c>
      <c r="V180">
        <v>0</v>
      </c>
      <c r="W180">
        <v>0</v>
      </c>
      <c r="X180" s="5" t="s">
        <v>54</v>
      </c>
      <c r="Y180">
        <v>2</v>
      </c>
      <c r="Z180" s="4">
        <v>0</v>
      </c>
      <c r="AA180">
        <v>0</v>
      </c>
      <c r="AB180" s="5">
        <v>0</v>
      </c>
      <c r="AC180">
        <v>0</v>
      </c>
      <c r="AD180" s="5">
        <v>0</v>
      </c>
      <c r="AE180" s="5">
        <v>56</v>
      </c>
      <c r="AF180" s="5">
        <v>0</v>
      </c>
      <c r="AG180" s="5">
        <v>56</v>
      </c>
      <c r="AH180" s="5">
        <v>0</v>
      </c>
      <c r="AI180" s="5">
        <v>0</v>
      </c>
      <c r="AJ180" s="5">
        <v>0</v>
      </c>
    </row>
    <row r="181">
      <c r="A181" s="2" t="str">
        <f>HYPERLINK("https://www.avito.ru/voronezh/bytovaya_elektronika/3d_printer_bambu_h2d_combo_eu_pod_zakaz_sdek_rf_8071479076","8071479076")</f>
      </c>
      <c r="B181" t="s">
        <v>169</v>
      </c>
      <c r="C181" t="s">
        <v>170</v>
      </c>
      <c r="D181" t="s">
        <v>195</v>
      </c>
      <c r="E181" t="s">
        <v>39</v>
      </c>
      <c r="F181" t="s">
        <v>40</v>
      </c>
      <c r="G181" t="s">
        <v>41</v>
      </c>
      <c r="H181" s="3" t="str">
        <f>HYPERLINK("https://www.avito.ru/voronezh/bytovaya_elektronika/3d_printer_bambu_h2d_combo_eu_pod_zakaz_sdek_rf_8071479076","3D принтер Bambu H2D Combo EU — под заказ, сдэк РФ")</f>
      </c>
      <c r="I181" t="s">
        <v>96</v>
      </c>
      <c r="J181" t="s">
        <v>78</v>
      </c>
      <c r="K181" t="s">
        <v>84</v>
      </c>
      <c r="L181">
        <v>29</v>
      </c>
      <c r="M181">
        <v>4</v>
      </c>
      <c r="N181" s="4">
        <v>0</v>
      </c>
      <c r="O181">
        <v>0</v>
      </c>
      <c r="P181" s="5" t="s">
        <v>54</v>
      </c>
      <c r="Q181" s="4" t="s">
        <v>54</v>
      </c>
      <c r="R181">
        <v>0</v>
      </c>
      <c r="S181">
        <v>0</v>
      </c>
      <c r="T181">
        <v>0</v>
      </c>
      <c r="U181">
        <v>0</v>
      </c>
      <c r="V181">
        <v>0</v>
      </c>
      <c r="W181">
        <v>0</v>
      </c>
      <c r="X181" s="5" t="s">
        <v>54</v>
      </c>
      <c r="Y181">
        <v>0</v>
      </c>
      <c r="Z181" s="4" t="s">
        <v>54</v>
      </c>
      <c r="AA181">
        <v>0</v>
      </c>
      <c r="AB181" s="5">
        <v>0</v>
      </c>
      <c r="AC181">
        <v>0</v>
      </c>
      <c r="AD181" s="5">
        <v>0</v>
      </c>
      <c r="AE181" s="5">
        <v>56</v>
      </c>
      <c r="AF181" s="5">
        <v>0</v>
      </c>
      <c r="AG181" s="5">
        <v>56</v>
      </c>
      <c r="AH181" s="5">
        <v>0</v>
      </c>
      <c r="AI181" s="5">
        <v>0</v>
      </c>
      <c r="AJ181" s="5">
        <v>0</v>
      </c>
    </row>
    <row r="182">
      <c r="A182" s="2" t="str">
        <f>HYPERLINK("https://www.avito.ru/sankt-peterburg/bytovaya_elektronika/h2d_full_combo_laser_10w_eu_dvoynoy_ekstruder_lazer_8071480682","8071480682")</f>
      </c>
      <c r="B182" t="s">
        <v>36</v>
      </c>
      <c r="C182" t="s">
        <v>90</v>
      </c>
      <c r="D182" t="s">
        <v>115</v>
      </c>
      <c r="E182" t="s">
        <v>39</v>
      </c>
      <c r="F182" t="s">
        <v>40</v>
      </c>
      <c r="G182" t="s">
        <v>41</v>
      </c>
      <c r="H182" s="3" t="str">
        <f>HYPERLINK("https://www.avito.ru/sankt-peterburg/bytovaya_elektronika/h2d_full_combo_laser_10w_eu_dvoynoy_ekstruder_lazer_8071480682","H2D Full Combo Laser 10W EU — двойной экструдер + лазер")</f>
      </c>
      <c r="I182" t="s">
        <v>129</v>
      </c>
      <c r="J182" t="s">
        <v>55</v>
      </c>
      <c r="K182" t="s">
        <v>56</v>
      </c>
      <c r="L182">
        <v>30</v>
      </c>
      <c r="M182">
        <v>22</v>
      </c>
      <c r="N182" s="4">
        <v>0.1818</v>
      </c>
      <c r="O182">
        <v>4</v>
      </c>
      <c r="P182" s="5">
        <v>14</v>
      </c>
      <c r="Q182" s="4">
        <v>0</v>
      </c>
      <c r="R182">
        <v>0</v>
      </c>
      <c r="S182">
        <v>0</v>
      </c>
      <c r="T182">
        <v>0</v>
      </c>
      <c r="U182">
        <v>0</v>
      </c>
      <c r="V182">
        <v>0</v>
      </c>
      <c r="W182">
        <v>0</v>
      </c>
      <c r="X182" s="5" t="s">
        <v>54</v>
      </c>
      <c r="Y182">
        <v>0</v>
      </c>
      <c r="Z182" s="4">
        <v>0</v>
      </c>
      <c r="AA182">
        <v>0</v>
      </c>
      <c r="AB182" s="5">
        <v>0</v>
      </c>
      <c r="AC182">
        <v>0</v>
      </c>
      <c r="AD182" s="5">
        <v>0</v>
      </c>
      <c r="AE182" s="5">
        <v>56</v>
      </c>
      <c r="AF182" s="5">
        <v>0</v>
      </c>
      <c r="AG182" s="5">
        <v>56</v>
      </c>
      <c r="AH182" s="5">
        <v>0</v>
      </c>
      <c r="AI182" s="5">
        <v>0</v>
      </c>
      <c r="AJ182" s="5">
        <v>0</v>
      </c>
    </row>
    <row r="183">
      <c r="A183" s="2" t="str">
        <f>HYPERLINK("https://www.avito.ru/ekaterinburg/bytovaya_elektronika/elegoo_giga_storm_800800_ekaterinburg_8071481549","8071481549")</f>
      </c>
      <c r="B183" t="s">
        <v>182</v>
      </c>
      <c r="C183" t="s">
        <v>183</v>
      </c>
      <c r="D183" t="s">
        <v>250</v>
      </c>
      <c r="E183" t="s">
        <v>39</v>
      </c>
      <c r="F183" t="s">
        <v>40</v>
      </c>
      <c r="G183" t="s">
        <v>41</v>
      </c>
      <c r="H183" s="3" t="str">
        <f>HYPERLINK("https://www.avito.ru/ekaterinburg/bytovaya_elektronika/elegoo_giga_storm_800800_ekaterinburg_8071481549","Elegoo Giga Storm 800800 — Екатеринбург")</f>
      </c>
      <c r="I183" t="s">
        <v>251</v>
      </c>
      <c r="J183" t="s">
        <v>89</v>
      </c>
      <c r="K183" t="s">
        <v>84</v>
      </c>
      <c r="L183">
        <v>28</v>
      </c>
      <c r="M183">
        <v>111</v>
      </c>
      <c r="N183" s="4">
        <v>0.09</v>
      </c>
      <c r="O183">
        <v>10</v>
      </c>
      <c r="P183" s="5">
        <v>5.6</v>
      </c>
      <c r="Q183" s="4">
        <v>0</v>
      </c>
      <c r="R183">
        <v>0</v>
      </c>
      <c r="S183">
        <v>0</v>
      </c>
      <c r="T183">
        <v>0</v>
      </c>
      <c r="U183">
        <v>0</v>
      </c>
      <c r="V183">
        <v>0</v>
      </c>
      <c r="W183">
        <v>0</v>
      </c>
      <c r="X183" s="5" t="s">
        <v>54</v>
      </c>
      <c r="Y183">
        <v>0</v>
      </c>
      <c r="Z183" s="4">
        <v>0</v>
      </c>
      <c r="AA183">
        <v>0</v>
      </c>
      <c r="AB183" s="5">
        <v>0</v>
      </c>
      <c r="AC183">
        <v>0</v>
      </c>
      <c r="AD183" s="5">
        <v>0</v>
      </c>
      <c r="AE183" s="5">
        <v>56</v>
      </c>
      <c r="AF183" s="5">
        <v>0</v>
      </c>
      <c r="AG183" s="5">
        <v>56</v>
      </c>
      <c r="AH183" s="5">
        <v>0</v>
      </c>
      <c r="AI183" s="5">
        <v>0</v>
      </c>
      <c r="AJ183" s="5">
        <v>0</v>
      </c>
    </row>
    <row r="184">
      <c r="A184" s="2" t="str">
        <f>HYPERLINK("https://www.avito.ru/mahachkala/bytovaya_elektronika/h2s_eu_bambu_lab_mnogotsvetnaya_pechat_sdek_2527_dney_8071488012","8071488012")</f>
      </c>
      <c r="B184" t="s">
        <v>247</v>
      </c>
      <c r="C184" t="s">
        <v>248</v>
      </c>
      <c r="D184" t="s">
        <v>249</v>
      </c>
      <c r="E184" t="s">
        <v>39</v>
      </c>
      <c r="F184" t="s">
        <v>40</v>
      </c>
      <c r="G184" t="s">
        <v>41</v>
      </c>
      <c r="H184" s="3" t="str">
        <f>HYPERLINK("https://www.avito.ru/mahachkala/bytovaya_elektronika/h2s_eu_bambu_lab_mnogotsvetnaya_pechat_sdek_2527_dney_8071488012","H2S EU Bambu Lab — многоцветная печать, сдэк 25–27 дней")</f>
      </c>
      <c r="I184" t="s">
        <v>80</v>
      </c>
      <c r="J184" t="s">
        <v>78</v>
      </c>
      <c r="K184" t="s">
        <v>79</v>
      </c>
      <c r="L184">
        <v>29</v>
      </c>
      <c r="M184">
        <v>238</v>
      </c>
      <c r="N184" s="4">
        <v>0.0882</v>
      </c>
      <c r="O184">
        <v>21</v>
      </c>
      <c r="P184" s="5">
        <v>2.66</v>
      </c>
      <c r="Q184" s="4">
        <v>0</v>
      </c>
      <c r="R184">
        <v>0</v>
      </c>
      <c r="S184">
        <v>0</v>
      </c>
      <c r="T184">
        <v>0</v>
      </c>
      <c r="U184">
        <v>0</v>
      </c>
      <c r="V184">
        <v>0</v>
      </c>
      <c r="W184">
        <v>0</v>
      </c>
      <c r="X184" s="5" t="s">
        <v>54</v>
      </c>
      <c r="Y184">
        <v>0</v>
      </c>
      <c r="Z184" s="4">
        <v>0</v>
      </c>
      <c r="AA184">
        <v>0</v>
      </c>
      <c r="AB184" s="5">
        <v>0</v>
      </c>
      <c r="AC184">
        <v>0</v>
      </c>
      <c r="AD184" s="5">
        <v>0</v>
      </c>
      <c r="AE184" s="5">
        <v>56</v>
      </c>
      <c r="AF184" s="5">
        <v>0</v>
      </c>
      <c r="AG184" s="5">
        <v>56</v>
      </c>
      <c r="AH184" s="5">
        <v>0</v>
      </c>
      <c r="AI184" s="5">
        <v>0</v>
      </c>
      <c r="AJ184" s="5">
        <v>0</v>
      </c>
    </row>
    <row r="185">
      <c r="A185" s="2" t="str">
        <f>HYPERLINK("https://www.avito.ru/rostov-na-donu/bytovaya_elektronika/3d_printer_bambu_h2d_combo_eu_pod_zakaz_sdek_rf_8071492526","8071492526")</f>
      </c>
      <c r="B185" t="s">
        <v>70</v>
      </c>
      <c r="C185" t="s">
        <v>71</v>
      </c>
      <c r="D185" t="s">
        <v>72</v>
      </c>
      <c r="E185" t="s">
        <v>39</v>
      </c>
      <c r="F185" t="s">
        <v>40</v>
      </c>
      <c r="G185" t="s">
        <v>41</v>
      </c>
      <c r="H185" s="3" t="str">
        <f>HYPERLINK("https://www.avito.ru/rostov-na-donu/bytovaya_elektronika/3d_printer_bambu_h2d_combo_eu_pod_zakaz_sdek_rf_8071492526","3D принтер Bambu H2D Combo EU — под заказ, сдэк РФ")</f>
      </c>
      <c r="I185" t="s">
        <v>96</v>
      </c>
      <c r="J185" t="s">
        <v>48</v>
      </c>
      <c r="K185" t="s">
        <v>252</v>
      </c>
      <c r="L185">
        <v>34</v>
      </c>
      <c r="M185">
        <v>282</v>
      </c>
      <c r="N185" s="4">
        <v>0.0992</v>
      </c>
      <c r="O185">
        <v>28</v>
      </c>
      <c r="P185" s="5">
        <v>2</v>
      </c>
      <c r="Q185" s="4">
        <v>0</v>
      </c>
      <c r="R185">
        <v>0</v>
      </c>
      <c r="S185">
        <v>0</v>
      </c>
      <c r="T185">
        <v>0</v>
      </c>
      <c r="U185">
        <v>0</v>
      </c>
      <c r="V185">
        <v>0</v>
      </c>
      <c r="W185">
        <v>0</v>
      </c>
      <c r="X185" s="5" t="s">
        <v>54</v>
      </c>
      <c r="Y185">
        <v>0</v>
      </c>
      <c r="Z185" s="4">
        <v>0</v>
      </c>
      <c r="AA185">
        <v>0</v>
      </c>
      <c r="AB185" s="5">
        <v>0</v>
      </c>
      <c r="AC185">
        <v>0</v>
      </c>
      <c r="AD185" s="5">
        <v>0</v>
      </c>
      <c r="AE185" s="5">
        <v>56</v>
      </c>
      <c r="AF185" s="5">
        <v>0</v>
      </c>
      <c r="AG185" s="5">
        <v>56</v>
      </c>
      <c r="AH185" s="5">
        <v>0</v>
      </c>
      <c r="AI185" s="5">
        <v>0</v>
      </c>
      <c r="AJ185" s="5">
        <v>0</v>
      </c>
    </row>
    <row r="186">
      <c r="A186" s="2" t="str">
        <f>HYPERLINK("https://www.avito.ru/cheboksary/bytovaya_elektronika/3d_printer_h2c_combo_eu_nalichie_dostavka_37_dney_8071499582","8071499582")</f>
      </c>
      <c r="B186" t="s">
        <v>253</v>
      </c>
      <c r="C186" t="s">
        <v>254</v>
      </c>
      <c r="D186" t="s">
        <v>255</v>
      </c>
      <c r="E186" t="s">
        <v>39</v>
      </c>
      <c r="F186" t="s">
        <v>40</v>
      </c>
      <c r="G186" t="s">
        <v>41</v>
      </c>
      <c r="H186" s="3" t="str">
        <f>HYPERLINK("https://www.avito.ru/cheboksary/bytovaya_elektronika/3d_printer_h2c_combo_eu_nalichie_dostavka_37_dney_8071499582","3D принтер H2C Combo EU — наличие, доставка 3–7 дней")</f>
      </c>
      <c r="I186" t="s">
        <v>61</v>
      </c>
      <c r="J186" t="s">
        <v>78</v>
      </c>
      <c r="K186" t="s">
        <v>79</v>
      </c>
      <c r="L186">
        <v>29</v>
      </c>
      <c r="M186">
        <v>159</v>
      </c>
      <c r="N186" s="4">
        <v>0.0503</v>
      </c>
      <c r="O186">
        <v>8</v>
      </c>
      <c r="P186" s="5">
        <v>7</v>
      </c>
      <c r="Q186" s="4">
        <v>0</v>
      </c>
      <c r="R186">
        <v>0</v>
      </c>
      <c r="S186">
        <v>0</v>
      </c>
      <c r="T186">
        <v>0</v>
      </c>
      <c r="U186">
        <v>0</v>
      </c>
      <c r="V186">
        <v>0</v>
      </c>
      <c r="W186">
        <v>0</v>
      </c>
      <c r="X186" s="5" t="s">
        <v>54</v>
      </c>
      <c r="Y186">
        <v>0</v>
      </c>
      <c r="Z186" s="4">
        <v>0</v>
      </c>
      <c r="AA186">
        <v>0</v>
      </c>
      <c r="AB186" s="5">
        <v>0</v>
      </c>
      <c r="AC186">
        <v>0</v>
      </c>
      <c r="AD186" s="5">
        <v>0</v>
      </c>
      <c r="AE186" s="5">
        <v>56</v>
      </c>
      <c r="AF186" s="5">
        <v>0</v>
      </c>
      <c r="AG186" s="5">
        <v>56</v>
      </c>
      <c r="AH186" s="5">
        <v>0</v>
      </c>
      <c r="AI186" s="5">
        <v>0</v>
      </c>
      <c r="AJ186" s="5">
        <v>0</v>
      </c>
    </row>
    <row r="187">
      <c r="A187" s="2" t="str">
        <f>HYPERLINK("https://www.avito.ru/cheboksary/bytovaya_elektronika/bambu_lab_h2d_eu_slozhnye_prototipy_s_podderzhkami_8071507510","8071507510")</f>
      </c>
      <c r="B187" t="s">
        <v>253</v>
      </c>
      <c r="C187" t="s">
        <v>254</v>
      </c>
      <c r="D187" t="s">
        <v>255</v>
      </c>
      <c r="E187" t="s">
        <v>39</v>
      </c>
      <c r="F187" t="s">
        <v>40</v>
      </c>
      <c r="G187" t="s">
        <v>41</v>
      </c>
      <c r="H187" s="3" t="str">
        <f>HYPERLINK("https://www.avito.ru/cheboksary/bytovaya_elektronika/bambu_lab_h2d_eu_slozhnye_prototipy_s_podderzhkami_8071507510","Bambu Lab H2D EU — сложные прототипы с поддержками")</f>
      </c>
      <c r="I187" t="s">
        <v>67</v>
      </c>
      <c r="J187" t="s">
        <v>78</v>
      </c>
      <c r="K187" t="s">
        <v>79</v>
      </c>
      <c r="L187">
        <v>29</v>
      </c>
      <c r="M187">
        <v>37</v>
      </c>
      <c r="N187" s="4">
        <v>0.027</v>
      </c>
      <c r="O187">
        <v>1</v>
      </c>
      <c r="P187" s="5">
        <v>56</v>
      </c>
      <c r="Q187" s="4">
        <v>0</v>
      </c>
      <c r="R187">
        <v>0</v>
      </c>
      <c r="S187">
        <v>0</v>
      </c>
      <c r="T187">
        <v>0</v>
      </c>
      <c r="U187">
        <v>0</v>
      </c>
      <c r="V187">
        <v>0</v>
      </c>
      <c r="W187">
        <v>0</v>
      </c>
      <c r="X187" s="5" t="s">
        <v>54</v>
      </c>
      <c r="Y187">
        <v>0</v>
      </c>
      <c r="Z187" s="4">
        <v>0</v>
      </c>
      <c r="AA187">
        <v>0</v>
      </c>
      <c r="AB187" s="5">
        <v>0</v>
      </c>
      <c r="AC187">
        <v>0</v>
      </c>
      <c r="AD187" s="5">
        <v>0</v>
      </c>
      <c r="AE187" s="5">
        <v>56</v>
      </c>
      <c r="AF187" s="5">
        <v>0</v>
      </c>
      <c r="AG187" s="5">
        <v>56</v>
      </c>
      <c r="AH187" s="5">
        <v>0</v>
      </c>
      <c r="AI187" s="5">
        <v>0</v>
      </c>
      <c r="AJ187" s="5">
        <v>0</v>
      </c>
    </row>
    <row r="188">
      <c r="A188" s="2" t="str">
        <f>HYPERLINK("https://www.avito.ru/krasnoyarsk/bytovaya_elektronika/3d_printer_h2d_eu_bambu_lab_1000_mms_pod_zakaz_8071513530","8071513530")</f>
      </c>
      <c r="B188" t="s">
        <v>156</v>
      </c>
      <c r="C188" t="s">
        <v>157</v>
      </c>
      <c r="D188" t="s">
        <v>256</v>
      </c>
      <c r="E188" t="s">
        <v>39</v>
      </c>
      <c r="F188" t="s">
        <v>40</v>
      </c>
      <c r="G188" t="s">
        <v>41</v>
      </c>
      <c r="H188" s="3" t="str">
        <f>HYPERLINK("https://www.avito.ru/krasnoyarsk/bytovaya_elektronika/3d_printer_h2d_eu_bambu_lab_1000_mms_pod_zakaz_8071513530","3D принтер H2D EU Bambu Lab — 1000 мм/с, под заказ")</f>
      </c>
      <c r="I188" t="s">
        <v>67</v>
      </c>
      <c r="J188" t="s">
        <v>78</v>
      </c>
      <c r="K188" t="s">
        <v>84</v>
      </c>
      <c r="L188">
        <v>29</v>
      </c>
      <c r="M188">
        <v>3</v>
      </c>
      <c r="N188" s="4">
        <v>0</v>
      </c>
      <c r="O188">
        <v>0</v>
      </c>
      <c r="P188" s="5" t="s">
        <v>54</v>
      </c>
      <c r="Q188" s="4" t="s">
        <v>54</v>
      </c>
      <c r="R188">
        <v>0</v>
      </c>
      <c r="S188">
        <v>0</v>
      </c>
      <c r="T188">
        <v>0</v>
      </c>
      <c r="U188">
        <v>0</v>
      </c>
      <c r="V188">
        <v>0</v>
      </c>
      <c r="W188">
        <v>0</v>
      </c>
      <c r="X188" s="5" t="s">
        <v>54</v>
      </c>
      <c r="Y188">
        <v>0</v>
      </c>
      <c r="Z188" s="4" t="s">
        <v>54</v>
      </c>
      <c r="AA188">
        <v>0</v>
      </c>
      <c r="AB188" s="5">
        <v>0</v>
      </c>
      <c r="AC188">
        <v>0</v>
      </c>
      <c r="AD188" s="5">
        <v>0</v>
      </c>
      <c r="AE188" s="5">
        <v>56</v>
      </c>
      <c r="AF188" s="5">
        <v>0</v>
      </c>
      <c r="AG188" s="5">
        <v>56</v>
      </c>
      <c r="AH188" s="5">
        <v>0</v>
      </c>
      <c r="AI188" s="5">
        <v>0</v>
      </c>
      <c r="AJ188" s="5">
        <v>0</v>
      </c>
    </row>
    <row r="189">
      <c r="A189" s="2" t="str">
        <f>HYPERLINK("https://www.avito.ru/samara/bytovaya_elektronika/3d_printer_h2c_combo_eu_est_v_nalichii_vortek_ams_8071517128","8071517128")</f>
      </c>
      <c r="B189" t="s">
        <v>143</v>
      </c>
      <c r="C189" t="s">
        <v>144</v>
      </c>
      <c r="D189" t="s">
        <v>145</v>
      </c>
      <c r="E189" t="s">
        <v>39</v>
      </c>
      <c r="F189" t="s">
        <v>40</v>
      </c>
      <c r="G189" t="s">
        <v>41</v>
      </c>
      <c r="H189" s="3" t="str">
        <f>HYPERLINK("https://www.avito.ru/samara/bytovaya_elektronika/3d_printer_h2c_combo_eu_est_v_nalichii_vortek_ams_8071517128","3D принтер H2C Combo EU — есть в наличии, Vortek + AMS")</f>
      </c>
      <c r="I189" t="s">
        <v>61</v>
      </c>
      <c r="J189" t="s">
        <v>55</v>
      </c>
      <c r="K189" t="s">
        <v>56</v>
      </c>
      <c r="L189">
        <v>30</v>
      </c>
      <c r="M189">
        <v>681</v>
      </c>
      <c r="N189" s="4">
        <v>0.0558</v>
      </c>
      <c r="O189">
        <v>38</v>
      </c>
      <c r="P189" s="5">
        <v>1.47</v>
      </c>
      <c r="Q189" s="4">
        <v>0</v>
      </c>
      <c r="R189">
        <v>0</v>
      </c>
      <c r="S189">
        <v>0</v>
      </c>
      <c r="T189">
        <v>0</v>
      </c>
      <c r="U189">
        <v>0</v>
      </c>
      <c r="V189">
        <v>0</v>
      </c>
      <c r="W189">
        <v>0</v>
      </c>
      <c r="X189" s="5" t="s">
        <v>54</v>
      </c>
      <c r="Y189">
        <v>1</v>
      </c>
      <c r="Z189" s="4">
        <v>0</v>
      </c>
      <c r="AA189">
        <v>0</v>
      </c>
      <c r="AB189" s="5">
        <v>0</v>
      </c>
      <c r="AC189">
        <v>0</v>
      </c>
      <c r="AD189" s="5">
        <v>0</v>
      </c>
      <c r="AE189" s="5">
        <v>56</v>
      </c>
      <c r="AF189" s="5">
        <v>0</v>
      </c>
      <c r="AG189" s="5">
        <v>56</v>
      </c>
      <c r="AH189" s="5">
        <v>0</v>
      </c>
      <c r="AI189" s="5">
        <v>0</v>
      </c>
      <c r="AJ189" s="5">
        <v>0</v>
      </c>
    </row>
    <row r="190">
      <c r="A190" s="2" t="str">
        <f>HYPERLINK("https://www.avito.ru/moskva/bytovaya_elektronika/3d_printer_bambu_lab_h2c_combo_eu_ams_8071518930","8071518930")</f>
      </c>
      <c r="B190" t="s">
        <v>36</v>
      </c>
      <c r="C190" t="s">
        <v>37</v>
      </c>
      <c r="D190" t="s">
        <v>68</v>
      </c>
      <c r="E190" t="s">
        <v>39</v>
      </c>
      <c r="F190" t="s">
        <v>40</v>
      </c>
      <c r="G190" t="s">
        <v>41</v>
      </c>
      <c r="H190" s="3" t="str">
        <f>HYPERLINK("https://www.avito.ru/moskva/bytovaya_elektronika/3d_printer_bambu_lab_h2c_combo_eu_ams_8071518930","3D принтер Bambu Lab H2C Combo EU AMS")</f>
      </c>
      <c r="I190" t="s">
        <v>61</v>
      </c>
      <c r="J190" t="s">
        <v>55</v>
      </c>
      <c r="K190" t="s">
        <v>56</v>
      </c>
      <c r="L190">
        <v>30</v>
      </c>
      <c r="M190">
        <v>14</v>
      </c>
      <c r="N190" s="4">
        <v>0.2142</v>
      </c>
      <c r="O190">
        <v>3</v>
      </c>
      <c r="P190" s="5">
        <v>28.33</v>
      </c>
      <c r="Q190" s="4">
        <v>0</v>
      </c>
      <c r="R190">
        <v>0</v>
      </c>
      <c r="S190">
        <v>0</v>
      </c>
      <c r="T190">
        <v>0</v>
      </c>
      <c r="U190">
        <v>0</v>
      </c>
      <c r="V190">
        <v>0</v>
      </c>
      <c r="W190">
        <v>0</v>
      </c>
      <c r="X190" s="5" t="s">
        <v>54</v>
      </c>
      <c r="Y190">
        <v>0</v>
      </c>
      <c r="Z190" s="4">
        <v>0</v>
      </c>
      <c r="AA190">
        <v>0</v>
      </c>
      <c r="AB190" s="5">
        <v>0</v>
      </c>
      <c r="AC190">
        <v>0</v>
      </c>
      <c r="AD190" s="5">
        <v>0</v>
      </c>
      <c r="AE190" s="5">
        <v>85</v>
      </c>
      <c r="AF190" s="5">
        <v>0</v>
      </c>
      <c r="AG190" s="5">
        <v>85</v>
      </c>
      <c r="AH190" s="5">
        <v>0</v>
      </c>
      <c r="AI190" s="5">
        <v>0</v>
      </c>
      <c r="AJ190" s="5">
        <v>0</v>
      </c>
    </row>
    <row r="191">
      <c r="A191" s="2" t="str">
        <f>HYPERLINK("https://www.avito.ru/ekaterinburg/bytovaya_elektronika/bambu_lab_h2d_combo_eu_dvoynoy_ekstruder_ams_2_pro_8071521577","8071521577")</f>
      </c>
      <c r="B191" t="s">
        <v>182</v>
      </c>
      <c r="C191" t="s">
        <v>183</v>
      </c>
      <c r="D191" t="s">
        <v>184</v>
      </c>
      <c r="E191" t="s">
        <v>39</v>
      </c>
      <c r="F191" t="s">
        <v>40</v>
      </c>
      <c r="G191" t="s">
        <v>41</v>
      </c>
      <c r="H191" s="3" t="str">
        <f>HYPERLINK("https://www.avito.ru/ekaterinburg/bytovaya_elektronika/bambu_lab_h2d_combo_eu_dvoynoy_ekstruder_ams_2_pro_8071521577","Bambu Lab H2D Combo EU — двойной экструдер + AMS 2 Pro")</f>
      </c>
      <c r="I191" t="s">
        <v>142</v>
      </c>
      <c r="J191" t="s">
        <v>55</v>
      </c>
      <c r="K191" t="s">
        <v>56</v>
      </c>
      <c r="L191">
        <v>30</v>
      </c>
      <c r="M191">
        <v>15</v>
      </c>
      <c r="N191" s="4">
        <v>0.0666</v>
      </c>
      <c r="O191">
        <v>1</v>
      </c>
      <c r="P191" s="5">
        <v>56</v>
      </c>
      <c r="Q191" s="4">
        <v>0</v>
      </c>
      <c r="R191">
        <v>0</v>
      </c>
      <c r="S191">
        <v>0</v>
      </c>
      <c r="T191">
        <v>0</v>
      </c>
      <c r="U191">
        <v>0</v>
      </c>
      <c r="V191">
        <v>0</v>
      </c>
      <c r="W191">
        <v>0</v>
      </c>
      <c r="X191" s="5" t="s">
        <v>54</v>
      </c>
      <c r="Y191">
        <v>0</v>
      </c>
      <c r="Z191" s="4">
        <v>0</v>
      </c>
      <c r="AA191">
        <v>0</v>
      </c>
      <c r="AB191" s="5">
        <v>0</v>
      </c>
      <c r="AC191">
        <v>0</v>
      </c>
      <c r="AD191" s="5">
        <v>0</v>
      </c>
      <c r="AE191" s="5">
        <v>56</v>
      </c>
      <c r="AF191" s="5">
        <v>0</v>
      </c>
      <c r="AG191" s="5">
        <v>56</v>
      </c>
      <c r="AH191" s="5">
        <v>0</v>
      </c>
      <c r="AI191" s="5">
        <v>0</v>
      </c>
      <c r="AJ191" s="5">
        <v>0</v>
      </c>
    </row>
    <row r="192">
      <c r="A192" s="2" t="str">
        <f>HYPERLINK("https://www.avito.ru/krasnoyarsk/bytovaya_elektronika/bambu_lab_h2d_pro_combo_ams_eu_flagman_lineyki_8071523467","8071523467")</f>
      </c>
      <c r="B192" t="s">
        <v>156</v>
      </c>
      <c r="C192" t="s">
        <v>157</v>
      </c>
      <c r="D192" t="s">
        <v>158</v>
      </c>
      <c r="E192" t="s">
        <v>39</v>
      </c>
      <c r="F192" t="s">
        <v>40</v>
      </c>
      <c r="G192" t="s">
        <v>41</v>
      </c>
      <c r="H192" s="3" t="str">
        <f>HYPERLINK("https://www.avito.ru/krasnoyarsk/bytovaya_elektronika/bambu_lab_h2d_pro_combo_ams_eu_flagman_lineyki_8071523467","Bambu Lab H2D PRO Combo AMS EU — флагман линейки")</f>
      </c>
      <c r="I192" t="s">
        <v>257</v>
      </c>
      <c r="J192" t="s">
        <v>89</v>
      </c>
      <c r="K192" t="s">
        <v>84</v>
      </c>
      <c r="L192">
        <v>28</v>
      </c>
      <c r="M192">
        <v>61</v>
      </c>
      <c r="N192" s="4">
        <v>0.0163</v>
      </c>
      <c r="O192">
        <v>1</v>
      </c>
      <c r="P192" s="5">
        <v>56</v>
      </c>
      <c r="Q192" s="4">
        <v>0</v>
      </c>
      <c r="R192">
        <v>0</v>
      </c>
      <c r="S192">
        <v>0</v>
      </c>
      <c r="T192">
        <v>0</v>
      </c>
      <c r="U192">
        <v>0</v>
      </c>
      <c r="V192">
        <v>0</v>
      </c>
      <c r="W192">
        <v>0</v>
      </c>
      <c r="X192" s="5" t="s">
        <v>54</v>
      </c>
      <c r="Y192">
        <v>0</v>
      </c>
      <c r="Z192" s="4">
        <v>0</v>
      </c>
      <c r="AA192">
        <v>0</v>
      </c>
      <c r="AB192" s="5">
        <v>0</v>
      </c>
      <c r="AC192">
        <v>0</v>
      </c>
      <c r="AD192" s="5">
        <v>0</v>
      </c>
      <c r="AE192" s="5">
        <v>56</v>
      </c>
      <c r="AF192" s="5">
        <v>0</v>
      </c>
      <c r="AG192" s="5">
        <v>56</v>
      </c>
      <c r="AH192" s="5">
        <v>0</v>
      </c>
      <c r="AI192" s="5">
        <v>0</v>
      </c>
      <c r="AJ192" s="5">
        <v>0</v>
      </c>
    </row>
    <row r="193">
      <c r="A193" s="2" t="str">
        <f>HYPERLINK("https://www.avito.ru/sankt-peterburg/bytovaya_elektronika/bambu_lab_h2d_laser_40w_cn_vygodnaya_cn-versiya_8071525361","8071525361")</f>
      </c>
      <c r="B193" t="s">
        <v>36</v>
      </c>
      <c r="C193" t="s">
        <v>90</v>
      </c>
      <c r="D193" t="s">
        <v>115</v>
      </c>
      <c r="E193" t="s">
        <v>39</v>
      </c>
      <c r="F193" t="s">
        <v>40</v>
      </c>
      <c r="G193" t="s">
        <v>41</v>
      </c>
      <c r="H193" s="3" t="str">
        <f>HYPERLINK("https://www.avito.ru/sankt-peterburg/bytovaya_elektronika/bambu_lab_h2d_laser_40w_cn_vygodnaya_cn-versiya_8071525361","Bambu Lab H2D Laser 40W CN — выгодная CN-версия")</f>
      </c>
      <c r="I193" t="s">
        <v>220</v>
      </c>
      <c r="J193" t="s">
        <v>78</v>
      </c>
      <c r="K193" t="s">
        <v>84</v>
      </c>
      <c r="L193">
        <v>29</v>
      </c>
      <c r="M193">
        <v>5</v>
      </c>
      <c r="N193" s="4">
        <v>0</v>
      </c>
      <c r="O193">
        <v>0</v>
      </c>
      <c r="P193" s="5" t="s">
        <v>54</v>
      </c>
      <c r="Q193" s="4" t="s">
        <v>54</v>
      </c>
      <c r="R193">
        <v>0</v>
      </c>
      <c r="S193">
        <v>0</v>
      </c>
      <c r="T193">
        <v>0</v>
      </c>
      <c r="U193">
        <v>0</v>
      </c>
      <c r="V193">
        <v>0</v>
      </c>
      <c r="W193">
        <v>0</v>
      </c>
      <c r="X193" s="5" t="s">
        <v>54</v>
      </c>
      <c r="Y193">
        <v>0</v>
      </c>
      <c r="Z193" s="4" t="s">
        <v>54</v>
      </c>
      <c r="AA193">
        <v>0</v>
      </c>
      <c r="AB193" s="5">
        <v>0</v>
      </c>
      <c r="AC193">
        <v>0</v>
      </c>
      <c r="AD193" s="5">
        <v>0</v>
      </c>
      <c r="AE193" s="5">
        <v>56</v>
      </c>
      <c r="AF193" s="5">
        <v>0</v>
      </c>
      <c r="AG193" s="5">
        <v>56</v>
      </c>
      <c r="AH193" s="5">
        <v>0</v>
      </c>
      <c r="AI193" s="5">
        <v>0</v>
      </c>
      <c r="AJ193" s="5">
        <v>0</v>
      </c>
    </row>
    <row r="194">
      <c r="A194" s="2" t="str">
        <f>HYPERLINK("https://www.avito.ru/tomsk/bytovaya_elektronika/bambu_h2s_eu_ams_2_pro_prototipy_i_proizvodstvo_8071534663","8071534663")</f>
      </c>
      <c r="B194" t="s">
        <v>258</v>
      </c>
      <c r="C194" t="s">
        <v>259</v>
      </c>
      <c r="D194" t="s">
        <v>260</v>
      </c>
      <c r="E194" t="s">
        <v>39</v>
      </c>
      <c r="F194" t="s">
        <v>40</v>
      </c>
      <c r="G194" t="s">
        <v>41</v>
      </c>
      <c r="H194" s="3" t="str">
        <f>HYPERLINK("https://www.avito.ru/tomsk/bytovaya_elektronika/bambu_h2s_eu_ams_2_pro_prototipy_i_proizvodstvo_8071534663","Bambu H2S EU AMS 2 Pro — прототипы и производство")</f>
      </c>
      <c r="I194" t="s">
        <v>69</v>
      </c>
      <c r="J194" t="s">
        <v>78</v>
      </c>
      <c r="K194" t="s">
        <v>84</v>
      </c>
      <c r="L194">
        <v>29</v>
      </c>
      <c r="M194">
        <v>5</v>
      </c>
      <c r="N194" s="4">
        <v>0</v>
      </c>
      <c r="O194">
        <v>0</v>
      </c>
      <c r="P194" s="5" t="s">
        <v>54</v>
      </c>
      <c r="Q194" s="4" t="s">
        <v>54</v>
      </c>
      <c r="R194">
        <v>0</v>
      </c>
      <c r="S194">
        <v>0</v>
      </c>
      <c r="T194">
        <v>0</v>
      </c>
      <c r="U194">
        <v>0</v>
      </c>
      <c r="V194">
        <v>0</v>
      </c>
      <c r="W194">
        <v>0</v>
      </c>
      <c r="X194" s="5" t="s">
        <v>54</v>
      </c>
      <c r="Y194">
        <v>0</v>
      </c>
      <c r="Z194" s="4" t="s">
        <v>54</v>
      </c>
      <c r="AA194">
        <v>0</v>
      </c>
      <c r="AB194" s="5">
        <v>0</v>
      </c>
      <c r="AC194">
        <v>0</v>
      </c>
      <c r="AD194" s="5">
        <v>0</v>
      </c>
      <c r="AE194" s="5">
        <v>56</v>
      </c>
      <c r="AF194" s="5">
        <v>0</v>
      </c>
      <c r="AG194" s="5">
        <v>56</v>
      </c>
      <c r="AH194" s="5">
        <v>0</v>
      </c>
      <c r="AI194" s="5">
        <v>0</v>
      </c>
      <c r="AJ194" s="5">
        <v>0</v>
      </c>
    </row>
    <row r="195">
      <c r="A195" s="2" t="str">
        <f>HYPERLINK("https://www.avito.ru/voronezh/bytovaya_elektronika/bambu_lab_h2d_pro_combo_ams_eu_flagman_lineyki_8071536539","8071536539")</f>
      </c>
      <c r="B195" t="s">
        <v>169</v>
      </c>
      <c r="C195" t="s">
        <v>170</v>
      </c>
      <c r="D195" t="s">
        <v>171</v>
      </c>
      <c r="E195" t="s">
        <v>39</v>
      </c>
      <c r="F195" t="s">
        <v>40</v>
      </c>
      <c r="G195" t="s">
        <v>41</v>
      </c>
      <c r="H195" s="3" t="str">
        <f>HYPERLINK("https://www.avito.ru/voronezh/bytovaya_elektronika/bambu_lab_h2d_pro_combo_ams_eu_flagman_lineyki_8071536539","Bambu Lab H2D PRO Combo AMS EU — флагман линейки")</f>
      </c>
      <c r="I195" t="s">
        <v>261</v>
      </c>
      <c r="J195" t="s">
        <v>89</v>
      </c>
      <c r="K195" t="s">
        <v>84</v>
      </c>
      <c r="L195">
        <v>28</v>
      </c>
      <c r="M195">
        <v>564</v>
      </c>
      <c r="N195" s="4">
        <v>0.0425</v>
      </c>
      <c r="O195">
        <v>24</v>
      </c>
      <c r="P195" s="5">
        <v>2.33</v>
      </c>
      <c r="Q195" s="4">
        <v>0</v>
      </c>
      <c r="R195">
        <v>0</v>
      </c>
      <c r="S195">
        <v>0</v>
      </c>
      <c r="T195">
        <v>0</v>
      </c>
      <c r="U195">
        <v>0</v>
      </c>
      <c r="V195">
        <v>0</v>
      </c>
      <c r="W195">
        <v>0</v>
      </c>
      <c r="X195" s="5" t="s">
        <v>54</v>
      </c>
      <c r="Y195">
        <v>1</v>
      </c>
      <c r="Z195" s="4">
        <v>0</v>
      </c>
      <c r="AA195">
        <v>0</v>
      </c>
      <c r="AB195" s="5">
        <v>0</v>
      </c>
      <c r="AC195">
        <v>0</v>
      </c>
      <c r="AD195" s="5">
        <v>0</v>
      </c>
      <c r="AE195" s="5">
        <v>56</v>
      </c>
      <c r="AF195" s="5">
        <v>0</v>
      </c>
      <c r="AG195" s="5">
        <v>56</v>
      </c>
      <c r="AH195" s="5">
        <v>0</v>
      </c>
      <c r="AI195" s="5">
        <v>0</v>
      </c>
      <c r="AJ195" s="5">
        <v>0</v>
      </c>
    </row>
    <row r="196">
      <c r="A196" s="2" t="str">
        <f>HYPERLINK("https://www.avito.ru/saratov/bytovaya_elektronika/3d_printer_h2c_combo_eu_est_v_nalichii_vortek_ams_8071539014","8071539014")</f>
      </c>
      <c r="B196" t="s">
        <v>85</v>
      </c>
      <c r="C196" t="s">
        <v>86</v>
      </c>
      <c r="D196" t="s">
        <v>87</v>
      </c>
      <c r="E196" t="s">
        <v>39</v>
      </c>
      <c r="F196" t="s">
        <v>40</v>
      </c>
      <c r="G196" t="s">
        <v>41</v>
      </c>
      <c r="H196" s="3" t="str">
        <f>HYPERLINK("https://www.avito.ru/saratov/bytovaya_elektronika/3d_printer_h2c_combo_eu_est_v_nalichii_vortek_ams_8071539014","3D принтер H2C Combo EU — есть в наличии, Vortek + AMS")</f>
      </c>
      <c r="I196" t="s">
        <v>61</v>
      </c>
      <c r="J196" t="s">
        <v>89</v>
      </c>
      <c r="K196" t="s">
        <v>84</v>
      </c>
      <c r="L196">
        <v>28</v>
      </c>
      <c r="M196">
        <v>497</v>
      </c>
      <c r="N196" s="4">
        <v>0.0382</v>
      </c>
      <c r="O196">
        <v>19</v>
      </c>
      <c r="P196" s="5">
        <v>2.94</v>
      </c>
      <c r="Q196" s="4">
        <v>0</v>
      </c>
      <c r="R196">
        <v>0</v>
      </c>
      <c r="S196">
        <v>0</v>
      </c>
      <c r="T196">
        <v>0</v>
      </c>
      <c r="U196">
        <v>0</v>
      </c>
      <c r="V196">
        <v>0</v>
      </c>
      <c r="W196">
        <v>0</v>
      </c>
      <c r="X196" s="5" t="s">
        <v>54</v>
      </c>
      <c r="Y196">
        <v>0</v>
      </c>
      <c r="Z196" s="4">
        <v>0</v>
      </c>
      <c r="AA196">
        <v>0</v>
      </c>
      <c r="AB196" s="5">
        <v>0</v>
      </c>
      <c r="AC196">
        <v>0</v>
      </c>
      <c r="AD196" s="5">
        <v>0</v>
      </c>
      <c r="AE196" s="5">
        <v>56</v>
      </c>
      <c r="AF196" s="5">
        <v>0</v>
      </c>
      <c r="AG196" s="5">
        <v>56</v>
      </c>
      <c r="AH196" s="5">
        <v>0</v>
      </c>
      <c r="AI196" s="5">
        <v>0</v>
      </c>
      <c r="AJ196" s="5">
        <v>0</v>
      </c>
    </row>
    <row r="197">
      <c r="A197" s="2" t="str">
        <f>HYPERLINK("https://www.avito.ru/ekaterinburg/bytovaya_elektronika/h2d_laser_10w_cn_lazer_3d-pechat_tsena_nizhe_eu_8071541427","8071541427")</f>
      </c>
      <c r="B197" t="s">
        <v>182</v>
      </c>
      <c r="C197" t="s">
        <v>183</v>
      </c>
      <c r="D197" t="s">
        <v>184</v>
      </c>
      <c r="E197" t="s">
        <v>39</v>
      </c>
      <c r="F197" t="s">
        <v>40</v>
      </c>
      <c r="G197" t="s">
        <v>41</v>
      </c>
      <c r="H197" s="3" t="str">
        <f>HYPERLINK("https://www.avito.ru/ekaterinburg/bytovaya_elektronika/h2d_laser_10w_cn_lazer_3d-pechat_tsena_nizhe_eu_8071541427","H2D Laser 10W CN — лазер + 3D-печать, цена ниже EU")</f>
      </c>
      <c r="I197" t="s">
        <v>240</v>
      </c>
      <c r="J197" t="s">
        <v>78</v>
      </c>
      <c r="K197" t="s">
        <v>84</v>
      </c>
      <c r="L197">
        <v>29</v>
      </c>
      <c r="M197">
        <v>3</v>
      </c>
      <c r="N197" s="4">
        <v>0</v>
      </c>
      <c r="O197">
        <v>0</v>
      </c>
      <c r="P197" s="5" t="s">
        <v>54</v>
      </c>
      <c r="Q197" s="4" t="s">
        <v>54</v>
      </c>
      <c r="R197">
        <v>0</v>
      </c>
      <c r="S197">
        <v>0</v>
      </c>
      <c r="T197">
        <v>0</v>
      </c>
      <c r="U197">
        <v>0</v>
      </c>
      <c r="V197">
        <v>0</v>
      </c>
      <c r="W197">
        <v>0</v>
      </c>
      <c r="X197" s="5" t="s">
        <v>54</v>
      </c>
      <c r="Y197">
        <v>0</v>
      </c>
      <c r="Z197" s="4" t="s">
        <v>54</v>
      </c>
      <c r="AA197">
        <v>0</v>
      </c>
      <c r="AB197" s="5">
        <v>0</v>
      </c>
      <c r="AC197">
        <v>0</v>
      </c>
      <c r="AD197" s="5">
        <v>0</v>
      </c>
      <c r="AE197" s="5">
        <v>56</v>
      </c>
      <c r="AF197" s="5">
        <v>0</v>
      </c>
      <c r="AG197" s="5">
        <v>56</v>
      </c>
      <c r="AH197" s="5">
        <v>0</v>
      </c>
      <c r="AI197" s="5">
        <v>0</v>
      </c>
      <c r="AJ197" s="5">
        <v>0</v>
      </c>
    </row>
    <row r="198">
      <c r="A198" s="2" t="str">
        <f>HYPERLINK("https://www.avito.ru/moskva/bytovaya_elektronika/bambu_lab_p2s_combo_kompaktnyy_3d-printer_s_ams_8071549664","8071549664")</f>
      </c>
      <c r="B198" t="s">
        <v>36</v>
      </c>
      <c r="C198" t="s">
        <v>37</v>
      </c>
      <c r="D198" t="s">
        <v>38</v>
      </c>
      <c r="E198" t="s">
        <v>39</v>
      </c>
      <c r="F198" t="s">
        <v>40</v>
      </c>
      <c r="G198" t="s">
        <v>41</v>
      </c>
      <c r="H198" s="3" t="str">
        <f>HYPERLINK("https://www.avito.ru/moskva/bytovaya_elektronika/bambu_lab_p2s_combo_kompaktnyy_3d-printer_s_ams_8071549664","Bambu Lab P2S Combo — компактный 3D-принтер с AMS")</f>
      </c>
      <c r="I198" t="s">
        <v>262</v>
      </c>
      <c r="J198" t="s">
        <v>89</v>
      </c>
      <c r="K198" t="s">
        <v>84</v>
      </c>
      <c r="L198">
        <v>28</v>
      </c>
      <c r="M198">
        <v>153</v>
      </c>
      <c r="N198" s="4">
        <v>0.0588</v>
      </c>
      <c r="O198">
        <v>9</v>
      </c>
      <c r="P198" s="5">
        <v>9.44</v>
      </c>
      <c r="Q198" s="4">
        <v>0</v>
      </c>
      <c r="R198">
        <v>0</v>
      </c>
      <c r="S198">
        <v>0</v>
      </c>
      <c r="T198">
        <v>0</v>
      </c>
      <c r="U198">
        <v>0</v>
      </c>
      <c r="V198">
        <v>0</v>
      </c>
      <c r="W198">
        <v>0</v>
      </c>
      <c r="X198" s="5" t="s">
        <v>54</v>
      </c>
      <c r="Y198">
        <v>1</v>
      </c>
      <c r="Z198" s="4">
        <v>0</v>
      </c>
      <c r="AA198">
        <v>0</v>
      </c>
      <c r="AB198" s="5">
        <v>0</v>
      </c>
      <c r="AC198">
        <v>0</v>
      </c>
      <c r="AD198" s="5">
        <v>0</v>
      </c>
      <c r="AE198" s="5">
        <v>85</v>
      </c>
      <c r="AF198" s="5">
        <v>0</v>
      </c>
      <c r="AG198" s="5">
        <v>85</v>
      </c>
      <c r="AH198" s="5">
        <v>0</v>
      </c>
      <c r="AI198" s="5">
        <v>0</v>
      </c>
      <c r="AJ198" s="5">
        <v>0</v>
      </c>
    </row>
    <row r="199">
      <c r="A199" s="2" t="str">
        <f>HYPERLINK("https://www.avito.ru/kazan/bytovaya_elektronika/h2s_eu_bambu_lab_mnogotsvetnaya_pechat_sdek_2527_dney_8071557453","8071557453")</f>
      </c>
      <c r="B199" t="s">
        <v>97</v>
      </c>
      <c r="C199" t="s">
        <v>98</v>
      </c>
      <c r="D199" t="s">
        <v>99</v>
      </c>
      <c r="E199" t="s">
        <v>39</v>
      </c>
      <c r="F199" t="s">
        <v>40</v>
      </c>
      <c r="G199" t="s">
        <v>41</v>
      </c>
      <c r="H199" s="3" t="str">
        <f>HYPERLINK("https://www.avito.ru/kazan/bytovaya_elektronika/h2s_eu_bambu_lab_mnogotsvetnaya_pechat_sdek_2527_dney_8071557453","H2S EU Bambu Lab — многоцветная печать, сдэк 25–27 дней")</f>
      </c>
      <c r="I199" t="s">
        <v>77</v>
      </c>
      <c r="J199" t="s">
        <v>55</v>
      </c>
      <c r="K199" t="s">
        <v>56</v>
      </c>
      <c r="L199">
        <v>30</v>
      </c>
      <c r="M199">
        <v>209</v>
      </c>
      <c r="N199" s="4">
        <v>0.0669</v>
      </c>
      <c r="O199">
        <v>14</v>
      </c>
      <c r="P199" s="5">
        <v>4</v>
      </c>
      <c r="Q199" s="4">
        <v>0</v>
      </c>
      <c r="R199">
        <v>0</v>
      </c>
      <c r="S199">
        <v>0</v>
      </c>
      <c r="T199">
        <v>0</v>
      </c>
      <c r="U199">
        <v>0</v>
      </c>
      <c r="V199">
        <v>0</v>
      </c>
      <c r="W199">
        <v>0</v>
      </c>
      <c r="X199" s="5" t="s">
        <v>54</v>
      </c>
      <c r="Y199">
        <v>2</v>
      </c>
      <c r="Z199" s="4">
        <v>0</v>
      </c>
      <c r="AA199">
        <v>0</v>
      </c>
      <c r="AB199" s="5">
        <v>0</v>
      </c>
      <c r="AC199">
        <v>0</v>
      </c>
      <c r="AD199" s="5">
        <v>0</v>
      </c>
      <c r="AE199" s="5">
        <v>56</v>
      </c>
      <c r="AF199" s="5">
        <v>0</v>
      </c>
      <c r="AG199" s="5">
        <v>56</v>
      </c>
      <c r="AH199" s="5">
        <v>0</v>
      </c>
      <c r="AI199" s="5">
        <v>0</v>
      </c>
      <c r="AJ199" s="5">
        <v>0</v>
      </c>
    </row>
    <row r="200">
      <c r="A200" s="2" t="str">
        <f>HYPERLINK("https://www.avito.ru/velikiy_novgorod/bytovaya_elektronika/3d_printer_h2c_combo_eu_est_v_nalichii_vortek_ams_2_pro_8071558451","8071558451")</f>
      </c>
      <c r="B200" t="s">
        <v>191</v>
      </c>
      <c r="C200" t="s">
        <v>192</v>
      </c>
      <c r="D200" t="s">
        <v>193</v>
      </c>
      <c r="E200" t="s">
        <v>39</v>
      </c>
      <c r="F200" t="s">
        <v>40</v>
      </c>
      <c r="G200" t="s">
        <v>41</v>
      </c>
      <c r="H200" s="3" t="str">
        <f>HYPERLINK("https://www.avito.ru/velikiy_novgorod/bytovaya_elektronika/3d_printer_h2c_combo_eu_est_v_nalichii_vortek_ams_2_pro_8071558451","3D принтер H2C Combo EU — есть в наличии, Vortek + AMS 2 Pro")</f>
      </c>
      <c r="I200" t="s">
        <v>61</v>
      </c>
      <c r="J200" t="s">
        <v>78</v>
      </c>
      <c r="K200" t="s">
        <v>79</v>
      </c>
      <c r="L200">
        <v>29</v>
      </c>
      <c r="M200">
        <v>74</v>
      </c>
      <c r="N200" s="4">
        <v>0.054</v>
      </c>
      <c r="O200">
        <v>4</v>
      </c>
      <c r="P200" s="5">
        <v>14</v>
      </c>
      <c r="Q200" s="4">
        <v>0</v>
      </c>
      <c r="R200">
        <v>0</v>
      </c>
      <c r="S200">
        <v>0</v>
      </c>
      <c r="T200">
        <v>0</v>
      </c>
      <c r="U200">
        <v>0</v>
      </c>
      <c r="V200">
        <v>0</v>
      </c>
      <c r="W200">
        <v>0</v>
      </c>
      <c r="X200" s="5" t="s">
        <v>54</v>
      </c>
      <c r="Y200">
        <v>0</v>
      </c>
      <c r="Z200" s="4">
        <v>0</v>
      </c>
      <c r="AA200">
        <v>0</v>
      </c>
      <c r="AB200" s="5">
        <v>0</v>
      </c>
      <c r="AC200">
        <v>0</v>
      </c>
      <c r="AD200" s="5">
        <v>0</v>
      </c>
      <c r="AE200" s="5">
        <v>56</v>
      </c>
      <c r="AF200" s="5">
        <v>0</v>
      </c>
      <c r="AG200" s="5">
        <v>56</v>
      </c>
      <c r="AH200" s="5">
        <v>0</v>
      </c>
      <c r="AI200" s="5">
        <v>0</v>
      </c>
      <c r="AJ200" s="5">
        <v>0</v>
      </c>
    </row>
    <row r="201">
      <c r="A201" s="2" t="str">
        <f>HYPERLINK("https://www.avito.ru/tomsk/bytovaya_elektronika/bambu_lab_h2d_combo_eu_dvoynoy_ekstruder_ams_2_pro_8071563889","8071563889")</f>
      </c>
      <c r="B201" t="s">
        <v>258</v>
      </c>
      <c r="C201" t="s">
        <v>259</v>
      </c>
      <c r="D201" t="s">
        <v>260</v>
      </c>
      <c r="E201" t="s">
        <v>39</v>
      </c>
      <c r="F201" t="s">
        <v>40</v>
      </c>
      <c r="G201" t="s">
        <v>41</v>
      </c>
      <c r="H201" s="3" t="str">
        <f>HYPERLINK("https://www.avito.ru/tomsk/bytovaya_elektronika/bambu_lab_h2d_combo_eu_dvoynoy_ekstruder_ams_2_pro_8071563889","Bambu Lab H2D Combo EU — двойной экструдер + AMS 2 Pro")</f>
      </c>
      <c r="I201" t="s">
        <v>142</v>
      </c>
      <c r="J201" t="s">
        <v>78</v>
      </c>
      <c r="K201" t="s">
        <v>84</v>
      </c>
      <c r="L201">
        <v>29</v>
      </c>
      <c r="M201">
        <v>5</v>
      </c>
      <c r="N201" s="4">
        <v>0.2</v>
      </c>
      <c r="O201">
        <v>1</v>
      </c>
      <c r="P201" s="5">
        <v>56</v>
      </c>
      <c r="Q201" s="4">
        <v>0</v>
      </c>
      <c r="R201">
        <v>0</v>
      </c>
      <c r="S201">
        <v>0</v>
      </c>
      <c r="T201">
        <v>0</v>
      </c>
      <c r="U201">
        <v>0</v>
      </c>
      <c r="V201">
        <v>0</v>
      </c>
      <c r="W201">
        <v>0</v>
      </c>
      <c r="X201" s="5" t="s">
        <v>54</v>
      </c>
      <c r="Y201">
        <v>0</v>
      </c>
      <c r="Z201" s="4">
        <v>0</v>
      </c>
      <c r="AA201">
        <v>0</v>
      </c>
      <c r="AB201" s="5">
        <v>0</v>
      </c>
      <c r="AC201">
        <v>0</v>
      </c>
      <c r="AD201" s="5">
        <v>0</v>
      </c>
      <c r="AE201" s="5">
        <v>56</v>
      </c>
      <c r="AF201" s="5">
        <v>0</v>
      </c>
      <c r="AG201" s="5">
        <v>56</v>
      </c>
      <c r="AH201" s="5">
        <v>0</v>
      </c>
      <c r="AI201" s="5">
        <v>0</v>
      </c>
      <c r="AJ201" s="5">
        <v>0</v>
      </c>
    </row>
    <row r="202">
      <c r="A202" s="2" t="str">
        <f>HYPERLINK("https://www.avito.ru/barnaul/bytovaya_elektronika/3d_printer_h2c_combo_eu_est_v_nalichii_vortek_ams_8071564305","8071564305")</f>
      </c>
      <c r="B202" t="s">
        <v>92</v>
      </c>
      <c r="C202" t="s">
        <v>93</v>
      </c>
      <c r="D202" t="s">
        <v>94</v>
      </c>
      <c r="E202" t="s">
        <v>39</v>
      </c>
      <c r="F202" t="s">
        <v>40</v>
      </c>
      <c r="G202" t="s">
        <v>41</v>
      </c>
      <c r="H202" s="3" t="str">
        <f>HYPERLINK("https://www.avito.ru/barnaul/bytovaya_elektronika/3d_printer_h2c_combo_eu_est_v_nalichii_vortek_ams_8071564305","3D принтер H2C Combo EU — есть в наличии, Vortek + AMS")</f>
      </c>
      <c r="I202" t="s">
        <v>61</v>
      </c>
      <c r="J202" t="s">
        <v>78</v>
      </c>
      <c r="K202" t="s">
        <v>79</v>
      </c>
      <c r="L202">
        <v>29</v>
      </c>
      <c r="M202">
        <v>17</v>
      </c>
      <c r="N202" s="4">
        <v>0.0588</v>
      </c>
      <c r="O202">
        <v>1</v>
      </c>
      <c r="P202" s="5">
        <v>56</v>
      </c>
      <c r="Q202" s="4">
        <v>0</v>
      </c>
      <c r="R202">
        <v>0</v>
      </c>
      <c r="S202">
        <v>0</v>
      </c>
      <c r="T202">
        <v>0</v>
      </c>
      <c r="U202">
        <v>0</v>
      </c>
      <c r="V202">
        <v>0</v>
      </c>
      <c r="W202">
        <v>0</v>
      </c>
      <c r="X202" s="5" t="s">
        <v>54</v>
      </c>
      <c r="Y202">
        <v>0</v>
      </c>
      <c r="Z202" s="4">
        <v>0</v>
      </c>
      <c r="AA202">
        <v>0</v>
      </c>
      <c r="AB202" s="5">
        <v>0</v>
      </c>
      <c r="AC202">
        <v>0</v>
      </c>
      <c r="AD202" s="5">
        <v>0</v>
      </c>
      <c r="AE202" s="5">
        <v>56</v>
      </c>
      <c r="AF202" s="5">
        <v>0</v>
      </c>
      <c r="AG202" s="5">
        <v>56</v>
      </c>
      <c r="AH202" s="5">
        <v>0</v>
      </c>
      <c r="AI202" s="5">
        <v>0</v>
      </c>
      <c r="AJ202" s="5">
        <v>0</v>
      </c>
    </row>
    <row r="203">
      <c r="A203" s="2" t="str">
        <f>HYPERLINK("https://www.avito.ru/tomsk/bytovaya_elektronika/3d_printer_h2c_combo_eu_est_v_nalichii_vortek_ams_2_pro_8071573862","8071573862")</f>
      </c>
      <c r="B203" t="s">
        <v>258</v>
      </c>
      <c r="C203" t="s">
        <v>259</v>
      </c>
      <c r="D203" t="s">
        <v>260</v>
      </c>
      <c r="E203" t="s">
        <v>39</v>
      </c>
      <c r="F203" t="s">
        <v>40</v>
      </c>
      <c r="G203" t="s">
        <v>41</v>
      </c>
      <c r="H203" s="3" t="str">
        <f>HYPERLINK("https://www.avito.ru/tomsk/bytovaya_elektronika/3d_printer_h2c_combo_eu_est_v_nalichii_vortek_ams_2_pro_8071573862","3D принтер H2C Combo EU — есть в наличии, Vortek + AMS 2 Pro")</f>
      </c>
      <c r="I203" t="s">
        <v>61</v>
      </c>
      <c r="J203" t="s">
        <v>78</v>
      </c>
      <c r="K203" t="s">
        <v>79</v>
      </c>
      <c r="L203">
        <v>29</v>
      </c>
      <c r="M203">
        <v>106</v>
      </c>
      <c r="N203" s="4">
        <v>0.0283</v>
      </c>
      <c r="O203">
        <v>3</v>
      </c>
      <c r="P203" s="5">
        <v>18.66</v>
      </c>
      <c r="Q203" s="4">
        <v>0</v>
      </c>
      <c r="R203">
        <v>0</v>
      </c>
      <c r="S203">
        <v>0</v>
      </c>
      <c r="T203">
        <v>0</v>
      </c>
      <c r="U203">
        <v>0</v>
      </c>
      <c r="V203">
        <v>0</v>
      </c>
      <c r="W203">
        <v>0</v>
      </c>
      <c r="X203" s="5" t="s">
        <v>54</v>
      </c>
      <c r="Y203">
        <v>0</v>
      </c>
      <c r="Z203" s="4">
        <v>0</v>
      </c>
      <c r="AA203">
        <v>0</v>
      </c>
      <c r="AB203" s="5">
        <v>0</v>
      </c>
      <c r="AC203">
        <v>0</v>
      </c>
      <c r="AD203" s="5">
        <v>0</v>
      </c>
      <c r="AE203" s="5">
        <v>56</v>
      </c>
      <c r="AF203" s="5">
        <v>0</v>
      </c>
      <c r="AG203" s="5">
        <v>56</v>
      </c>
      <c r="AH203" s="5">
        <v>0</v>
      </c>
      <c r="AI203" s="5">
        <v>0</v>
      </c>
      <c r="AJ203" s="5">
        <v>0</v>
      </c>
    </row>
    <row r="204">
      <c r="A204" s="2" t="str">
        <f>HYPERLINK("https://www.avito.ru/nizhniy_novgorod/bytovaya_elektronika/3d_printer_h2c_combo_eu_est_v_nalichii_vortek_ams_8071576179","8071576179")</f>
      </c>
      <c r="B204" t="s">
        <v>137</v>
      </c>
      <c r="C204" t="s">
        <v>138</v>
      </c>
      <c r="D204" t="s">
        <v>139</v>
      </c>
      <c r="E204" t="s">
        <v>39</v>
      </c>
      <c r="F204" t="s">
        <v>40</v>
      </c>
      <c r="G204" t="s">
        <v>41</v>
      </c>
      <c r="H204" s="3" t="str">
        <f>HYPERLINK("https://www.avito.ru/nizhniy_novgorod/bytovaya_elektronika/3d_printer_h2c_combo_eu_est_v_nalichii_vortek_ams_8071576179","3D принтер H2C Combo EU — есть в наличии, Vortek + AMS")</f>
      </c>
      <c r="I204" t="s">
        <v>61</v>
      </c>
      <c r="J204" t="s">
        <v>55</v>
      </c>
      <c r="K204" t="s">
        <v>56</v>
      </c>
      <c r="L204">
        <v>30</v>
      </c>
      <c r="M204">
        <v>13</v>
      </c>
      <c r="N204" s="4">
        <v>0.2307</v>
      </c>
      <c r="O204">
        <v>3</v>
      </c>
      <c r="P204" s="5">
        <v>18.66</v>
      </c>
      <c r="Q204" s="4">
        <v>0</v>
      </c>
      <c r="R204">
        <v>0</v>
      </c>
      <c r="S204">
        <v>0</v>
      </c>
      <c r="T204">
        <v>0</v>
      </c>
      <c r="U204">
        <v>0</v>
      </c>
      <c r="V204">
        <v>0</v>
      </c>
      <c r="W204">
        <v>0</v>
      </c>
      <c r="X204" s="5" t="s">
        <v>54</v>
      </c>
      <c r="Y204">
        <v>0</v>
      </c>
      <c r="Z204" s="4">
        <v>0</v>
      </c>
      <c r="AA204">
        <v>0</v>
      </c>
      <c r="AB204" s="5">
        <v>0</v>
      </c>
      <c r="AC204">
        <v>0</v>
      </c>
      <c r="AD204" s="5">
        <v>0</v>
      </c>
      <c r="AE204" s="5">
        <v>56</v>
      </c>
      <c r="AF204" s="5">
        <v>0</v>
      </c>
      <c r="AG204" s="5">
        <v>56</v>
      </c>
      <c r="AH204" s="5">
        <v>0</v>
      </c>
      <c r="AI204" s="5">
        <v>0</v>
      </c>
      <c r="AJ204" s="5">
        <v>0</v>
      </c>
    </row>
    <row r="205">
      <c r="A205" s="2" t="str">
        <f>HYPERLINK("https://www.avito.ru/sankt-peterburg/bytovaya_elektronika/3d_printer_p2s_combo_bambu_ams_600_mms_pod_zakaz_8071581151","8071581151")</f>
      </c>
      <c r="B205" t="s">
        <v>36</v>
      </c>
      <c r="C205" t="s">
        <v>90</v>
      </c>
      <c r="D205" t="s">
        <v>115</v>
      </c>
      <c r="E205" t="s">
        <v>39</v>
      </c>
      <c r="F205" t="s">
        <v>40</v>
      </c>
      <c r="G205" t="s">
        <v>41</v>
      </c>
      <c r="H205" s="3" t="str">
        <f>HYPERLINK("https://www.avito.ru/sankt-peterburg/bytovaya_elektronika/3d_printer_p2s_combo_bambu_ams_600_mms_pod_zakaz_8071581151","3D принтер P2S Combo Bambu — AMS, 600 мм/с, под заказ")</f>
      </c>
      <c r="I205" t="s">
        <v>263</v>
      </c>
      <c r="J205" t="s">
        <v>89</v>
      </c>
      <c r="K205" t="s">
        <v>84</v>
      </c>
      <c r="L205">
        <v>28</v>
      </c>
      <c r="M205">
        <v>52</v>
      </c>
      <c r="N205" s="4">
        <v>0.0769</v>
      </c>
      <c r="O205">
        <v>4</v>
      </c>
      <c r="P205" s="5">
        <v>14</v>
      </c>
      <c r="Q205" s="4">
        <v>0</v>
      </c>
      <c r="R205">
        <v>0</v>
      </c>
      <c r="S205">
        <v>0</v>
      </c>
      <c r="T205">
        <v>0</v>
      </c>
      <c r="U205">
        <v>0</v>
      </c>
      <c r="V205">
        <v>0</v>
      </c>
      <c r="W205">
        <v>0</v>
      </c>
      <c r="X205" s="5" t="s">
        <v>54</v>
      </c>
      <c r="Y205">
        <v>0</v>
      </c>
      <c r="Z205" s="4">
        <v>0</v>
      </c>
      <c r="AA205">
        <v>0</v>
      </c>
      <c r="AB205" s="5">
        <v>0</v>
      </c>
      <c r="AC205">
        <v>0</v>
      </c>
      <c r="AD205" s="5">
        <v>0</v>
      </c>
      <c r="AE205" s="5">
        <v>56</v>
      </c>
      <c r="AF205" s="5">
        <v>0</v>
      </c>
      <c r="AG205" s="5">
        <v>56</v>
      </c>
      <c r="AH205" s="5">
        <v>0</v>
      </c>
      <c r="AI205" s="5">
        <v>0</v>
      </c>
      <c r="AJ205" s="5">
        <v>0</v>
      </c>
    </row>
    <row r="206">
      <c r="A206" s="2" t="str">
        <f>HYPERLINK("https://www.avito.ru/sankt-peterburg/bytovaya_elektronika/h2c_full_combo_laser_10w_eu_gravirovka_metalla_i_dereva_8071584420","8071584420")</f>
      </c>
      <c r="B206" t="s">
        <v>36</v>
      </c>
      <c r="C206" t="s">
        <v>90</v>
      </c>
      <c r="D206" t="s">
        <v>115</v>
      </c>
      <c r="E206" t="s">
        <v>39</v>
      </c>
      <c r="F206" t="s">
        <v>40</v>
      </c>
      <c r="G206" t="s">
        <v>41</v>
      </c>
      <c r="H206" s="3" t="str">
        <f>HYPERLINK("https://www.avito.ru/sankt-peterburg/bytovaya_elektronika/h2c_full_combo_laser_10w_eu_gravirovka_metalla_i_dereva_8071584420","H2C Full Combo Laser 10W EU — гравировка металла и дерева")</f>
      </c>
      <c r="I206" t="s">
        <v>218</v>
      </c>
      <c r="J206" t="s">
        <v>55</v>
      </c>
      <c r="K206" t="s">
        <v>56</v>
      </c>
      <c r="L206">
        <v>30</v>
      </c>
      <c r="M206">
        <v>125</v>
      </c>
      <c r="N206" s="4">
        <v>0.072</v>
      </c>
      <c r="O206">
        <v>9</v>
      </c>
      <c r="P206" s="5">
        <v>6.22</v>
      </c>
      <c r="Q206" s="4">
        <v>0</v>
      </c>
      <c r="R206">
        <v>0</v>
      </c>
      <c r="S206">
        <v>0</v>
      </c>
      <c r="T206">
        <v>0</v>
      </c>
      <c r="U206">
        <v>0</v>
      </c>
      <c r="V206">
        <v>0</v>
      </c>
      <c r="W206">
        <v>0</v>
      </c>
      <c r="X206" s="5" t="s">
        <v>54</v>
      </c>
      <c r="Y206">
        <v>1</v>
      </c>
      <c r="Z206" s="4">
        <v>0</v>
      </c>
      <c r="AA206">
        <v>0</v>
      </c>
      <c r="AB206" s="5">
        <v>0</v>
      </c>
      <c r="AC206">
        <v>0</v>
      </c>
      <c r="AD206" s="5">
        <v>0</v>
      </c>
      <c r="AE206" s="5">
        <v>56</v>
      </c>
      <c r="AF206" s="5">
        <v>0</v>
      </c>
      <c r="AG206" s="5">
        <v>56</v>
      </c>
      <c r="AH206" s="5">
        <v>0</v>
      </c>
      <c r="AI206" s="5">
        <v>0</v>
      </c>
      <c r="AJ206" s="5">
        <v>0</v>
      </c>
    </row>
    <row r="207">
      <c r="A207" s="2" t="str">
        <f>HYPERLINK("https://www.avito.ru/rostov-na-donu/bytovaya_elektronika/bambu_lab_h2s_combo_ams_2_pro_eu_dostavka_po_rf_8071593243","8071593243")</f>
      </c>
      <c r="B207" t="s">
        <v>70</v>
      </c>
      <c r="C207" t="s">
        <v>71</v>
      </c>
      <c r="D207" t="s">
        <v>264</v>
      </c>
      <c r="E207" t="s">
        <v>39</v>
      </c>
      <c r="F207" t="s">
        <v>40</v>
      </c>
      <c r="G207" t="s">
        <v>41</v>
      </c>
      <c r="H207" s="3" t="str">
        <f>HYPERLINK("https://www.avito.ru/rostov-na-donu/bytovaya_elektronika/bambu_lab_h2s_combo_ams_2_pro_eu_dostavka_po_rf_8071593243","Bambu Lab H2S Combo AMS 2 Pro EU — доставка по РФ")</f>
      </c>
      <c r="I207" t="s">
        <v>80</v>
      </c>
      <c r="J207" t="s">
        <v>55</v>
      </c>
      <c r="K207" t="s">
        <v>56</v>
      </c>
      <c r="L207">
        <v>30</v>
      </c>
      <c r="M207">
        <v>231</v>
      </c>
      <c r="N207" s="4">
        <v>0.1125</v>
      </c>
      <c r="O207">
        <v>26</v>
      </c>
      <c r="P207" s="5">
        <v>2.15</v>
      </c>
      <c r="Q207" s="4">
        <v>0</v>
      </c>
      <c r="R207">
        <v>0</v>
      </c>
      <c r="S207">
        <v>0</v>
      </c>
      <c r="T207">
        <v>0</v>
      </c>
      <c r="U207">
        <v>0</v>
      </c>
      <c r="V207">
        <v>0</v>
      </c>
      <c r="W207">
        <v>0</v>
      </c>
      <c r="X207" s="5" t="s">
        <v>54</v>
      </c>
      <c r="Y207">
        <v>0</v>
      </c>
      <c r="Z207" s="4">
        <v>0</v>
      </c>
      <c r="AA207">
        <v>0</v>
      </c>
      <c r="AB207" s="5">
        <v>0</v>
      </c>
      <c r="AC207">
        <v>0</v>
      </c>
      <c r="AD207" s="5">
        <v>0</v>
      </c>
      <c r="AE207" s="5">
        <v>56</v>
      </c>
      <c r="AF207" s="5">
        <v>0</v>
      </c>
      <c r="AG207" s="5">
        <v>56</v>
      </c>
      <c r="AH207" s="5">
        <v>0</v>
      </c>
      <c r="AI207" s="5">
        <v>0</v>
      </c>
      <c r="AJ207" s="5">
        <v>0</v>
      </c>
    </row>
    <row r="208">
      <c r="A208" s="2" t="str">
        <f>HYPERLINK("https://www.avito.ru/moskva/bytovaya_elektronika/elegoo_giga_storm_8008001000_moskva_8071593327","8071593327")</f>
      </c>
      <c r="B208" t="s">
        <v>36</v>
      </c>
      <c r="C208" t="s">
        <v>37</v>
      </c>
      <c r="D208" t="s">
        <v>38</v>
      </c>
      <c r="E208" t="s">
        <v>39</v>
      </c>
      <c r="F208" t="s">
        <v>40</v>
      </c>
      <c r="G208" t="s">
        <v>41</v>
      </c>
      <c r="H208" s="3" t="str">
        <f>HYPERLINK("https://www.avito.ru/moskva/bytovaya_elektronika/elegoo_giga_storm_8008001000_moskva_8071593327","Elegoo Giga Storm 8008001000 — Москва")</f>
      </c>
      <c r="I208" t="s">
        <v>251</v>
      </c>
      <c r="J208" t="s">
        <v>89</v>
      </c>
      <c r="K208" t="s">
        <v>84</v>
      </c>
      <c r="L208">
        <v>28</v>
      </c>
      <c r="M208">
        <v>29</v>
      </c>
      <c r="N208" s="4">
        <v>0.3793</v>
      </c>
      <c r="O208">
        <v>11</v>
      </c>
      <c r="P208" s="5">
        <v>7.72</v>
      </c>
      <c r="Q208" s="4">
        <v>0</v>
      </c>
      <c r="R208">
        <v>0</v>
      </c>
      <c r="S208">
        <v>0</v>
      </c>
      <c r="T208">
        <v>0</v>
      </c>
      <c r="U208">
        <v>0</v>
      </c>
      <c r="V208">
        <v>0</v>
      </c>
      <c r="W208">
        <v>0</v>
      </c>
      <c r="X208" s="5" t="s">
        <v>54</v>
      </c>
      <c r="Y208">
        <v>2</v>
      </c>
      <c r="Z208" s="4">
        <v>0</v>
      </c>
      <c r="AA208">
        <v>0</v>
      </c>
      <c r="AB208" s="5">
        <v>0</v>
      </c>
      <c r="AC208">
        <v>0</v>
      </c>
      <c r="AD208" s="5">
        <v>0</v>
      </c>
      <c r="AE208" s="5">
        <v>85</v>
      </c>
      <c r="AF208" s="5">
        <v>0</v>
      </c>
      <c r="AG208" s="5">
        <v>85</v>
      </c>
      <c r="AH208" s="5">
        <v>0</v>
      </c>
      <c r="AI208" s="5">
        <v>0</v>
      </c>
      <c r="AJ208" s="5">
        <v>0</v>
      </c>
    </row>
    <row r="209">
      <c r="A209" s="2" t="str">
        <f>HYPERLINK("https://www.avito.ru/irkutsk/bytovaya_elektronika/h2d_combo_ams_2_pro_eu_dvoynoy_ekstruder_ai-kamera_8071594671","8071594671")</f>
      </c>
      <c r="B209" t="s">
        <v>130</v>
      </c>
      <c r="C209" t="s">
        <v>131</v>
      </c>
      <c r="D209" t="s">
        <v>161</v>
      </c>
      <c r="E209" t="s">
        <v>39</v>
      </c>
      <c r="F209" t="s">
        <v>40</v>
      </c>
      <c r="G209" t="s">
        <v>41</v>
      </c>
      <c r="H209" s="3" t="str">
        <f>HYPERLINK("https://www.avito.ru/irkutsk/bytovaya_elektronika/h2d_combo_ams_2_pro_eu_dvoynoy_ekstruder_ai-kamera_8071594671","H2D Combo AMS 2 Pro EU — двойной экструдер, AI-камера")</f>
      </c>
      <c r="I209" t="s">
        <v>142</v>
      </c>
      <c r="J209" t="s">
        <v>78</v>
      </c>
      <c r="K209" t="s">
        <v>79</v>
      </c>
      <c r="L209">
        <v>29</v>
      </c>
      <c r="M209">
        <v>31</v>
      </c>
      <c r="N209" s="4">
        <v>0.0322</v>
      </c>
      <c r="O209">
        <v>1</v>
      </c>
      <c r="P209" s="5">
        <v>56</v>
      </c>
      <c r="Q209" s="4">
        <v>0</v>
      </c>
      <c r="R209">
        <v>0</v>
      </c>
      <c r="S209">
        <v>0</v>
      </c>
      <c r="T209">
        <v>0</v>
      </c>
      <c r="U209">
        <v>0</v>
      </c>
      <c r="V209">
        <v>0</v>
      </c>
      <c r="W209">
        <v>0</v>
      </c>
      <c r="X209" s="5" t="s">
        <v>54</v>
      </c>
      <c r="Y209">
        <v>0</v>
      </c>
      <c r="Z209" s="4">
        <v>0</v>
      </c>
      <c r="AA209">
        <v>0</v>
      </c>
      <c r="AB209" s="5">
        <v>0</v>
      </c>
      <c r="AC209">
        <v>0</v>
      </c>
      <c r="AD209" s="5">
        <v>0</v>
      </c>
      <c r="AE209" s="5">
        <v>56</v>
      </c>
      <c r="AF209" s="5">
        <v>0</v>
      </c>
      <c r="AG209" s="5">
        <v>56</v>
      </c>
      <c r="AH209" s="5">
        <v>0</v>
      </c>
      <c r="AI209" s="5">
        <v>0</v>
      </c>
      <c r="AJ209" s="5">
        <v>0</v>
      </c>
    </row>
    <row r="210">
      <c r="A210" s="2" t="str">
        <f>HYPERLINK("https://www.avito.ru/krasnodar/bytovaya_elektronika/3d_printer_h2d_laser_40w_cn_pod_zakaz_sdek_8071594877","8071594877")</f>
      </c>
      <c r="B210" t="s">
        <v>58</v>
      </c>
      <c r="C210" t="s">
        <v>59</v>
      </c>
      <c r="D210" t="s">
        <v>66</v>
      </c>
      <c r="E210" t="s">
        <v>39</v>
      </c>
      <c r="F210" t="s">
        <v>40</v>
      </c>
      <c r="G210" t="s">
        <v>41</v>
      </c>
      <c r="H210" s="3" t="str">
        <f>HYPERLINK("https://www.avito.ru/krasnodar/bytovaya_elektronika/3d_printer_h2d_laser_40w_cn_pod_zakaz_sdek_8071594877","3D принтер H2D Laser 40W CN — под заказ, сдэк")</f>
      </c>
      <c r="I210" t="s">
        <v>200</v>
      </c>
      <c r="J210" t="s">
        <v>78</v>
      </c>
      <c r="K210" t="s">
        <v>79</v>
      </c>
      <c r="L210">
        <v>29</v>
      </c>
      <c r="M210">
        <v>27</v>
      </c>
      <c r="N210" s="4">
        <v>0</v>
      </c>
      <c r="O210">
        <v>0</v>
      </c>
      <c r="P210" s="5" t="s">
        <v>54</v>
      </c>
      <c r="Q210" s="4" t="s">
        <v>54</v>
      </c>
      <c r="R210">
        <v>0</v>
      </c>
      <c r="S210">
        <v>0</v>
      </c>
      <c r="T210">
        <v>0</v>
      </c>
      <c r="U210">
        <v>0</v>
      </c>
      <c r="V210">
        <v>0</v>
      </c>
      <c r="W210">
        <v>0</v>
      </c>
      <c r="X210" s="5" t="s">
        <v>54</v>
      </c>
      <c r="Y210">
        <v>0</v>
      </c>
      <c r="Z210" s="4" t="s">
        <v>54</v>
      </c>
      <c r="AA210">
        <v>0</v>
      </c>
      <c r="AB210" s="5">
        <v>0</v>
      </c>
      <c r="AC210">
        <v>0</v>
      </c>
      <c r="AD210" s="5">
        <v>0</v>
      </c>
      <c r="AE210" s="5">
        <v>56</v>
      </c>
      <c r="AF210" s="5">
        <v>0</v>
      </c>
      <c r="AG210" s="5">
        <v>56</v>
      </c>
      <c r="AH210" s="5">
        <v>0</v>
      </c>
      <c r="AI210" s="5">
        <v>0</v>
      </c>
      <c r="AJ210" s="5">
        <v>0</v>
      </c>
    </row>
    <row r="211">
      <c r="A211" s="2" t="str">
        <f>HYPERLINK("https://www.avito.ru/nizhniy_novgorod/bytovaya_elektronika/3d-printer_elegoo_giga_storm_nizhniy_novgorod_8071597113","8071597113")</f>
      </c>
      <c r="B211" t="s">
        <v>137</v>
      </c>
      <c r="C211" t="s">
        <v>138</v>
      </c>
      <c r="D211" t="s">
        <v>139</v>
      </c>
      <c r="E211" t="s">
        <v>39</v>
      </c>
      <c r="F211" t="s">
        <v>40</v>
      </c>
      <c r="G211" t="s">
        <v>41</v>
      </c>
      <c r="H211" s="3" t="str">
        <f>HYPERLINK("https://www.avito.ru/nizhniy_novgorod/bytovaya_elektronika/3d-printer_elegoo_giga_storm_nizhniy_novgorod_8071597113","3D-принтер Elegoo Giga Storm — Нижний Новгород")</f>
      </c>
      <c r="I211" t="s">
        <v>265</v>
      </c>
      <c r="J211" t="s">
        <v>89</v>
      </c>
      <c r="K211" t="s">
        <v>84</v>
      </c>
      <c r="L211">
        <v>28</v>
      </c>
      <c r="M211">
        <v>154</v>
      </c>
      <c r="N211" s="4">
        <v>0.0389</v>
      </c>
      <c r="O211">
        <v>6</v>
      </c>
      <c r="P211" s="5">
        <v>9.33</v>
      </c>
      <c r="Q211" s="4">
        <v>0</v>
      </c>
      <c r="R211">
        <v>0</v>
      </c>
      <c r="S211">
        <v>0</v>
      </c>
      <c r="T211">
        <v>0</v>
      </c>
      <c r="U211">
        <v>0</v>
      </c>
      <c r="V211">
        <v>0</v>
      </c>
      <c r="W211">
        <v>0</v>
      </c>
      <c r="X211" s="5" t="s">
        <v>54</v>
      </c>
      <c r="Y211">
        <v>0</v>
      </c>
      <c r="Z211" s="4">
        <v>0</v>
      </c>
      <c r="AA211">
        <v>0</v>
      </c>
      <c r="AB211" s="5">
        <v>0</v>
      </c>
      <c r="AC211">
        <v>0</v>
      </c>
      <c r="AD211" s="5">
        <v>0</v>
      </c>
      <c r="AE211" s="5">
        <v>56</v>
      </c>
      <c r="AF211" s="5">
        <v>0</v>
      </c>
      <c r="AG211" s="5">
        <v>56</v>
      </c>
      <c r="AH211" s="5">
        <v>0</v>
      </c>
      <c r="AI211" s="5">
        <v>0</v>
      </c>
      <c r="AJ211" s="5">
        <v>0</v>
      </c>
    </row>
    <row r="212">
      <c r="A212" s="2" t="str">
        <f>HYPERLINK("https://www.avito.ru/ryazan/bytovaya_elektronika/bambu_lab_h2d_ams_2_pro_eu_dostavka_sdek_2527_dney_8071598960","8071598960")</f>
      </c>
      <c r="B212" t="s">
        <v>179</v>
      </c>
      <c r="C212" t="s">
        <v>180</v>
      </c>
      <c r="D212" t="s">
        <v>211</v>
      </c>
      <c r="E212" t="s">
        <v>39</v>
      </c>
      <c r="F212" t="s">
        <v>40</v>
      </c>
      <c r="G212" t="s">
        <v>41</v>
      </c>
      <c r="H212" s="3" t="str">
        <f>HYPERLINK("https://www.avito.ru/ryazan/bytovaya_elektronika/bambu_lab_h2d_ams_2_pro_eu_dostavka_sdek_2527_dney_8071598960","Bambu Lab H2D AMS 2 Pro EU — доставка сдэк 25–27 дней")</f>
      </c>
      <c r="I212" t="s">
        <v>96</v>
      </c>
      <c r="J212" t="s">
        <v>78</v>
      </c>
      <c r="K212" t="s">
        <v>84</v>
      </c>
      <c r="L212">
        <v>29</v>
      </c>
      <c r="M212">
        <v>503</v>
      </c>
      <c r="N212" s="4">
        <v>0.0258</v>
      </c>
      <c r="O212">
        <v>13</v>
      </c>
      <c r="P212" s="5">
        <v>4.3</v>
      </c>
      <c r="Q212" s="4">
        <v>0</v>
      </c>
      <c r="R212">
        <v>0</v>
      </c>
      <c r="S212">
        <v>0</v>
      </c>
      <c r="T212">
        <v>0</v>
      </c>
      <c r="U212">
        <v>0</v>
      </c>
      <c r="V212">
        <v>0</v>
      </c>
      <c r="W212">
        <v>0</v>
      </c>
      <c r="X212" s="5" t="s">
        <v>54</v>
      </c>
      <c r="Y212">
        <v>1</v>
      </c>
      <c r="Z212" s="4">
        <v>0</v>
      </c>
      <c r="AA212">
        <v>0</v>
      </c>
      <c r="AB212" s="5">
        <v>0</v>
      </c>
      <c r="AC212">
        <v>0</v>
      </c>
      <c r="AD212" s="5">
        <v>0</v>
      </c>
      <c r="AE212" s="5">
        <v>56</v>
      </c>
      <c r="AF212" s="5">
        <v>0</v>
      </c>
      <c r="AG212" s="5">
        <v>56</v>
      </c>
      <c r="AH212" s="5">
        <v>0</v>
      </c>
      <c r="AI212" s="5">
        <v>0</v>
      </c>
      <c r="AJ212" s="5">
        <v>0</v>
      </c>
    </row>
    <row r="213">
      <c r="A213" s="2" t="str">
        <f>HYPERLINK("https://www.avito.ru/mahachkala/bytovaya_elektronika/3d_printer_h2c_combo_eu_nalichie_dostavka_37_dney_8071601201","8071601201")</f>
      </c>
      <c r="B213" t="s">
        <v>247</v>
      </c>
      <c r="C213" t="s">
        <v>248</v>
      </c>
      <c r="D213" t="s">
        <v>249</v>
      </c>
      <c r="E213" t="s">
        <v>39</v>
      </c>
      <c r="F213" t="s">
        <v>40</v>
      </c>
      <c r="G213" t="s">
        <v>41</v>
      </c>
      <c r="H213" s="3" t="str">
        <f>HYPERLINK("https://www.avito.ru/mahachkala/bytovaya_elektronika/3d_printer_h2c_combo_eu_nalichie_dostavka_37_dney_8071601201","3D принтер H2C Combo EU — наличие, доставка 3–7 дней")</f>
      </c>
      <c r="I213" t="s">
        <v>61</v>
      </c>
      <c r="J213" t="s">
        <v>78</v>
      </c>
      <c r="K213" t="s">
        <v>84</v>
      </c>
      <c r="L213">
        <v>29</v>
      </c>
      <c r="M213">
        <v>23</v>
      </c>
      <c r="N213" s="4">
        <v>0.0869</v>
      </c>
      <c r="O213">
        <v>2</v>
      </c>
      <c r="P213" s="5">
        <v>28</v>
      </c>
      <c r="Q213" s="4">
        <v>0</v>
      </c>
      <c r="R213">
        <v>0</v>
      </c>
      <c r="S213">
        <v>0</v>
      </c>
      <c r="T213">
        <v>0</v>
      </c>
      <c r="U213">
        <v>0</v>
      </c>
      <c r="V213">
        <v>0</v>
      </c>
      <c r="W213">
        <v>0</v>
      </c>
      <c r="X213" s="5" t="s">
        <v>54</v>
      </c>
      <c r="Y213">
        <v>0</v>
      </c>
      <c r="Z213" s="4">
        <v>0</v>
      </c>
      <c r="AA213">
        <v>0</v>
      </c>
      <c r="AB213" s="5">
        <v>0</v>
      </c>
      <c r="AC213">
        <v>0</v>
      </c>
      <c r="AD213" s="5">
        <v>0</v>
      </c>
      <c r="AE213" s="5">
        <v>56</v>
      </c>
      <c r="AF213" s="5">
        <v>0</v>
      </c>
      <c r="AG213" s="5">
        <v>56</v>
      </c>
      <c r="AH213" s="5">
        <v>0</v>
      </c>
      <c r="AI213" s="5">
        <v>0</v>
      </c>
      <c r="AJ213" s="5">
        <v>0</v>
      </c>
    </row>
    <row r="214">
      <c r="A214" s="2" t="str">
        <f>HYPERLINK("https://www.avito.ru/kazan/bytovaya_elektronika/h2d_pro_combo_ams_eu_topovyy_bambu_lab_pod_zakaz_8071602094","8071602094")</f>
      </c>
      <c r="B214" t="s">
        <v>97</v>
      </c>
      <c r="C214" t="s">
        <v>98</v>
      </c>
      <c r="D214" t="s">
        <v>99</v>
      </c>
      <c r="E214" t="s">
        <v>39</v>
      </c>
      <c r="F214" t="s">
        <v>40</v>
      </c>
      <c r="G214" t="s">
        <v>41</v>
      </c>
      <c r="H214" s="3" t="str">
        <f>HYPERLINK("https://www.avito.ru/kazan/bytovaya_elektronika/h2d_pro_combo_ams_eu_topovyy_bambu_lab_pod_zakaz_8071602094","H2D PRO Combo AMS EU — топовый Bambu Lab под заказ")</f>
      </c>
      <c r="I214" t="s">
        <v>194</v>
      </c>
      <c r="J214" t="s">
        <v>78</v>
      </c>
      <c r="K214" t="s">
        <v>84</v>
      </c>
      <c r="L214">
        <v>29</v>
      </c>
      <c r="M214">
        <v>11</v>
      </c>
      <c r="N214" s="4">
        <v>0.1818</v>
      </c>
      <c r="O214">
        <v>2</v>
      </c>
      <c r="P214" s="5">
        <v>28</v>
      </c>
      <c r="Q214" s="4">
        <v>0</v>
      </c>
      <c r="R214">
        <v>0</v>
      </c>
      <c r="S214">
        <v>0</v>
      </c>
      <c r="T214">
        <v>0</v>
      </c>
      <c r="U214">
        <v>0</v>
      </c>
      <c r="V214">
        <v>0</v>
      </c>
      <c r="W214">
        <v>0</v>
      </c>
      <c r="X214" s="5" t="s">
        <v>54</v>
      </c>
      <c r="Y214">
        <v>0</v>
      </c>
      <c r="Z214" s="4">
        <v>0</v>
      </c>
      <c r="AA214">
        <v>0</v>
      </c>
      <c r="AB214" s="5">
        <v>0</v>
      </c>
      <c r="AC214">
        <v>0</v>
      </c>
      <c r="AD214" s="5">
        <v>0</v>
      </c>
      <c r="AE214" s="5">
        <v>56</v>
      </c>
      <c r="AF214" s="5">
        <v>0</v>
      </c>
      <c r="AG214" s="5">
        <v>56</v>
      </c>
      <c r="AH214" s="5">
        <v>0</v>
      </c>
      <c r="AI214" s="5">
        <v>0</v>
      </c>
      <c r="AJ214" s="5">
        <v>0</v>
      </c>
    </row>
    <row r="215">
      <c r="A215" s="2" t="str">
        <f>HYPERLINK("https://www.avito.ru/astrahan/bytovaya_elektronika/h2d_combo_ams_2_pro_eu_dvoynoy_ekstruder_ai-kamera_8071603211","8071603211")</f>
      </c>
      <c r="B215" t="s">
        <v>212</v>
      </c>
      <c r="C215" t="s">
        <v>213</v>
      </c>
      <c r="D215" t="s">
        <v>214</v>
      </c>
      <c r="E215" t="s">
        <v>39</v>
      </c>
      <c r="F215" t="s">
        <v>40</v>
      </c>
      <c r="G215" t="s">
        <v>41</v>
      </c>
      <c r="H215" s="3" t="str">
        <f>HYPERLINK("https://www.avito.ru/astrahan/bytovaya_elektronika/h2d_combo_ams_2_pro_eu_dvoynoy_ekstruder_ai-kamera_8071603211","H2D Combo AMS 2 Pro EU — двойной экструдер, AI-камера")</f>
      </c>
      <c r="I215" t="s">
        <v>142</v>
      </c>
      <c r="J215" t="s">
        <v>78</v>
      </c>
      <c r="K215" t="s">
        <v>84</v>
      </c>
      <c r="L215">
        <v>29</v>
      </c>
      <c r="M215">
        <v>4</v>
      </c>
      <c r="N215" s="4">
        <v>0</v>
      </c>
      <c r="O215">
        <v>0</v>
      </c>
      <c r="P215" s="5" t="s">
        <v>54</v>
      </c>
      <c r="Q215" s="4" t="s">
        <v>54</v>
      </c>
      <c r="R215">
        <v>0</v>
      </c>
      <c r="S215">
        <v>0</v>
      </c>
      <c r="T215">
        <v>0</v>
      </c>
      <c r="U215">
        <v>0</v>
      </c>
      <c r="V215">
        <v>0</v>
      </c>
      <c r="W215">
        <v>0</v>
      </c>
      <c r="X215" s="5" t="s">
        <v>54</v>
      </c>
      <c r="Y215">
        <v>0</v>
      </c>
      <c r="Z215" s="4" t="s">
        <v>54</v>
      </c>
      <c r="AA215">
        <v>0</v>
      </c>
      <c r="AB215" s="5">
        <v>0</v>
      </c>
      <c r="AC215">
        <v>0</v>
      </c>
      <c r="AD215" s="5">
        <v>0</v>
      </c>
      <c r="AE215" s="5">
        <v>56</v>
      </c>
      <c r="AF215" s="5">
        <v>0</v>
      </c>
      <c r="AG215" s="5">
        <v>56</v>
      </c>
      <c r="AH215" s="5">
        <v>0</v>
      </c>
      <c r="AI215" s="5">
        <v>0</v>
      </c>
      <c r="AJ215" s="5">
        <v>0</v>
      </c>
    </row>
    <row r="216">
      <c r="A216" s="2" t="str">
        <f>HYPERLINK("https://www.avito.ru/chelyabinsk/bytovaya_elektronika/h2c_combo_cn_bambu_lab_vortek_vygodnaya_tsena_pod_zakaz_8071611354","8071611354")</f>
      </c>
      <c r="B216" t="s">
        <v>175</v>
      </c>
      <c r="C216" t="s">
        <v>176</v>
      </c>
      <c r="D216" t="s">
        <v>177</v>
      </c>
      <c r="E216" t="s">
        <v>39</v>
      </c>
      <c r="F216" t="s">
        <v>40</v>
      </c>
      <c r="G216" t="s">
        <v>41</v>
      </c>
      <c r="H216" s="3" t="str">
        <f>HYPERLINK("https://www.avito.ru/chelyabinsk/bytovaya_elektronika/h2c_combo_cn_bambu_lab_vortek_vygodnaya_tsena_pod_zakaz_8071611354","H2C Combo CN Bambu Lab — Vortek, выгодная цена, под заказ")</f>
      </c>
      <c r="I216" t="s">
        <v>266</v>
      </c>
      <c r="J216" t="s">
        <v>89</v>
      </c>
      <c r="K216" t="s">
        <v>84</v>
      </c>
      <c r="L216">
        <v>28</v>
      </c>
      <c r="M216">
        <v>33</v>
      </c>
      <c r="N216" s="4">
        <v>0</v>
      </c>
      <c r="O216">
        <v>0</v>
      </c>
      <c r="P216" s="5" t="s">
        <v>54</v>
      </c>
      <c r="Q216" s="4" t="s">
        <v>54</v>
      </c>
      <c r="R216">
        <v>0</v>
      </c>
      <c r="S216">
        <v>0</v>
      </c>
      <c r="T216">
        <v>0</v>
      </c>
      <c r="U216">
        <v>0</v>
      </c>
      <c r="V216">
        <v>0</v>
      </c>
      <c r="W216">
        <v>0</v>
      </c>
      <c r="X216" s="5" t="s">
        <v>54</v>
      </c>
      <c r="Y216">
        <v>0</v>
      </c>
      <c r="Z216" s="4" t="s">
        <v>54</v>
      </c>
      <c r="AA216">
        <v>0</v>
      </c>
      <c r="AB216" s="5">
        <v>0</v>
      </c>
      <c r="AC216">
        <v>0</v>
      </c>
      <c r="AD216" s="5">
        <v>0</v>
      </c>
      <c r="AE216" s="5">
        <v>56</v>
      </c>
      <c r="AF216" s="5">
        <v>0</v>
      </c>
      <c r="AG216" s="5">
        <v>56</v>
      </c>
      <c r="AH216" s="5">
        <v>0</v>
      </c>
      <c r="AI216" s="5">
        <v>0</v>
      </c>
      <c r="AJ216" s="5">
        <v>0</v>
      </c>
    </row>
    <row r="217">
      <c r="A217" s="2" t="str">
        <f>HYPERLINK("https://www.avito.ru/krasnodar/bytovaya_elektronika/3d_printer_h2d_combo_cn_ekonomiya_bez_poteri_kachestva_8071612346","8071612346")</f>
      </c>
      <c r="B217" t="s">
        <v>58</v>
      </c>
      <c r="C217" t="s">
        <v>59</v>
      </c>
      <c r="D217" t="s">
        <v>66</v>
      </c>
      <c r="E217" t="s">
        <v>39</v>
      </c>
      <c r="F217" t="s">
        <v>40</v>
      </c>
      <c r="G217" t="s">
        <v>41</v>
      </c>
      <c r="H217" s="3" t="str">
        <f>HYPERLINK("https://www.avito.ru/krasnodar/bytovaya_elektronika/3d_printer_h2d_combo_cn_ekonomiya_bez_poteri_kachestva_8071612346","3D принтер H2D Combo CN — экономия без потери качества")</f>
      </c>
      <c r="I217" t="s">
        <v>159</v>
      </c>
      <c r="J217" t="s">
        <v>55</v>
      </c>
      <c r="K217" t="s">
        <v>56</v>
      </c>
      <c r="L217">
        <v>30</v>
      </c>
      <c r="M217">
        <v>109</v>
      </c>
      <c r="N217" s="4">
        <v>0.2568</v>
      </c>
      <c r="O217">
        <v>28</v>
      </c>
      <c r="P217" s="5">
        <v>2</v>
      </c>
      <c r="Q217" s="4">
        <v>0</v>
      </c>
      <c r="R217">
        <v>0</v>
      </c>
      <c r="S217">
        <v>0</v>
      </c>
      <c r="T217">
        <v>0</v>
      </c>
      <c r="U217">
        <v>0</v>
      </c>
      <c r="V217">
        <v>0</v>
      </c>
      <c r="W217">
        <v>0</v>
      </c>
      <c r="X217" s="5" t="s">
        <v>54</v>
      </c>
      <c r="Y217">
        <v>2</v>
      </c>
      <c r="Z217" s="4">
        <v>0</v>
      </c>
      <c r="AA217">
        <v>0</v>
      </c>
      <c r="AB217" s="5">
        <v>0</v>
      </c>
      <c r="AC217">
        <v>0</v>
      </c>
      <c r="AD217" s="5">
        <v>0</v>
      </c>
      <c r="AE217" s="5">
        <v>56</v>
      </c>
      <c r="AF217" s="5">
        <v>0</v>
      </c>
      <c r="AG217" s="5">
        <v>56</v>
      </c>
      <c r="AH217" s="5">
        <v>0</v>
      </c>
      <c r="AI217" s="5">
        <v>0</v>
      </c>
      <c r="AJ217" s="5">
        <v>0</v>
      </c>
    </row>
    <row r="218">
      <c r="A218" s="2" t="str">
        <f>HYPERLINK("https://www.avito.ru/moskva/bytovaya_elektronika/h2d_laser_10w_cn_lazer_3d-pechat_tsena_nizhe_eu_8071616791","8071616791")</f>
      </c>
      <c r="B218" t="s">
        <v>36</v>
      </c>
      <c r="C218" t="s">
        <v>37</v>
      </c>
      <c r="D218" t="s">
        <v>38</v>
      </c>
      <c r="E218" t="s">
        <v>39</v>
      </c>
      <c r="F218" t="s">
        <v>40</v>
      </c>
      <c r="G218" t="s">
        <v>41</v>
      </c>
      <c r="H218" s="3" t="str">
        <f>HYPERLINK("https://www.avito.ru/moskva/bytovaya_elektronika/h2d_laser_10w_cn_lazer_3d-pechat_tsena_nizhe_eu_8071616791","H2D Laser 10W CN — лазер + 3D-печать, цена ниже EU")</f>
      </c>
      <c r="I218" t="s">
        <v>240</v>
      </c>
      <c r="J218" t="s">
        <v>78</v>
      </c>
      <c r="K218" t="s">
        <v>84</v>
      </c>
      <c r="L218">
        <v>29</v>
      </c>
      <c r="M218">
        <v>2</v>
      </c>
      <c r="N218" s="4">
        <v>0.5</v>
      </c>
      <c r="O218">
        <v>1</v>
      </c>
      <c r="P218" s="5">
        <v>85</v>
      </c>
      <c r="Q218" s="4">
        <v>0</v>
      </c>
      <c r="R218">
        <v>0</v>
      </c>
      <c r="S218">
        <v>0</v>
      </c>
      <c r="T218">
        <v>0</v>
      </c>
      <c r="U218">
        <v>0</v>
      </c>
      <c r="V218">
        <v>0</v>
      </c>
      <c r="W218">
        <v>0</v>
      </c>
      <c r="X218" s="5" t="s">
        <v>54</v>
      </c>
      <c r="Y218">
        <v>0</v>
      </c>
      <c r="Z218" s="4">
        <v>0</v>
      </c>
      <c r="AA218">
        <v>0</v>
      </c>
      <c r="AB218" s="5">
        <v>0</v>
      </c>
      <c r="AC218">
        <v>0</v>
      </c>
      <c r="AD218" s="5">
        <v>0</v>
      </c>
      <c r="AE218" s="5">
        <v>85</v>
      </c>
      <c r="AF218" s="5">
        <v>0</v>
      </c>
      <c r="AG218" s="5">
        <v>85</v>
      </c>
      <c r="AH218" s="5">
        <v>0</v>
      </c>
      <c r="AI218" s="5">
        <v>0</v>
      </c>
      <c r="AJ218" s="5">
        <v>0</v>
      </c>
    </row>
    <row r="219">
      <c r="A219" s="2" t="str">
        <f>HYPERLINK("https://www.avito.ru/moskva/bytovaya_elektronika/3d_printer_h2d_eu_bambu_lab_1000_mms_pod_zakaz_8071617059","8071617059")</f>
      </c>
      <c r="B219" t="s">
        <v>36</v>
      </c>
      <c r="C219" t="s">
        <v>37</v>
      </c>
      <c r="D219" t="s">
        <v>52</v>
      </c>
      <c r="E219" t="s">
        <v>39</v>
      </c>
      <c r="F219" t="s">
        <v>40</v>
      </c>
      <c r="G219" t="s">
        <v>41</v>
      </c>
      <c r="H219" s="3" t="str">
        <f>HYPERLINK("https://www.avito.ru/moskva/bytovaya_elektronika/3d_printer_h2d_eu_bambu_lab_1000_mms_pod_zakaz_8071617059","3D принтер H2D EU Bambu Lab — 1000 мм/с, под заказ")</f>
      </c>
      <c r="I219" t="s">
        <v>142</v>
      </c>
      <c r="J219" t="s">
        <v>55</v>
      </c>
      <c r="K219" t="s">
        <v>56</v>
      </c>
      <c r="L219">
        <v>30</v>
      </c>
      <c r="M219">
        <v>137</v>
      </c>
      <c r="N219" s="4">
        <v>0.051</v>
      </c>
      <c r="O219">
        <v>7</v>
      </c>
      <c r="P219" s="5">
        <v>12.14</v>
      </c>
      <c r="Q219" s="4">
        <v>0</v>
      </c>
      <c r="R219">
        <v>0</v>
      </c>
      <c r="S219">
        <v>0</v>
      </c>
      <c r="T219">
        <v>0</v>
      </c>
      <c r="U219">
        <v>0</v>
      </c>
      <c r="V219">
        <v>0</v>
      </c>
      <c r="W219">
        <v>0</v>
      </c>
      <c r="X219" s="5" t="s">
        <v>54</v>
      </c>
      <c r="Y219">
        <v>0</v>
      </c>
      <c r="Z219" s="4">
        <v>0</v>
      </c>
      <c r="AA219">
        <v>0</v>
      </c>
      <c r="AB219" s="5">
        <v>0</v>
      </c>
      <c r="AC219">
        <v>0</v>
      </c>
      <c r="AD219" s="5">
        <v>0</v>
      </c>
      <c r="AE219" s="5">
        <v>85</v>
      </c>
      <c r="AF219" s="5">
        <v>0</v>
      </c>
      <c r="AG219" s="5">
        <v>85</v>
      </c>
      <c r="AH219" s="5">
        <v>0</v>
      </c>
      <c r="AI219" s="5">
        <v>0</v>
      </c>
      <c r="AJ219" s="5">
        <v>0</v>
      </c>
    </row>
    <row r="220">
      <c r="A220" s="2" t="str">
        <f>HYPERLINK("https://www.avito.ru/stavropol/bytovaya_elektronika/3d_printer_h2c_combo_eu_est_v_nalichii_vortek_ams_8071622559","8071622559")</f>
      </c>
      <c r="B220" t="s">
        <v>196</v>
      </c>
      <c r="C220" t="s">
        <v>197</v>
      </c>
      <c r="D220" t="s">
        <v>198</v>
      </c>
      <c r="E220" t="s">
        <v>39</v>
      </c>
      <c r="F220" t="s">
        <v>40</v>
      </c>
      <c r="G220" t="s">
        <v>41</v>
      </c>
      <c r="H220" s="3" t="str">
        <f>HYPERLINK("https://www.avito.ru/stavropol/bytovaya_elektronika/3d_printer_h2c_combo_eu_est_v_nalichii_vortek_ams_8071622559","3D принтер H2C Combo EU — есть в наличии, Vortek + AMS")</f>
      </c>
      <c r="I220" t="s">
        <v>61</v>
      </c>
      <c r="J220" t="s">
        <v>89</v>
      </c>
      <c r="K220" t="s">
        <v>84</v>
      </c>
      <c r="L220">
        <v>28</v>
      </c>
      <c r="M220">
        <v>157</v>
      </c>
      <c r="N220" s="4">
        <v>0.0573</v>
      </c>
      <c r="O220">
        <v>9</v>
      </c>
      <c r="P220" s="5">
        <v>6.22</v>
      </c>
      <c r="Q220" s="4">
        <v>0</v>
      </c>
      <c r="R220">
        <v>0</v>
      </c>
      <c r="S220">
        <v>0</v>
      </c>
      <c r="T220">
        <v>0</v>
      </c>
      <c r="U220">
        <v>0</v>
      </c>
      <c r="V220">
        <v>0</v>
      </c>
      <c r="W220">
        <v>0</v>
      </c>
      <c r="X220" s="5" t="s">
        <v>54</v>
      </c>
      <c r="Y220">
        <v>1</v>
      </c>
      <c r="Z220" s="4">
        <v>0</v>
      </c>
      <c r="AA220">
        <v>0</v>
      </c>
      <c r="AB220" s="5">
        <v>0</v>
      </c>
      <c r="AC220">
        <v>0</v>
      </c>
      <c r="AD220" s="5">
        <v>0</v>
      </c>
      <c r="AE220" s="5">
        <v>56</v>
      </c>
      <c r="AF220" s="5">
        <v>0</v>
      </c>
      <c r="AG220" s="5">
        <v>56</v>
      </c>
      <c r="AH220" s="5">
        <v>0</v>
      </c>
      <c r="AI220" s="5">
        <v>0</v>
      </c>
      <c r="AJ220" s="5">
        <v>0</v>
      </c>
    </row>
    <row r="221">
      <c r="A221" s="2" t="str">
        <f>HYPERLINK("https://www.avito.ru/samara/bytovaya_elektronika/3d_printer_h2d_eu_bambu_lab_1000_mms_pod_zakaz_8071632792","8071632792")</f>
      </c>
      <c r="B221" t="s">
        <v>143</v>
      </c>
      <c r="C221" t="s">
        <v>144</v>
      </c>
      <c r="D221" t="s">
        <v>145</v>
      </c>
      <c r="E221" t="s">
        <v>39</v>
      </c>
      <c r="F221" t="s">
        <v>40</v>
      </c>
      <c r="G221" t="s">
        <v>41</v>
      </c>
      <c r="H221" s="3" t="str">
        <f>HYPERLINK("https://www.avito.ru/samara/bytovaya_elektronika/3d_printer_h2d_eu_bambu_lab_1000_mms_pod_zakaz_8071632792","3D принтер H2D EU Bambu Lab — 1000 мм/с, под заказ")</f>
      </c>
      <c r="I221" t="s">
        <v>67</v>
      </c>
      <c r="J221" t="s">
        <v>55</v>
      </c>
      <c r="K221" t="s">
        <v>56</v>
      </c>
      <c r="L221">
        <v>30</v>
      </c>
      <c r="M221">
        <v>215</v>
      </c>
      <c r="N221" s="4">
        <v>0.0465</v>
      </c>
      <c r="O221">
        <v>10</v>
      </c>
      <c r="P221" s="5">
        <v>5.6</v>
      </c>
      <c r="Q221" s="4">
        <v>0</v>
      </c>
      <c r="R221">
        <v>0</v>
      </c>
      <c r="S221">
        <v>0</v>
      </c>
      <c r="T221">
        <v>0</v>
      </c>
      <c r="U221">
        <v>0</v>
      </c>
      <c r="V221">
        <v>0</v>
      </c>
      <c r="W221">
        <v>0</v>
      </c>
      <c r="X221" s="5" t="s">
        <v>54</v>
      </c>
      <c r="Y221">
        <v>1</v>
      </c>
      <c r="Z221" s="4">
        <v>0</v>
      </c>
      <c r="AA221">
        <v>0</v>
      </c>
      <c r="AB221" s="5">
        <v>0</v>
      </c>
      <c r="AC221">
        <v>0</v>
      </c>
      <c r="AD221" s="5">
        <v>0</v>
      </c>
      <c r="AE221" s="5">
        <v>56</v>
      </c>
      <c r="AF221" s="5">
        <v>0</v>
      </c>
      <c r="AG221" s="5">
        <v>56</v>
      </c>
      <c r="AH221" s="5">
        <v>0</v>
      </c>
      <c r="AI221" s="5">
        <v>0</v>
      </c>
      <c r="AJ221" s="5">
        <v>0</v>
      </c>
    </row>
    <row r="222">
      <c r="A222" s="2" t="str">
        <f>HYPERLINK("https://www.avito.ru/krasnoyarsk/bytovaya_elektronika/bambu_lab_h2s_eu_600_mms_ams_2_pro_postavka_2527_dney_8071644011","8071644011")</f>
      </c>
      <c r="B222" t="s">
        <v>156</v>
      </c>
      <c r="C222" t="s">
        <v>157</v>
      </c>
      <c r="D222" t="s">
        <v>256</v>
      </c>
      <c r="E222" t="s">
        <v>39</v>
      </c>
      <c r="F222" t="s">
        <v>40</v>
      </c>
      <c r="G222" t="s">
        <v>41</v>
      </c>
      <c r="H222" s="3" t="str">
        <f>HYPERLINK("https://www.avito.ru/krasnoyarsk/bytovaya_elektronika/bambu_lab_h2s_eu_600_mms_ams_2_pro_postavka_2527_dney_8071644011","Bambu Lab H2S EU — 600 мм/с + AMS 2 Pro, поставка 25–27 дней")</f>
      </c>
      <c r="I222" t="s">
        <v>80</v>
      </c>
      <c r="J222" t="s">
        <v>78</v>
      </c>
      <c r="K222" t="s">
        <v>79</v>
      </c>
      <c r="L222">
        <v>29</v>
      </c>
      <c r="M222">
        <v>350</v>
      </c>
      <c r="N222" s="4">
        <v>0.0914</v>
      </c>
      <c r="O222">
        <v>32</v>
      </c>
      <c r="P222" s="5">
        <v>1.75</v>
      </c>
      <c r="Q222" s="4">
        <v>0</v>
      </c>
      <c r="R222">
        <v>0</v>
      </c>
      <c r="S222">
        <v>0</v>
      </c>
      <c r="T222">
        <v>0</v>
      </c>
      <c r="U222">
        <v>0</v>
      </c>
      <c r="V222">
        <v>0</v>
      </c>
      <c r="W222">
        <v>0</v>
      </c>
      <c r="X222" s="5" t="s">
        <v>54</v>
      </c>
      <c r="Y222">
        <v>1</v>
      </c>
      <c r="Z222" s="4">
        <v>0</v>
      </c>
      <c r="AA222">
        <v>0</v>
      </c>
      <c r="AB222" s="5">
        <v>0</v>
      </c>
      <c r="AC222">
        <v>0</v>
      </c>
      <c r="AD222" s="5">
        <v>0</v>
      </c>
      <c r="AE222" s="5">
        <v>56</v>
      </c>
      <c r="AF222" s="5">
        <v>0</v>
      </c>
      <c r="AG222" s="5">
        <v>56</v>
      </c>
      <c r="AH222" s="5">
        <v>0</v>
      </c>
      <c r="AI222" s="5">
        <v>0</v>
      </c>
      <c r="AJ222" s="5">
        <v>0</v>
      </c>
    </row>
    <row r="223">
      <c r="A223" s="2" t="str">
        <f>HYPERLINK("https://www.avito.ru/kazan/bytovaya_elektronika/bambu_lab_p2s_combo_kompaktnyy_3d-printer_s_ams_8071648040","8071648040")</f>
      </c>
      <c r="B223" t="s">
        <v>97</v>
      </c>
      <c r="C223" t="s">
        <v>98</v>
      </c>
      <c r="D223" t="s">
        <v>99</v>
      </c>
      <c r="E223" t="s">
        <v>39</v>
      </c>
      <c r="F223" t="s">
        <v>40</v>
      </c>
      <c r="G223" t="s">
        <v>41</v>
      </c>
      <c r="H223" s="3" t="str">
        <f>HYPERLINK("https://www.avito.ru/kazan/bytovaya_elektronika/bambu_lab_p2s_combo_kompaktnyy_3d-printer_s_ams_8071648040","Bambu Lab P2S Combo — компактный 3D-принтер с AMS")</f>
      </c>
      <c r="I223" t="s">
        <v>267</v>
      </c>
      <c r="J223" t="s">
        <v>89</v>
      </c>
      <c r="K223" t="s">
        <v>84</v>
      </c>
      <c r="L223">
        <v>28</v>
      </c>
      <c r="M223">
        <v>242</v>
      </c>
      <c r="N223" s="4">
        <v>0.0743</v>
      </c>
      <c r="O223">
        <v>18</v>
      </c>
      <c r="P223" s="5">
        <v>3.11</v>
      </c>
      <c r="Q223" s="4">
        <v>0</v>
      </c>
      <c r="R223">
        <v>0</v>
      </c>
      <c r="S223">
        <v>0</v>
      </c>
      <c r="T223">
        <v>0</v>
      </c>
      <c r="U223">
        <v>0</v>
      </c>
      <c r="V223">
        <v>0</v>
      </c>
      <c r="W223">
        <v>0</v>
      </c>
      <c r="X223" s="5" t="s">
        <v>54</v>
      </c>
      <c r="Y223">
        <v>0</v>
      </c>
      <c r="Z223" s="4">
        <v>0</v>
      </c>
      <c r="AA223">
        <v>0</v>
      </c>
      <c r="AB223" s="5">
        <v>0</v>
      </c>
      <c r="AC223">
        <v>0</v>
      </c>
      <c r="AD223" s="5">
        <v>0</v>
      </c>
      <c r="AE223" s="5">
        <v>56</v>
      </c>
      <c r="AF223" s="5">
        <v>0</v>
      </c>
      <c r="AG223" s="5">
        <v>56</v>
      </c>
      <c r="AH223" s="5">
        <v>0</v>
      </c>
      <c r="AI223" s="5">
        <v>0</v>
      </c>
      <c r="AJ223" s="5">
        <v>0</v>
      </c>
    </row>
    <row r="224">
      <c r="A224" s="2" t="str">
        <f>HYPERLINK("https://www.avito.ru/rostov-na-donu/bytovaya_elektronika/3d_printer_h2c_laser_40w_eu_3_v_1_pod_zakaz_8071650900","8071650900")</f>
      </c>
      <c r="B224" t="s">
        <v>70</v>
      </c>
      <c r="C224" t="s">
        <v>71</v>
      </c>
      <c r="D224" t="s">
        <v>72</v>
      </c>
      <c r="E224" t="s">
        <v>39</v>
      </c>
      <c r="F224" t="s">
        <v>40</v>
      </c>
      <c r="G224" t="s">
        <v>41</v>
      </c>
      <c r="H224" s="3" t="str">
        <f>HYPERLINK("https://www.avito.ru/rostov-na-donu/bytovaya_elektronika/3d_printer_h2c_laser_40w_eu_3_v_1_pod_zakaz_8071650900","3D принтер H2C Laser 40W EU — 3 в 1, под заказ")</f>
      </c>
      <c r="I224" t="s">
        <v>154</v>
      </c>
      <c r="J224" t="s">
        <v>78</v>
      </c>
      <c r="K224" t="s">
        <v>79</v>
      </c>
      <c r="L224">
        <v>29</v>
      </c>
      <c r="M224">
        <v>18</v>
      </c>
      <c r="N224" s="4">
        <v>0</v>
      </c>
      <c r="O224">
        <v>0</v>
      </c>
      <c r="P224" s="5" t="s">
        <v>54</v>
      </c>
      <c r="Q224" s="4" t="s">
        <v>54</v>
      </c>
      <c r="R224">
        <v>0</v>
      </c>
      <c r="S224">
        <v>0</v>
      </c>
      <c r="T224">
        <v>0</v>
      </c>
      <c r="U224">
        <v>0</v>
      </c>
      <c r="V224">
        <v>0</v>
      </c>
      <c r="W224">
        <v>0</v>
      </c>
      <c r="X224" s="5" t="s">
        <v>54</v>
      </c>
      <c r="Y224">
        <v>0</v>
      </c>
      <c r="Z224" s="4" t="s">
        <v>54</v>
      </c>
      <c r="AA224">
        <v>0</v>
      </c>
      <c r="AB224" s="5">
        <v>0</v>
      </c>
      <c r="AC224">
        <v>0</v>
      </c>
      <c r="AD224" s="5">
        <v>0</v>
      </c>
      <c r="AE224" s="5">
        <v>56</v>
      </c>
      <c r="AF224" s="5">
        <v>0</v>
      </c>
      <c r="AG224" s="5">
        <v>56</v>
      </c>
      <c r="AH224" s="5">
        <v>0</v>
      </c>
      <c r="AI224" s="5">
        <v>0</v>
      </c>
      <c r="AJ224" s="5">
        <v>0</v>
      </c>
    </row>
    <row r="225">
      <c r="A225" s="2" t="str">
        <f>HYPERLINK("https://www.avito.ru/volgograd/bytovaya_elektronika/3d_printer_h2d_pro_combo_eu_proizvodstvo_i_rd_8071655422","8071655422")</f>
      </c>
      <c r="B225" t="s">
        <v>105</v>
      </c>
      <c r="C225" t="s">
        <v>106</v>
      </c>
      <c r="D225" t="s">
        <v>107</v>
      </c>
      <c r="E225" t="s">
        <v>39</v>
      </c>
      <c r="F225" t="s">
        <v>40</v>
      </c>
      <c r="G225" t="s">
        <v>41</v>
      </c>
      <c r="H225" s="3" t="str">
        <f>HYPERLINK("https://www.avito.ru/volgograd/bytovaya_elektronika/3d_printer_h2d_pro_combo_eu_proizvodstvo_i_rd_8071655422","3D принтер H2D PRO Combo EU — производство и R&amp;D")</f>
      </c>
      <c r="I225" t="s">
        <v>221</v>
      </c>
      <c r="J225" t="s">
        <v>89</v>
      </c>
      <c r="K225" t="s">
        <v>84</v>
      </c>
      <c r="L225">
        <v>28</v>
      </c>
      <c r="M225">
        <v>27</v>
      </c>
      <c r="N225" s="4">
        <v>0.1111</v>
      </c>
      <c r="O225">
        <v>3</v>
      </c>
      <c r="P225" s="5">
        <v>18.66</v>
      </c>
      <c r="Q225" s="4">
        <v>0</v>
      </c>
      <c r="R225">
        <v>0</v>
      </c>
      <c r="S225">
        <v>0</v>
      </c>
      <c r="T225">
        <v>0</v>
      </c>
      <c r="U225">
        <v>0</v>
      </c>
      <c r="V225">
        <v>0</v>
      </c>
      <c r="W225">
        <v>0</v>
      </c>
      <c r="X225" s="5" t="s">
        <v>54</v>
      </c>
      <c r="Y225">
        <v>1</v>
      </c>
      <c r="Z225" s="4">
        <v>0</v>
      </c>
      <c r="AA225">
        <v>0</v>
      </c>
      <c r="AB225" s="5">
        <v>0</v>
      </c>
      <c r="AC225">
        <v>0</v>
      </c>
      <c r="AD225" s="5">
        <v>0</v>
      </c>
      <c r="AE225" s="5">
        <v>56</v>
      </c>
      <c r="AF225" s="5">
        <v>0</v>
      </c>
      <c r="AG225" s="5">
        <v>56</v>
      </c>
      <c r="AH225" s="5">
        <v>0</v>
      </c>
      <c r="AI225" s="5">
        <v>0</v>
      </c>
      <c r="AJ225" s="5">
        <v>0</v>
      </c>
    </row>
    <row r="226">
      <c r="A226" s="2" t="str">
        <f>HYPERLINK("https://www.avito.ru/krasnodar/bytovaya_elektronika/bambu_lab_h2s_eu_600_mms_ams_2_pro_postavka_2527_dney_8071657805","8071657805")</f>
      </c>
      <c r="B226" t="s">
        <v>58</v>
      </c>
      <c r="C226" t="s">
        <v>59</v>
      </c>
      <c r="D226" t="s">
        <v>95</v>
      </c>
      <c r="E226" t="s">
        <v>39</v>
      </c>
      <c r="F226" t="s">
        <v>40</v>
      </c>
      <c r="G226" t="s">
        <v>41</v>
      </c>
      <c r="H226" s="3" t="str">
        <f>HYPERLINK("https://www.avito.ru/krasnodar/bytovaya_elektronika/bambu_lab_h2s_eu_600_mms_ams_2_pro_postavka_2527_dney_8071657805","Bambu Lab H2S EU — 600 мм/с + AMS 2 Pro, поставка 25–27 дней")</f>
      </c>
      <c r="I226" t="s">
        <v>77</v>
      </c>
      <c r="J226" t="s">
        <v>55</v>
      </c>
      <c r="K226" t="s">
        <v>56</v>
      </c>
      <c r="L226">
        <v>30</v>
      </c>
      <c r="M226">
        <v>181</v>
      </c>
      <c r="N226" s="4">
        <v>0.0386</v>
      </c>
      <c r="O226">
        <v>7</v>
      </c>
      <c r="P226" s="5">
        <v>8</v>
      </c>
      <c r="Q226" s="4">
        <v>0</v>
      </c>
      <c r="R226">
        <v>0</v>
      </c>
      <c r="S226">
        <v>0</v>
      </c>
      <c r="T226">
        <v>0</v>
      </c>
      <c r="U226">
        <v>0</v>
      </c>
      <c r="V226">
        <v>0</v>
      </c>
      <c r="W226">
        <v>0</v>
      </c>
      <c r="X226" s="5" t="s">
        <v>54</v>
      </c>
      <c r="Y226">
        <v>0</v>
      </c>
      <c r="Z226" s="4">
        <v>0</v>
      </c>
      <c r="AA226">
        <v>0</v>
      </c>
      <c r="AB226" s="5">
        <v>0</v>
      </c>
      <c r="AC226">
        <v>0</v>
      </c>
      <c r="AD226" s="5">
        <v>0</v>
      </c>
      <c r="AE226" s="5">
        <v>56</v>
      </c>
      <c r="AF226" s="5">
        <v>0</v>
      </c>
      <c r="AG226" s="5">
        <v>56</v>
      </c>
      <c r="AH226" s="5">
        <v>0</v>
      </c>
      <c r="AI226" s="5">
        <v>0</v>
      </c>
      <c r="AJ226" s="5">
        <v>0</v>
      </c>
    </row>
    <row r="227">
      <c r="A227" s="2" t="str">
        <f>HYPERLINK("https://www.avito.ru/moskva/bytovaya_elektronika/3d_printer_h2s_combo_ams_2_pro_eu_skorostnoy_bambu_8071660169","8071660169")</f>
      </c>
      <c r="B227" t="s">
        <v>36</v>
      </c>
      <c r="C227" t="s">
        <v>37</v>
      </c>
      <c r="D227" t="s">
        <v>63</v>
      </c>
      <c r="E227" t="s">
        <v>39</v>
      </c>
      <c r="F227" t="s">
        <v>40</v>
      </c>
      <c r="G227" t="s">
        <v>41</v>
      </c>
      <c r="H227" s="3" t="str">
        <f>HYPERLINK("https://www.avito.ru/moskva/bytovaya_elektronika/3d_printer_h2s_combo_ams_2_pro_eu_skorostnoy_bambu_8071660169","3D принтер H2S Combo AMS 2 Pro EU — скоростной Bambu")</f>
      </c>
      <c r="I227" t="s">
        <v>77</v>
      </c>
      <c r="J227" t="s">
        <v>55</v>
      </c>
      <c r="K227" t="s">
        <v>56</v>
      </c>
      <c r="L227">
        <v>30</v>
      </c>
      <c r="M227">
        <v>72</v>
      </c>
      <c r="N227" s="4">
        <v>0.0833</v>
      </c>
      <c r="O227">
        <v>6</v>
      </c>
      <c r="P227" s="5">
        <v>14.16</v>
      </c>
      <c r="Q227" s="4">
        <v>0</v>
      </c>
      <c r="R227">
        <v>0</v>
      </c>
      <c r="S227">
        <v>0</v>
      </c>
      <c r="T227">
        <v>0</v>
      </c>
      <c r="U227">
        <v>0</v>
      </c>
      <c r="V227">
        <v>0</v>
      </c>
      <c r="W227">
        <v>0</v>
      </c>
      <c r="X227" s="5" t="s">
        <v>54</v>
      </c>
      <c r="Y227">
        <v>0</v>
      </c>
      <c r="Z227" s="4">
        <v>0</v>
      </c>
      <c r="AA227">
        <v>0</v>
      </c>
      <c r="AB227" s="5">
        <v>0</v>
      </c>
      <c r="AC227">
        <v>0</v>
      </c>
      <c r="AD227" s="5">
        <v>0</v>
      </c>
      <c r="AE227" s="5">
        <v>85</v>
      </c>
      <c r="AF227" s="5">
        <v>0</v>
      </c>
      <c r="AG227" s="5">
        <v>85</v>
      </c>
      <c r="AH227" s="5">
        <v>0</v>
      </c>
      <c r="AI227" s="5">
        <v>0</v>
      </c>
      <c r="AJ227" s="5">
        <v>0</v>
      </c>
    </row>
    <row r="228">
      <c r="A228" s="2" t="str">
        <f>HYPERLINK("https://www.avito.ru/cheboksary/bytovaya_elektronika/h2s_eu_bambu_lab_mnogotsvetnaya_pechat_sdek_2527_dney_8071661165","8071661165")</f>
      </c>
      <c r="B228" t="s">
        <v>253</v>
      </c>
      <c r="C228" t="s">
        <v>254</v>
      </c>
      <c r="D228" t="s">
        <v>255</v>
      </c>
      <c r="E228" t="s">
        <v>39</v>
      </c>
      <c r="F228" t="s">
        <v>40</v>
      </c>
      <c r="G228" t="s">
        <v>41</v>
      </c>
      <c r="H228" s="3" t="str">
        <f>HYPERLINK("https://www.avito.ru/cheboksary/bytovaya_elektronika/h2s_eu_bambu_lab_mnogotsvetnaya_pechat_sdek_2527_dney_8071661165","H2S EU Bambu Lab — многоцветная печать, сдэк 25–27 дней")</f>
      </c>
      <c r="I228" t="s">
        <v>80</v>
      </c>
      <c r="J228" t="s">
        <v>78</v>
      </c>
      <c r="K228" t="s">
        <v>79</v>
      </c>
      <c r="L228">
        <v>29</v>
      </c>
      <c r="M228">
        <v>13</v>
      </c>
      <c r="N228" s="4">
        <v>0.0769</v>
      </c>
      <c r="O228">
        <v>1</v>
      </c>
      <c r="P228" s="5">
        <v>56</v>
      </c>
      <c r="Q228" s="4">
        <v>0</v>
      </c>
      <c r="R228">
        <v>0</v>
      </c>
      <c r="S228">
        <v>0</v>
      </c>
      <c r="T228">
        <v>0</v>
      </c>
      <c r="U228">
        <v>0</v>
      </c>
      <c r="V228">
        <v>0</v>
      </c>
      <c r="W228">
        <v>0</v>
      </c>
      <c r="X228" s="5" t="s">
        <v>54</v>
      </c>
      <c r="Y228">
        <v>0</v>
      </c>
      <c r="Z228" s="4">
        <v>0</v>
      </c>
      <c r="AA228">
        <v>0</v>
      </c>
      <c r="AB228" s="5">
        <v>0</v>
      </c>
      <c r="AC228">
        <v>0</v>
      </c>
      <c r="AD228" s="5">
        <v>0</v>
      </c>
      <c r="AE228" s="5">
        <v>56</v>
      </c>
      <c r="AF228" s="5">
        <v>0</v>
      </c>
      <c r="AG228" s="5">
        <v>56</v>
      </c>
      <c r="AH228" s="5">
        <v>0</v>
      </c>
      <c r="AI228" s="5">
        <v>0</v>
      </c>
      <c r="AJ228" s="5">
        <v>0</v>
      </c>
    </row>
    <row r="229">
      <c r="A229" s="2" t="str">
        <f>HYPERLINK("https://www.avito.ru/rostov-na-donu/bytovaya_elektronika/3d_printer_h2c_combo_eu_nalichie_dostavka_37_dney_8071667440","8071667440")</f>
      </c>
      <c r="B229" t="s">
        <v>70</v>
      </c>
      <c r="C229" t="s">
        <v>71</v>
      </c>
      <c r="D229" t="s">
        <v>72</v>
      </c>
      <c r="E229" t="s">
        <v>39</v>
      </c>
      <c r="F229" t="s">
        <v>40</v>
      </c>
      <c r="G229" t="s">
        <v>41</v>
      </c>
      <c r="H229" s="3" t="str">
        <f>HYPERLINK("https://www.avito.ru/rostov-na-donu/bytovaya_elektronika/3d_printer_h2c_combo_eu_nalichie_dostavka_37_dney_8071667440","3D принтер H2C Combo EU — наличие, доставка 3–7 дней")</f>
      </c>
      <c r="I229" t="s">
        <v>61</v>
      </c>
      <c r="J229" t="s">
        <v>55</v>
      </c>
      <c r="K229" t="s">
        <v>56</v>
      </c>
      <c r="L229">
        <v>30</v>
      </c>
      <c r="M229">
        <v>205</v>
      </c>
      <c r="N229" s="4">
        <v>0.039</v>
      </c>
      <c r="O229">
        <v>8</v>
      </c>
      <c r="P229" s="5">
        <v>7</v>
      </c>
      <c r="Q229" s="4">
        <v>0</v>
      </c>
      <c r="R229">
        <v>0</v>
      </c>
      <c r="S229">
        <v>0</v>
      </c>
      <c r="T229">
        <v>0</v>
      </c>
      <c r="U229">
        <v>0</v>
      </c>
      <c r="V229">
        <v>0</v>
      </c>
      <c r="W229">
        <v>0</v>
      </c>
      <c r="X229" s="5" t="s">
        <v>54</v>
      </c>
      <c r="Y229">
        <v>1</v>
      </c>
      <c r="Z229" s="4">
        <v>0</v>
      </c>
      <c r="AA229">
        <v>0</v>
      </c>
      <c r="AB229" s="5">
        <v>0</v>
      </c>
      <c r="AC229">
        <v>0</v>
      </c>
      <c r="AD229" s="5">
        <v>0</v>
      </c>
      <c r="AE229" s="5">
        <v>56</v>
      </c>
      <c r="AF229" s="5">
        <v>0</v>
      </c>
      <c r="AG229" s="5">
        <v>56</v>
      </c>
      <c r="AH229" s="5">
        <v>0</v>
      </c>
      <c r="AI229" s="5">
        <v>0</v>
      </c>
      <c r="AJ229" s="5">
        <v>0</v>
      </c>
    </row>
    <row r="230">
      <c r="A230" s="2" t="str">
        <f>HYPERLINK("https://www.avito.ru/astrahan/bytovaya_elektronika/3d_printer_h2c_combo_eu_est_v_nalichii_vortek_ams_8071671042","8071671042")</f>
      </c>
      <c r="B230" t="s">
        <v>212</v>
      </c>
      <c r="C230" t="s">
        <v>213</v>
      </c>
      <c r="D230" t="s">
        <v>214</v>
      </c>
      <c r="E230" t="s">
        <v>39</v>
      </c>
      <c r="F230" t="s">
        <v>40</v>
      </c>
      <c r="G230" t="s">
        <v>41</v>
      </c>
      <c r="H230" s="3" t="str">
        <f>HYPERLINK("https://www.avito.ru/astrahan/bytovaya_elektronika/3d_printer_h2c_combo_eu_est_v_nalichii_vortek_ams_8071671042","3D принтер H2C Combo EU — есть в наличии, Vortek + AMS")</f>
      </c>
      <c r="I230" t="s">
        <v>61</v>
      </c>
      <c r="J230" t="s">
        <v>78</v>
      </c>
      <c r="K230" t="s">
        <v>84</v>
      </c>
      <c r="L230">
        <v>29</v>
      </c>
      <c r="M230">
        <v>4</v>
      </c>
      <c r="N230" s="4">
        <v>0</v>
      </c>
      <c r="O230">
        <v>0</v>
      </c>
      <c r="P230" s="5" t="s">
        <v>54</v>
      </c>
      <c r="Q230" s="4" t="s">
        <v>54</v>
      </c>
      <c r="R230">
        <v>0</v>
      </c>
      <c r="S230">
        <v>0</v>
      </c>
      <c r="T230">
        <v>0</v>
      </c>
      <c r="U230">
        <v>0</v>
      </c>
      <c r="V230">
        <v>0</v>
      </c>
      <c r="W230">
        <v>0</v>
      </c>
      <c r="X230" s="5" t="s">
        <v>54</v>
      </c>
      <c r="Y230">
        <v>0</v>
      </c>
      <c r="Z230" s="4" t="s">
        <v>54</v>
      </c>
      <c r="AA230">
        <v>0</v>
      </c>
      <c r="AB230" s="5">
        <v>0</v>
      </c>
      <c r="AC230">
        <v>0</v>
      </c>
      <c r="AD230" s="5">
        <v>0</v>
      </c>
      <c r="AE230" s="5">
        <v>56</v>
      </c>
      <c r="AF230" s="5">
        <v>0</v>
      </c>
      <c r="AG230" s="5">
        <v>56</v>
      </c>
      <c r="AH230" s="5">
        <v>0</v>
      </c>
      <c r="AI230" s="5">
        <v>0</v>
      </c>
      <c r="AJ230" s="5">
        <v>0</v>
      </c>
    </row>
    <row r="231">
      <c r="A231" s="2" t="str">
        <f>HYPERLINK("https://www.avito.ru/kazan/bytovaya_elektronika/h2d_laser_10w_cn_bambu_gravirovka_metalla_pod_zakaz_8071671446","8071671446")</f>
      </c>
      <c r="B231" t="s">
        <v>97</v>
      </c>
      <c r="C231" t="s">
        <v>98</v>
      </c>
      <c r="D231" t="s">
        <v>99</v>
      </c>
      <c r="E231" t="s">
        <v>39</v>
      </c>
      <c r="F231" t="s">
        <v>40</v>
      </c>
      <c r="G231" t="s">
        <v>41</v>
      </c>
      <c r="H231" s="3" t="str">
        <f>HYPERLINK("https://www.avito.ru/kazan/bytovaya_elektronika/h2d_laser_10w_cn_bambu_gravirovka_metalla_pod_zakaz_8071671446","H2D Laser 10W CN Bambu — гравировка металла, под заказ")</f>
      </c>
      <c r="I231" t="s">
        <v>188</v>
      </c>
      <c r="J231" t="s">
        <v>89</v>
      </c>
      <c r="K231" t="s">
        <v>84</v>
      </c>
      <c r="L231">
        <v>28</v>
      </c>
      <c r="M231">
        <v>224</v>
      </c>
      <c r="N231" s="4">
        <v>0.0401</v>
      </c>
      <c r="O231">
        <v>9</v>
      </c>
      <c r="P231" s="5">
        <v>6.22</v>
      </c>
      <c r="Q231" s="4">
        <v>0</v>
      </c>
      <c r="R231">
        <v>0</v>
      </c>
      <c r="S231">
        <v>0</v>
      </c>
      <c r="T231">
        <v>0</v>
      </c>
      <c r="U231">
        <v>0</v>
      </c>
      <c r="V231">
        <v>0</v>
      </c>
      <c r="W231">
        <v>0</v>
      </c>
      <c r="X231" s="5" t="s">
        <v>54</v>
      </c>
      <c r="Y231">
        <v>0</v>
      </c>
      <c r="Z231" s="4">
        <v>0</v>
      </c>
      <c r="AA231">
        <v>0</v>
      </c>
      <c r="AB231" s="5">
        <v>0</v>
      </c>
      <c r="AC231">
        <v>0</v>
      </c>
      <c r="AD231" s="5">
        <v>0</v>
      </c>
      <c r="AE231" s="5">
        <v>56</v>
      </c>
      <c r="AF231" s="5">
        <v>0</v>
      </c>
      <c r="AG231" s="5">
        <v>56</v>
      </c>
      <c r="AH231" s="5">
        <v>0</v>
      </c>
      <c r="AI231" s="5">
        <v>0</v>
      </c>
      <c r="AJ231" s="5">
        <v>0</v>
      </c>
    </row>
    <row r="232">
      <c r="A232" s="2" t="str">
        <f>HYPERLINK("https://www.avito.ru/chelyabinsk/bytovaya_elektronika/h2d_combo_ams_2_pro_cn_polnyy_funktsional_tsena_nizhe_eu_8071672442","8071672442")</f>
      </c>
      <c r="B232" t="s">
        <v>175</v>
      </c>
      <c r="C232" t="s">
        <v>176</v>
      </c>
      <c r="D232" t="s">
        <v>177</v>
      </c>
      <c r="E232" t="s">
        <v>39</v>
      </c>
      <c r="F232" t="s">
        <v>40</v>
      </c>
      <c r="G232" t="s">
        <v>41</v>
      </c>
      <c r="H232" s="3" t="str">
        <f>HYPERLINK("https://www.avito.ru/chelyabinsk/bytovaya_elektronika/h2d_combo_ams_2_pro_cn_polnyy_funktsional_tsena_nizhe_eu_8071672442","H2D Combo AMS 2 Pro CN — полный функционал, цена ниже EU")</f>
      </c>
      <c r="I232" t="s">
        <v>159</v>
      </c>
      <c r="J232" t="s">
        <v>89</v>
      </c>
      <c r="K232" t="s">
        <v>84</v>
      </c>
      <c r="L232">
        <v>28</v>
      </c>
      <c r="M232">
        <v>16</v>
      </c>
      <c r="N232" s="4">
        <v>0.25</v>
      </c>
      <c r="O232">
        <v>4</v>
      </c>
      <c r="P232" s="5">
        <v>14</v>
      </c>
      <c r="Q232" s="4">
        <v>0</v>
      </c>
      <c r="R232">
        <v>0</v>
      </c>
      <c r="S232">
        <v>0</v>
      </c>
      <c r="T232">
        <v>0</v>
      </c>
      <c r="U232">
        <v>0</v>
      </c>
      <c r="V232">
        <v>0</v>
      </c>
      <c r="W232">
        <v>0</v>
      </c>
      <c r="X232" s="5" t="s">
        <v>54</v>
      </c>
      <c r="Y232">
        <v>0</v>
      </c>
      <c r="Z232" s="4">
        <v>0</v>
      </c>
      <c r="AA232">
        <v>0</v>
      </c>
      <c r="AB232" s="5">
        <v>0</v>
      </c>
      <c r="AC232">
        <v>0</v>
      </c>
      <c r="AD232" s="5">
        <v>0</v>
      </c>
      <c r="AE232" s="5">
        <v>56</v>
      </c>
      <c r="AF232" s="5">
        <v>0</v>
      </c>
      <c r="AG232" s="5">
        <v>56</v>
      </c>
      <c r="AH232" s="5">
        <v>0</v>
      </c>
      <c r="AI232" s="5">
        <v>0</v>
      </c>
      <c r="AJ232" s="5">
        <v>0</v>
      </c>
    </row>
    <row r="233">
      <c r="A233" s="2" t="str">
        <f>HYPERLINK("https://www.avito.ru/krasnodar/bytovaya_elektronika/bambu_lab_h2c_laser_10w_eu_vortek_ams_2_pro_lazer_8071673868","8071673868")</f>
      </c>
      <c r="B233" t="s">
        <v>58</v>
      </c>
      <c r="C233" t="s">
        <v>59</v>
      </c>
      <c r="D233" t="s">
        <v>66</v>
      </c>
      <c r="E233" t="s">
        <v>39</v>
      </c>
      <c r="F233" t="s">
        <v>40</v>
      </c>
      <c r="G233" t="s">
        <v>41</v>
      </c>
      <c r="H233" s="3" t="str">
        <f>HYPERLINK("https://www.avito.ru/krasnodar/bytovaya_elektronika/bambu_lab_h2c_laser_10w_eu_vortek_ams_2_pro_lazer_8071673868","Bambu Lab H2C Laser 10W EU — Vortek + AMS 2 Pro + лазер")</f>
      </c>
      <c r="I233" t="s">
        <v>229</v>
      </c>
      <c r="J233" t="s">
        <v>55</v>
      </c>
      <c r="K233" t="s">
        <v>56</v>
      </c>
      <c r="L233">
        <v>30</v>
      </c>
      <c r="M233">
        <v>76</v>
      </c>
      <c r="N233" s="4">
        <v>0.0657</v>
      </c>
      <c r="O233">
        <v>5</v>
      </c>
      <c r="P233" s="5">
        <v>11.2</v>
      </c>
      <c r="Q233" s="4">
        <v>0</v>
      </c>
      <c r="R233">
        <v>0</v>
      </c>
      <c r="S233">
        <v>0</v>
      </c>
      <c r="T233">
        <v>0</v>
      </c>
      <c r="U233">
        <v>0</v>
      </c>
      <c r="V233">
        <v>0</v>
      </c>
      <c r="W233">
        <v>0</v>
      </c>
      <c r="X233" s="5" t="s">
        <v>54</v>
      </c>
      <c r="Y233">
        <v>0</v>
      </c>
      <c r="Z233" s="4">
        <v>0</v>
      </c>
      <c r="AA233">
        <v>0</v>
      </c>
      <c r="AB233" s="5">
        <v>0</v>
      </c>
      <c r="AC233">
        <v>0</v>
      </c>
      <c r="AD233" s="5">
        <v>0</v>
      </c>
      <c r="AE233" s="5">
        <v>56</v>
      </c>
      <c r="AF233" s="5">
        <v>0</v>
      </c>
      <c r="AG233" s="5">
        <v>56</v>
      </c>
      <c r="AH233" s="5">
        <v>0</v>
      </c>
      <c r="AI233" s="5">
        <v>0</v>
      </c>
      <c r="AJ233" s="5">
        <v>0</v>
      </c>
    </row>
    <row r="234">
      <c r="A234" s="2" t="str">
        <f>HYPERLINK("https://www.avito.ru/rostov-na-donu/bytovaya_elektronika/h2c_combo_eu_bambu_lab_v_nalichii_ne_zhdite_25_dney_8071676656","8071676656")</f>
      </c>
      <c r="B234" t="s">
        <v>70</v>
      </c>
      <c r="C234" t="s">
        <v>71</v>
      </c>
      <c r="D234" t="s">
        <v>264</v>
      </c>
      <c r="E234" t="s">
        <v>39</v>
      </c>
      <c r="F234" t="s">
        <v>40</v>
      </c>
      <c r="G234" t="s">
        <v>41</v>
      </c>
      <c r="H234" s="3" t="str">
        <f>HYPERLINK("https://www.avito.ru/rostov-na-donu/bytovaya_elektronika/h2c_combo_eu_bambu_lab_v_nalichii_ne_zhdite_25_dney_8071676656","H2C Combo EU Bambu Lab — в наличии, не ждите 25 дней")</f>
      </c>
      <c r="I234" t="s">
        <v>61</v>
      </c>
      <c r="J234" t="s">
        <v>43</v>
      </c>
      <c r="K234" t="s">
        <v>44</v>
      </c>
      <c r="L234">
        <v>35</v>
      </c>
      <c r="M234">
        <v>197</v>
      </c>
      <c r="N234" s="4">
        <v>0.0913</v>
      </c>
      <c r="O234">
        <v>18</v>
      </c>
      <c r="P234" s="5">
        <v>3.11</v>
      </c>
      <c r="Q234" s="4">
        <v>0</v>
      </c>
      <c r="R234">
        <v>0</v>
      </c>
      <c r="S234">
        <v>0</v>
      </c>
      <c r="T234">
        <v>0</v>
      </c>
      <c r="U234">
        <v>0</v>
      </c>
      <c r="V234">
        <v>0</v>
      </c>
      <c r="W234">
        <v>0</v>
      </c>
      <c r="X234" s="5" t="s">
        <v>54</v>
      </c>
      <c r="Y234">
        <v>1</v>
      </c>
      <c r="Z234" s="4">
        <v>0</v>
      </c>
      <c r="AA234">
        <v>0</v>
      </c>
      <c r="AB234" s="5">
        <v>0</v>
      </c>
      <c r="AC234">
        <v>0</v>
      </c>
      <c r="AD234" s="5">
        <v>0</v>
      </c>
      <c r="AE234" s="5">
        <v>56</v>
      </c>
      <c r="AF234" s="5">
        <v>0</v>
      </c>
      <c r="AG234" s="5">
        <v>56</v>
      </c>
      <c r="AH234" s="5">
        <v>0</v>
      </c>
      <c r="AI234" s="5">
        <v>0</v>
      </c>
      <c r="AJ234" s="5">
        <v>0</v>
      </c>
    </row>
    <row r="235">
      <c r="A235" s="2" t="str">
        <f>HYPERLINK("https://www.avito.ru/volgograd/bytovaya_elektronika/h2s_eu_bambu_lab_mnogotsvetnaya_pechat_sdek_2527_dney_8071679046","8071679046")</f>
      </c>
      <c r="B235" t="s">
        <v>105</v>
      </c>
      <c r="C235" t="s">
        <v>106</v>
      </c>
      <c r="D235" t="s">
        <v>107</v>
      </c>
      <c r="E235" t="s">
        <v>39</v>
      </c>
      <c r="F235" t="s">
        <v>40</v>
      </c>
      <c r="G235" t="s">
        <v>41</v>
      </c>
      <c r="H235" s="3" t="str">
        <f>HYPERLINK("https://www.avito.ru/volgograd/bytovaya_elektronika/h2s_eu_bambu_lab_mnogotsvetnaya_pechat_sdek_2527_dney_8071679046","H2S EU Bambu Lab — многоцветная печать, сдэк 25–27 дней")</f>
      </c>
      <c r="I235" t="s">
        <v>80</v>
      </c>
      <c r="J235" t="s">
        <v>78</v>
      </c>
      <c r="K235" t="s">
        <v>84</v>
      </c>
      <c r="L235">
        <v>29</v>
      </c>
      <c r="M235">
        <v>11</v>
      </c>
      <c r="N235" s="4">
        <v>0.1818</v>
      </c>
      <c r="O235">
        <v>2</v>
      </c>
      <c r="P235" s="5">
        <v>28</v>
      </c>
      <c r="Q235" s="4">
        <v>0</v>
      </c>
      <c r="R235">
        <v>0</v>
      </c>
      <c r="S235">
        <v>0</v>
      </c>
      <c r="T235">
        <v>0</v>
      </c>
      <c r="U235">
        <v>0</v>
      </c>
      <c r="V235">
        <v>0</v>
      </c>
      <c r="W235">
        <v>0</v>
      </c>
      <c r="X235" s="5" t="s">
        <v>54</v>
      </c>
      <c r="Y235">
        <v>0</v>
      </c>
      <c r="Z235" s="4">
        <v>0</v>
      </c>
      <c r="AA235">
        <v>0</v>
      </c>
      <c r="AB235" s="5">
        <v>0</v>
      </c>
      <c r="AC235">
        <v>0</v>
      </c>
      <c r="AD235" s="5">
        <v>0</v>
      </c>
      <c r="AE235" s="5">
        <v>56</v>
      </c>
      <c r="AF235" s="5">
        <v>0</v>
      </c>
      <c r="AG235" s="5">
        <v>56</v>
      </c>
      <c r="AH235" s="5">
        <v>0</v>
      </c>
      <c r="AI235" s="5">
        <v>0</v>
      </c>
      <c r="AJ235" s="5">
        <v>0</v>
      </c>
    </row>
    <row r="236">
      <c r="A236" s="2" t="str">
        <f>HYPERLINK("https://www.avito.ru/nizhniy_novgorod/bytovaya_elektronika/bambu_h2c_full_combo_laser_40w_promyshlennyy_lazer_8071683213","8071683213")</f>
      </c>
      <c r="B236" t="s">
        <v>137</v>
      </c>
      <c r="C236" t="s">
        <v>138</v>
      </c>
      <c r="D236" t="s">
        <v>139</v>
      </c>
      <c r="E236" t="s">
        <v>39</v>
      </c>
      <c r="F236" t="s">
        <v>40</v>
      </c>
      <c r="G236" t="s">
        <v>41</v>
      </c>
      <c r="H236" s="3" t="str">
        <f>HYPERLINK("https://www.avito.ru/nizhniy_novgorod/bytovaya_elektronika/bambu_h2c_full_combo_laser_40w_promyshlennyy_lazer_8071683213","Bambu H2C Full Combo Laser 40W — промышленный лазер")</f>
      </c>
      <c r="I236" t="s">
        <v>268</v>
      </c>
      <c r="J236" t="s">
        <v>89</v>
      </c>
      <c r="K236" t="s">
        <v>84</v>
      </c>
      <c r="L236">
        <v>28</v>
      </c>
      <c r="M236">
        <v>7</v>
      </c>
      <c r="N236" s="4">
        <v>0</v>
      </c>
      <c r="O236">
        <v>0</v>
      </c>
      <c r="P236" s="5" t="s">
        <v>54</v>
      </c>
      <c r="Q236" s="4" t="s">
        <v>54</v>
      </c>
      <c r="R236">
        <v>0</v>
      </c>
      <c r="S236">
        <v>0</v>
      </c>
      <c r="T236">
        <v>0</v>
      </c>
      <c r="U236">
        <v>0</v>
      </c>
      <c r="V236">
        <v>0</v>
      </c>
      <c r="W236">
        <v>0</v>
      </c>
      <c r="X236" s="5" t="s">
        <v>54</v>
      </c>
      <c r="Y236">
        <v>0</v>
      </c>
      <c r="Z236" s="4" t="s">
        <v>54</v>
      </c>
      <c r="AA236">
        <v>0</v>
      </c>
      <c r="AB236" s="5">
        <v>0</v>
      </c>
      <c r="AC236">
        <v>0</v>
      </c>
      <c r="AD236" s="5">
        <v>0</v>
      </c>
      <c r="AE236" s="5">
        <v>56</v>
      </c>
      <c r="AF236" s="5">
        <v>0</v>
      </c>
      <c r="AG236" s="5">
        <v>56</v>
      </c>
      <c r="AH236" s="5">
        <v>0</v>
      </c>
      <c r="AI236" s="5">
        <v>0</v>
      </c>
      <c r="AJ236" s="5">
        <v>0</v>
      </c>
    </row>
    <row r="237">
      <c r="A237" s="2" t="str">
        <f>HYPERLINK("https://www.avito.ru/krasnoyarsk/bytovaya_elektronika/h2c_combo_eu_bambu_lab_v_nalichii_ne_zhdite_25_dney_8071685048","8071685048")</f>
      </c>
      <c r="B237" t="s">
        <v>156</v>
      </c>
      <c r="C237" t="s">
        <v>157</v>
      </c>
      <c r="D237" t="s">
        <v>256</v>
      </c>
      <c r="E237" t="s">
        <v>39</v>
      </c>
      <c r="F237" t="s">
        <v>40</v>
      </c>
      <c r="G237" t="s">
        <v>41</v>
      </c>
      <c r="H237" s="3" t="str">
        <f>HYPERLINK("https://www.avito.ru/krasnoyarsk/bytovaya_elektronika/h2c_combo_eu_bambu_lab_v_nalichii_ne_zhdite_25_dney_8071685048","H2C Combo EU Bambu Lab — в наличии, не ждите 25 дней")</f>
      </c>
      <c r="I237" t="s">
        <v>61</v>
      </c>
      <c r="J237" t="s">
        <v>78</v>
      </c>
      <c r="K237" t="s">
        <v>84</v>
      </c>
      <c r="L237">
        <v>29</v>
      </c>
      <c r="M237">
        <v>4</v>
      </c>
      <c r="N237" s="4">
        <v>0.25</v>
      </c>
      <c r="O237">
        <v>1</v>
      </c>
      <c r="P237" s="5">
        <v>56</v>
      </c>
      <c r="Q237" s="4">
        <v>0</v>
      </c>
      <c r="R237">
        <v>0</v>
      </c>
      <c r="S237">
        <v>0</v>
      </c>
      <c r="T237">
        <v>0</v>
      </c>
      <c r="U237">
        <v>0</v>
      </c>
      <c r="V237">
        <v>0</v>
      </c>
      <c r="W237">
        <v>0</v>
      </c>
      <c r="X237" s="5" t="s">
        <v>54</v>
      </c>
      <c r="Y237">
        <v>1</v>
      </c>
      <c r="Z237" s="4">
        <v>0</v>
      </c>
      <c r="AA237">
        <v>0</v>
      </c>
      <c r="AB237" s="5">
        <v>0</v>
      </c>
      <c r="AC237">
        <v>0</v>
      </c>
      <c r="AD237" s="5">
        <v>0</v>
      </c>
      <c r="AE237" s="5">
        <v>56</v>
      </c>
      <c r="AF237" s="5">
        <v>0</v>
      </c>
      <c r="AG237" s="5">
        <v>56</v>
      </c>
      <c r="AH237" s="5">
        <v>0</v>
      </c>
      <c r="AI237" s="5">
        <v>0</v>
      </c>
      <c r="AJ237" s="5">
        <v>0</v>
      </c>
    </row>
    <row r="238">
      <c r="A238" s="2" t="str">
        <f>HYPERLINK("https://www.avito.ru/kazan/bytovaya_elektronika/bambu_h2d_laser_40w_cn_3_v_1_pod_zakaz_sdek_8071688201","8071688201")</f>
      </c>
      <c r="B238" t="s">
        <v>97</v>
      </c>
      <c r="C238" t="s">
        <v>98</v>
      </c>
      <c r="D238" t="s">
        <v>99</v>
      </c>
      <c r="E238" t="s">
        <v>39</v>
      </c>
      <c r="F238" t="s">
        <v>40</v>
      </c>
      <c r="G238" t="s">
        <v>41</v>
      </c>
      <c r="H238" s="3" t="str">
        <f>HYPERLINK("https://www.avito.ru/kazan/bytovaya_elektronika/bambu_h2d_laser_40w_cn_3_v_1_pod_zakaz_sdek_8071688201","Bambu H2D Laser 40W CN — 3 в 1, под заказ сдэк")</f>
      </c>
      <c r="I238" t="s">
        <v>200</v>
      </c>
      <c r="J238" t="s">
        <v>89</v>
      </c>
      <c r="K238" t="s">
        <v>84</v>
      </c>
      <c r="L238">
        <v>28</v>
      </c>
      <c r="M238">
        <v>6</v>
      </c>
      <c r="N238" s="4">
        <v>0</v>
      </c>
      <c r="O238">
        <v>0</v>
      </c>
      <c r="P238" s="5" t="s">
        <v>54</v>
      </c>
      <c r="Q238" s="4" t="s">
        <v>54</v>
      </c>
      <c r="R238">
        <v>0</v>
      </c>
      <c r="S238">
        <v>0</v>
      </c>
      <c r="T238">
        <v>0</v>
      </c>
      <c r="U238">
        <v>0</v>
      </c>
      <c r="V238">
        <v>0</v>
      </c>
      <c r="W238">
        <v>0</v>
      </c>
      <c r="X238" s="5" t="s">
        <v>54</v>
      </c>
      <c r="Y238">
        <v>0</v>
      </c>
      <c r="Z238" s="4" t="s">
        <v>54</v>
      </c>
      <c r="AA238">
        <v>0</v>
      </c>
      <c r="AB238" s="5">
        <v>0</v>
      </c>
      <c r="AC238">
        <v>0</v>
      </c>
      <c r="AD238" s="5">
        <v>0</v>
      </c>
      <c r="AE238" s="5">
        <v>56</v>
      </c>
      <c r="AF238" s="5">
        <v>0</v>
      </c>
      <c r="AG238" s="5">
        <v>56</v>
      </c>
      <c r="AH238" s="5">
        <v>0</v>
      </c>
      <c r="AI238" s="5">
        <v>0</v>
      </c>
      <c r="AJ238" s="5">
        <v>0</v>
      </c>
    </row>
    <row r="239">
      <c r="A239" s="2" t="str">
        <f>HYPERLINK("https://www.avito.ru/perm/bytovaya_elektronika/bambu_lab_h2d_laser_40w_eu_moschnyy_lazer_3d-pechat_8071694757","8071694757")</f>
      </c>
      <c r="B239" t="s">
        <v>126</v>
      </c>
      <c r="C239" t="s">
        <v>127</v>
      </c>
      <c r="D239" t="s">
        <v>128</v>
      </c>
      <c r="E239" t="s">
        <v>39</v>
      </c>
      <c r="F239" t="s">
        <v>40</v>
      </c>
      <c r="G239" t="s">
        <v>41</v>
      </c>
      <c r="H239" s="3" t="str">
        <f>HYPERLINK("https://www.avito.ru/perm/bytovaya_elektronika/bambu_lab_h2d_laser_40w_eu_moschnyy_lazer_3d-pechat_8071694757","Bambu Lab H2D Laser 40W EU — мощный лазер + 3D-печать")</f>
      </c>
      <c r="I239" t="s">
        <v>190</v>
      </c>
      <c r="J239" t="s">
        <v>89</v>
      </c>
      <c r="K239" t="s">
        <v>84</v>
      </c>
      <c r="L239">
        <v>28</v>
      </c>
      <c r="M239">
        <v>2</v>
      </c>
      <c r="N239" s="4">
        <v>0</v>
      </c>
      <c r="O239">
        <v>0</v>
      </c>
      <c r="P239" s="5" t="s">
        <v>54</v>
      </c>
      <c r="Q239" s="4" t="s">
        <v>54</v>
      </c>
      <c r="R239">
        <v>0</v>
      </c>
      <c r="S239">
        <v>0</v>
      </c>
      <c r="T239">
        <v>0</v>
      </c>
      <c r="U239">
        <v>0</v>
      </c>
      <c r="V239">
        <v>0</v>
      </c>
      <c r="W239">
        <v>0</v>
      </c>
      <c r="X239" s="5" t="s">
        <v>54</v>
      </c>
      <c r="Y239">
        <v>0</v>
      </c>
      <c r="Z239" s="4" t="s">
        <v>54</v>
      </c>
      <c r="AA239">
        <v>0</v>
      </c>
      <c r="AB239" s="5">
        <v>0</v>
      </c>
      <c r="AC239">
        <v>0</v>
      </c>
      <c r="AD239" s="5">
        <v>0</v>
      </c>
      <c r="AE239" s="5">
        <v>56</v>
      </c>
      <c r="AF239" s="5">
        <v>0</v>
      </c>
      <c r="AG239" s="5">
        <v>56</v>
      </c>
      <c r="AH239" s="5">
        <v>0</v>
      </c>
      <c r="AI239" s="5">
        <v>0</v>
      </c>
      <c r="AJ239" s="5">
        <v>0</v>
      </c>
    </row>
    <row r="240">
      <c r="A240" s="2" t="str">
        <f>HYPERLINK("https://www.avito.ru/kemerovo/bytovaya_elektronika/3d_printer_h2c_combo_eu_est_v_nalichii_vortek_ams_8071698947","8071698947")</f>
      </c>
      <c r="B240" t="s">
        <v>207</v>
      </c>
      <c r="C240" t="s">
        <v>208</v>
      </c>
      <c r="D240" t="s">
        <v>209</v>
      </c>
      <c r="E240" t="s">
        <v>39</v>
      </c>
      <c r="F240" t="s">
        <v>40</v>
      </c>
      <c r="G240" t="s">
        <v>41</v>
      </c>
      <c r="H240" s="3" t="str">
        <f>HYPERLINK("https://www.avito.ru/kemerovo/bytovaya_elektronika/3d_printer_h2c_combo_eu_est_v_nalichii_vortek_ams_8071698947","3D принтер H2C Combo EU — есть в наличии, Vortek + AMS")</f>
      </c>
      <c r="I240" t="s">
        <v>61</v>
      </c>
      <c r="J240" t="s">
        <v>78</v>
      </c>
      <c r="K240" t="s">
        <v>79</v>
      </c>
      <c r="L240">
        <v>29</v>
      </c>
      <c r="M240">
        <v>28</v>
      </c>
      <c r="N240" s="4">
        <v>0.0714</v>
      </c>
      <c r="O240">
        <v>2</v>
      </c>
      <c r="P240" s="5">
        <v>28</v>
      </c>
      <c r="Q240" s="4">
        <v>0</v>
      </c>
      <c r="R240">
        <v>0</v>
      </c>
      <c r="S240">
        <v>0</v>
      </c>
      <c r="T240">
        <v>0</v>
      </c>
      <c r="U240">
        <v>0</v>
      </c>
      <c r="V240">
        <v>0</v>
      </c>
      <c r="W240">
        <v>0</v>
      </c>
      <c r="X240" s="5" t="s">
        <v>54</v>
      </c>
      <c r="Y240">
        <v>1</v>
      </c>
      <c r="Z240" s="4">
        <v>0</v>
      </c>
      <c r="AA240">
        <v>0</v>
      </c>
      <c r="AB240" s="5">
        <v>0</v>
      </c>
      <c r="AC240">
        <v>0</v>
      </c>
      <c r="AD240" s="5">
        <v>0</v>
      </c>
      <c r="AE240" s="5">
        <v>56</v>
      </c>
      <c r="AF240" s="5">
        <v>0</v>
      </c>
      <c r="AG240" s="5">
        <v>56</v>
      </c>
      <c r="AH240" s="5">
        <v>0</v>
      </c>
      <c r="AI240" s="5">
        <v>0</v>
      </c>
      <c r="AJ240" s="5">
        <v>0</v>
      </c>
    </row>
    <row r="241">
      <c r="A241" s="2" t="str">
        <f>HYPERLINK("https://www.avito.ru/voronezh/bytovaya_elektronika/bambu_lab_h2c_laser_40w_eu_moschnyy_lazer_3d-pechat_8071700128","8071700128")</f>
      </c>
      <c r="B241" t="s">
        <v>169</v>
      </c>
      <c r="C241" t="s">
        <v>170</v>
      </c>
      <c r="D241" t="s">
        <v>171</v>
      </c>
      <c r="E241" t="s">
        <v>39</v>
      </c>
      <c r="F241" t="s">
        <v>40</v>
      </c>
      <c r="G241" t="s">
        <v>41</v>
      </c>
      <c r="H241" s="3" t="str">
        <f>HYPERLINK("https://www.avito.ru/voronezh/bytovaya_elektronika/bambu_lab_h2c_laser_40w_eu_moschnyy_lazer_3d-pechat_8071700128","Bambu Lab H2C Laser 40W EU — мощный лазер + 3D-печать")</f>
      </c>
      <c r="I241" t="s">
        <v>269</v>
      </c>
      <c r="J241" t="s">
        <v>89</v>
      </c>
      <c r="K241" t="s">
        <v>84</v>
      </c>
      <c r="L241">
        <v>28</v>
      </c>
      <c r="M241">
        <v>5</v>
      </c>
      <c r="N241" s="4">
        <v>0</v>
      </c>
      <c r="O241">
        <v>0</v>
      </c>
      <c r="P241" s="5" t="s">
        <v>54</v>
      </c>
      <c r="Q241" s="4" t="s">
        <v>54</v>
      </c>
      <c r="R241">
        <v>0</v>
      </c>
      <c r="S241">
        <v>0</v>
      </c>
      <c r="T241">
        <v>0</v>
      </c>
      <c r="U241">
        <v>0</v>
      </c>
      <c r="V241">
        <v>0</v>
      </c>
      <c r="W241">
        <v>0</v>
      </c>
      <c r="X241" s="5" t="s">
        <v>54</v>
      </c>
      <c r="Y241">
        <v>0</v>
      </c>
      <c r="Z241" s="4" t="s">
        <v>54</v>
      </c>
      <c r="AA241">
        <v>0</v>
      </c>
      <c r="AB241" s="5">
        <v>0</v>
      </c>
      <c r="AC241">
        <v>0</v>
      </c>
      <c r="AD241" s="5">
        <v>0</v>
      </c>
      <c r="AE241" s="5">
        <v>56</v>
      </c>
      <c r="AF241" s="5">
        <v>0</v>
      </c>
      <c r="AG241" s="5">
        <v>56</v>
      </c>
      <c r="AH241" s="5">
        <v>0</v>
      </c>
      <c r="AI241" s="5">
        <v>0</v>
      </c>
      <c r="AJ241" s="5">
        <v>0</v>
      </c>
    </row>
    <row r="242">
      <c r="A242" s="2" t="str">
        <f>HYPERLINK("https://www.avito.ru/ekaterinburg/bytovaya_elektronika/3d_printer_h2d_laser_40w_eu_ams_2_pro_rezka_metalla_8071704117","8071704117")</f>
      </c>
      <c r="B242" t="s">
        <v>182</v>
      </c>
      <c r="C242" t="s">
        <v>183</v>
      </c>
      <c r="D242" t="s">
        <v>184</v>
      </c>
      <c r="E242" t="s">
        <v>39</v>
      </c>
      <c r="F242" t="s">
        <v>40</v>
      </c>
      <c r="G242" t="s">
        <v>41</v>
      </c>
      <c r="H242" s="3" t="str">
        <f>HYPERLINK("https://www.avito.ru/ekaterinburg/bytovaya_elektronika/3d_printer_h2d_laser_40w_eu_ams_2_pro_rezka_metalla_8071704117","3D принтер H2D Laser 40W EU — AMS 2 Pro + резка металла")</f>
      </c>
      <c r="I242" t="s">
        <v>109</v>
      </c>
      <c r="J242" t="s">
        <v>55</v>
      </c>
      <c r="K242" t="s">
        <v>56</v>
      </c>
      <c r="L242">
        <v>30</v>
      </c>
      <c r="M242">
        <v>22</v>
      </c>
      <c r="N242" s="4">
        <v>0.0454</v>
      </c>
      <c r="O242">
        <v>1</v>
      </c>
      <c r="P242" s="5">
        <v>56</v>
      </c>
      <c r="Q242" s="4">
        <v>0</v>
      </c>
      <c r="R242">
        <v>0</v>
      </c>
      <c r="S242">
        <v>0</v>
      </c>
      <c r="T242">
        <v>0</v>
      </c>
      <c r="U242">
        <v>0</v>
      </c>
      <c r="V242">
        <v>0</v>
      </c>
      <c r="W242">
        <v>0</v>
      </c>
      <c r="X242" s="5" t="s">
        <v>54</v>
      </c>
      <c r="Y242">
        <v>0</v>
      </c>
      <c r="Z242" s="4">
        <v>0</v>
      </c>
      <c r="AA242">
        <v>0</v>
      </c>
      <c r="AB242" s="5">
        <v>0</v>
      </c>
      <c r="AC242">
        <v>0</v>
      </c>
      <c r="AD242" s="5">
        <v>0</v>
      </c>
      <c r="AE242" s="5">
        <v>56</v>
      </c>
      <c r="AF242" s="5">
        <v>0</v>
      </c>
      <c r="AG242" s="5">
        <v>56</v>
      </c>
      <c r="AH242" s="5">
        <v>0</v>
      </c>
      <c r="AI242" s="5">
        <v>0</v>
      </c>
      <c r="AJ242" s="5">
        <v>0</v>
      </c>
    </row>
    <row r="243">
      <c r="A243" s="2" t="str">
        <f>HYPERLINK("https://www.avito.ru/ryazan/bytovaya_elektronika/3d_printer_h2c_combo_cn_polnyy_funktsional_ekonomiya_8071716720","8071716720")</f>
      </c>
      <c r="B243" t="s">
        <v>179</v>
      </c>
      <c r="C243" t="s">
        <v>180</v>
      </c>
      <c r="D243" t="s">
        <v>270</v>
      </c>
      <c r="E243" t="s">
        <v>39</v>
      </c>
      <c r="F243" t="s">
        <v>40</v>
      </c>
      <c r="G243" t="s">
        <v>41</v>
      </c>
      <c r="H243" s="3" t="str">
        <f>HYPERLINK("https://www.avito.ru/ryazan/bytovaya_elektronika/3d_printer_h2c_combo_cn_polnyy_funktsional_ekonomiya_8071716720","3D принтер H2C Combo CN — полный функционал, экономия")</f>
      </c>
      <c r="I243" t="s">
        <v>111</v>
      </c>
      <c r="J243" t="s">
        <v>55</v>
      </c>
      <c r="K243" t="s">
        <v>56</v>
      </c>
      <c r="L243">
        <v>30</v>
      </c>
      <c r="M243">
        <v>101</v>
      </c>
      <c r="N243" s="4">
        <v>0.0693</v>
      </c>
      <c r="O243">
        <v>7</v>
      </c>
      <c r="P243" s="5">
        <v>8</v>
      </c>
      <c r="Q243" s="4">
        <v>0</v>
      </c>
      <c r="R243">
        <v>0</v>
      </c>
      <c r="S243">
        <v>0</v>
      </c>
      <c r="T243">
        <v>0</v>
      </c>
      <c r="U243">
        <v>0</v>
      </c>
      <c r="V243">
        <v>0</v>
      </c>
      <c r="W243">
        <v>0</v>
      </c>
      <c r="X243" s="5" t="s">
        <v>54</v>
      </c>
      <c r="Y243">
        <v>0</v>
      </c>
      <c r="Z243" s="4">
        <v>0</v>
      </c>
      <c r="AA243">
        <v>0</v>
      </c>
      <c r="AB243" s="5">
        <v>0</v>
      </c>
      <c r="AC243">
        <v>0</v>
      </c>
      <c r="AD243" s="5">
        <v>0</v>
      </c>
      <c r="AE243" s="5">
        <v>56</v>
      </c>
      <c r="AF243" s="5">
        <v>0</v>
      </c>
      <c r="AG243" s="5">
        <v>56</v>
      </c>
      <c r="AH243" s="5">
        <v>0</v>
      </c>
      <c r="AI243" s="5">
        <v>0</v>
      </c>
      <c r="AJ243" s="5">
        <v>0</v>
      </c>
    </row>
    <row r="244">
      <c r="A244" s="2" t="str">
        <f>HYPERLINK("https://www.avito.ru/voronezh/bytovaya_elektronika/3d_printer_h2d_laser_40w_eu_ams_2_pro_rezka_metalla_8071718184","8071718184")</f>
      </c>
      <c r="B244" t="s">
        <v>169</v>
      </c>
      <c r="C244" t="s">
        <v>170</v>
      </c>
      <c r="D244" t="s">
        <v>171</v>
      </c>
      <c r="E244" t="s">
        <v>39</v>
      </c>
      <c r="F244" t="s">
        <v>40</v>
      </c>
      <c r="G244" t="s">
        <v>41</v>
      </c>
      <c r="H244" s="3" t="str">
        <f>HYPERLINK("https://www.avito.ru/voronezh/bytovaya_elektronika/3d_printer_h2d_laser_40w_eu_ams_2_pro_rezka_metalla_8071718184","3D принтер H2D Laser 40W EU — AMS 2 Pro + резка металла")</f>
      </c>
      <c r="I244" t="s">
        <v>271</v>
      </c>
      <c r="J244" t="s">
        <v>89</v>
      </c>
      <c r="K244" t="s">
        <v>84</v>
      </c>
      <c r="L244">
        <v>28</v>
      </c>
      <c r="M244">
        <v>330</v>
      </c>
      <c r="N244" s="4">
        <v>0.0303</v>
      </c>
      <c r="O244">
        <v>10</v>
      </c>
      <c r="P244" s="5">
        <v>5.6</v>
      </c>
      <c r="Q244" s="4">
        <v>0</v>
      </c>
      <c r="R244">
        <v>0</v>
      </c>
      <c r="S244">
        <v>0</v>
      </c>
      <c r="T244">
        <v>0</v>
      </c>
      <c r="U244">
        <v>0</v>
      </c>
      <c r="V244">
        <v>0</v>
      </c>
      <c r="W244">
        <v>0</v>
      </c>
      <c r="X244" s="5" t="s">
        <v>54</v>
      </c>
      <c r="Y244">
        <v>1</v>
      </c>
      <c r="Z244" s="4">
        <v>0</v>
      </c>
      <c r="AA244">
        <v>0</v>
      </c>
      <c r="AB244" s="5">
        <v>0</v>
      </c>
      <c r="AC244">
        <v>0</v>
      </c>
      <c r="AD244" s="5">
        <v>0</v>
      </c>
      <c r="AE244" s="5">
        <v>56</v>
      </c>
      <c r="AF244" s="5">
        <v>0</v>
      </c>
      <c r="AG244" s="5">
        <v>56</v>
      </c>
      <c r="AH244" s="5">
        <v>0</v>
      </c>
      <c r="AI244" s="5">
        <v>0</v>
      </c>
      <c r="AJ244" s="5">
        <v>0</v>
      </c>
    </row>
    <row r="245">
      <c r="A245" s="2" t="str">
        <f>HYPERLINK("https://www.avito.ru/ufa/bytovaya_elektronika/bambu_h2d_pro_ams_eu_pro-komponenty_sdek_2527_dney_8071720700","8071720700")</f>
      </c>
      <c r="B245" t="s">
        <v>162</v>
      </c>
      <c r="C245" t="s">
        <v>163</v>
      </c>
      <c r="D245" t="s">
        <v>164</v>
      </c>
      <c r="E245" t="s">
        <v>39</v>
      </c>
      <c r="F245" t="s">
        <v>40</v>
      </c>
      <c r="G245" t="s">
        <v>41</v>
      </c>
      <c r="H245" s="3" t="str">
        <f>HYPERLINK("https://www.avito.ru/ufa/bytovaya_elektronika/bambu_h2d_pro_ams_eu_pro-komponenty_sdek_2527_dney_8071720700","Bambu H2D PRO AMS EU — PRO-компоненты, сдэк 25–27 дней")</f>
      </c>
      <c r="I245" t="s">
        <v>194</v>
      </c>
      <c r="J245" t="s">
        <v>89</v>
      </c>
      <c r="K245" t="s">
        <v>84</v>
      </c>
      <c r="L245">
        <v>28</v>
      </c>
      <c r="M245">
        <v>14</v>
      </c>
      <c r="N245" s="4">
        <v>0</v>
      </c>
      <c r="O245">
        <v>0</v>
      </c>
      <c r="P245" s="5" t="s">
        <v>54</v>
      </c>
      <c r="Q245" s="4" t="s">
        <v>54</v>
      </c>
      <c r="R245">
        <v>0</v>
      </c>
      <c r="S245">
        <v>0</v>
      </c>
      <c r="T245">
        <v>0</v>
      </c>
      <c r="U245">
        <v>0</v>
      </c>
      <c r="V245">
        <v>0</v>
      </c>
      <c r="W245">
        <v>0</v>
      </c>
      <c r="X245" s="5" t="s">
        <v>54</v>
      </c>
      <c r="Y245">
        <v>0</v>
      </c>
      <c r="Z245" s="4" t="s">
        <v>54</v>
      </c>
      <c r="AA245">
        <v>0</v>
      </c>
      <c r="AB245" s="5">
        <v>0</v>
      </c>
      <c r="AC245">
        <v>0</v>
      </c>
      <c r="AD245" s="5">
        <v>0</v>
      </c>
      <c r="AE245" s="5">
        <v>56</v>
      </c>
      <c r="AF245" s="5">
        <v>0</v>
      </c>
      <c r="AG245" s="5">
        <v>56</v>
      </c>
      <c r="AH245" s="5">
        <v>0</v>
      </c>
      <c r="AI245" s="5">
        <v>0</v>
      </c>
      <c r="AJ245" s="5">
        <v>0</v>
      </c>
    </row>
    <row r="246">
      <c r="A246" s="2" t="str">
        <f>HYPERLINK("https://www.avito.ru/moskva/bytovaya_elektronika/3d_printer_h2c_combo_eu_bambu_lab_v_nalichii_8071721068","8071721068")</f>
      </c>
      <c r="B246" t="s">
        <v>36</v>
      </c>
      <c r="C246" t="s">
        <v>37</v>
      </c>
      <c r="D246" t="s">
        <v>57</v>
      </c>
      <c r="E246" t="s">
        <v>39</v>
      </c>
      <c r="F246" t="s">
        <v>40</v>
      </c>
      <c r="G246" t="s">
        <v>41</v>
      </c>
      <c r="H246" s="3" t="str">
        <f>HYPERLINK("https://www.avito.ru/moskva/bytovaya_elektronika/3d_printer_h2c_combo_eu_bambu_lab_v_nalichii_8071721068","3Д принтер H2C Combo EU Bambu Lab — в наличии")</f>
      </c>
      <c r="I246" t="s">
        <v>49</v>
      </c>
      <c r="J246" t="s">
        <v>55</v>
      </c>
      <c r="K246" t="s">
        <v>56</v>
      </c>
      <c r="L246">
        <v>30</v>
      </c>
      <c r="M246">
        <v>14</v>
      </c>
      <c r="N246" s="4">
        <v>0.0714</v>
      </c>
      <c r="O246">
        <v>1</v>
      </c>
      <c r="P246" s="5">
        <v>85</v>
      </c>
      <c r="Q246" s="4">
        <v>0</v>
      </c>
      <c r="R246">
        <v>0</v>
      </c>
      <c r="S246">
        <v>0</v>
      </c>
      <c r="T246">
        <v>0</v>
      </c>
      <c r="U246">
        <v>0</v>
      </c>
      <c r="V246">
        <v>0</v>
      </c>
      <c r="W246">
        <v>0</v>
      </c>
      <c r="X246" s="5" t="s">
        <v>54</v>
      </c>
      <c r="Y246">
        <v>0</v>
      </c>
      <c r="Z246" s="4">
        <v>0</v>
      </c>
      <c r="AA246">
        <v>0</v>
      </c>
      <c r="AB246" s="5">
        <v>0</v>
      </c>
      <c r="AC246">
        <v>0</v>
      </c>
      <c r="AD246" s="5">
        <v>0</v>
      </c>
      <c r="AE246" s="5">
        <v>85</v>
      </c>
      <c r="AF246" s="5">
        <v>0</v>
      </c>
      <c r="AG246" s="5">
        <v>85</v>
      </c>
      <c r="AH246" s="5">
        <v>0</v>
      </c>
      <c r="AI246" s="5">
        <v>0</v>
      </c>
      <c r="AJ246" s="5">
        <v>0</v>
      </c>
    </row>
    <row r="247">
      <c r="A247" s="2" t="str">
        <f>HYPERLINK("https://www.avito.ru/rostov-na-donu/bytovaya_elektronika/h2d_laser_10w_cn_lazer_ams_2_pro_vygodnaya_cn-tsena_8071726543","8071726543")</f>
      </c>
      <c r="B247" t="s">
        <v>70</v>
      </c>
      <c r="C247" t="s">
        <v>71</v>
      </c>
      <c r="D247" t="s">
        <v>72</v>
      </c>
      <c r="E247" t="s">
        <v>39</v>
      </c>
      <c r="F247" t="s">
        <v>40</v>
      </c>
      <c r="G247" t="s">
        <v>41</v>
      </c>
      <c r="H247" s="3" t="str">
        <f>HYPERLINK("https://www.avito.ru/rostov-na-donu/bytovaya_elektronika/h2d_laser_10w_cn_lazer_ams_2_pro_vygodnaya_cn-tsena_8071726543","H2D Laser 10W CN — лазер + AMS 2 Pro, выгодная CN-цена")</f>
      </c>
      <c r="I247" t="s">
        <v>240</v>
      </c>
      <c r="J247" t="s">
        <v>89</v>
      </c>
      <c r="K247" t="s">
        <v>84</v>
      </c>
      <c r="L247">
        <v>28</v>
      </c>
      <c r="M247">
        <v>104</v>
      </c>
      <c r="N247" s="4">
        <v>0.0384</v>
      </c>
      <c r="O247">
        <v>4</v>
      </c>
      <c r="P247" s="5">
        <v>14</v>
      </c>
      <c r="Q247" s="4">
        <v>0</v>
      </c>
      <c r="R247">
        <v>0</v>
      </c>
      <c r="S247">
        <v>0</v>
      </c>
      <c r="T247">
        <v>0</v>
      </c>
      <c r="U247">
        <v>0</v>
      </c>
      <c r="V247">
        <v>0</v>
      </c>
      <c r="W247">
        <v>0</v>
      </c>
      <c r="X247" s="5" t="s">
        <v>54</v>
      </c>
      <c r="Y247">
        <v>0</v>
      </c>
      <c r="Z247" s="4">
        <v>0</v>
      </c>
      <c r="AA247">
        <v>0</v>
      </c>
      <c r="AB247" s="5">
        <v>0</v>
      </c>
      <c r="AC247">
        <v>0</v>
      </c>
      <c r="AD247" s="5">
        <v>0</v>
      </c>
      <c r="AE247" s="5">
        <v>56</v>
      </c>
      <c r="AF247" s="5">
        <v>0</v>
      </c>
      <c r="AG247" s="5">
        <v>56</v>
      </c>
      <c r="AH247" s="5">
        <v>0</v>
      </c>
      <c r="AI247" s="5">
        <v>0</v>
      </c>
      <c r="AJ247" s="5">
        <v>0</v>
      </c>
    </row>
    <row r="248">
      <c r="A248" s="2" t="str">
        <f>HYPERLINK("https://www.avito.ru/sankt-peterburg/bytovaya_elektronika/bambu_lab_h2d_laser_10w_cn_vygodnaya_cn-versiya_8071734058","8071734058")</f>
      </c>
      <c r="B248" t="s">
        <v>36</v>
      </c>
      <c r="C248" t="s">
        <v>90</v>
      </c>
      <c r="D248" t="s">
        <v>115</v>
      </c>
      <c r="E248" t="s">
        <v>39</v>
      </c>
      <c r="F248" t="s">
        <v>40</v>
      </c>
      <c r="G248" t="s">
        <v>41</v>
      </c>
      <c r="H248" s="3" t="str">
        <f>HYPERLINK("https://www.avito.ru/sankt-peterburg/bytovaya_elektronika/bambu_lab_h2d_laser_10w_cn_vygodnaya_cn-versiya_8071734058","Bambu Lab H2D Laser 10W CN — выгодная CN-версия")</f>
      </c>
      <c r="I248" t="s">
        <v>125</v>
      </c>
      <c r="J248" t="s">
        <v>78</v>
      </c>
      <c r="K248" t="s">
        <v>79</v>
      </c>
      <c r="L248">
        <v>29</v>
      </c>
      <c r="M248">
        <v>9</v>
      </c>
      <c r="N248" s="4">
        <v>0</v>
      </c>
      <c r="O248">
        <v>0</v>
      </c>
      <c r="P248" s="5" t="s">
        <v>54</v>
      </c>
      <c r="Q248" s="4" t="s">
        <v>54</v>
      </c>
      <c r="R248">
        <v>0</v>
      </c>
      <c r="S248">
        <v>0</v>
      </c>
      <c r="T248">
        <v>0</v>
      </c>
      <c r="U248">
        <v>0</v>
      </c>
      <c r="V248">
        <v>0</v>
      </c>
      <c r="W248">
        <v>0</v>
      </c>
      <c r="X248" s="5" t="s">
        <v>54</v>
      </c>
      <c r="Y248">
        <v>0</v>
      </c>
      <c r="Z248" s="4" t="s">
        <v>54</v>
      </c>
      <c r="AA248">
        <v>0</v>
      </c>
      <c r="AB248" s="5">
        <v>0</v>
      </c>
      <c r="AC248">
        <v>0</v>
      </c>
      <c r="AD248" s="5">
        <v>0</v>
      </c>
      <c r="AE248" s="5">
        <v>56</v>
      </c>
      <c r="AF248" s="5">
        <v>0</v>
      </c>
      <c r="AG248" s="5">
        <v>56</v>
      </c>
      <c r="AH248" s="5">
        <v>0</v>
      </c>
      <c r="AI248" s="5">
        <v>0</v>
      </c>
      <c r="AJ248" s="5">
        <v>0</v>
      </c>
    </row>
    <row r="249">
      <c r="A249" s="2" t="str">
        <f>HYPERLINK("https://www.avito.ru/krasnoyarsk/bytovaya_elektronika/bambu_lab_h2d_eu_slozhnye_prototipy_s_podderzhkami_8071735072","8071735072")</f>
      </c>
      <c r="B249" t="s">
        <v>156</v>
      </c>
      <c r="C249" t="s">
        <v>157</v>
      </c>
      <c r="D249" t="s">
        <v>158</v>
      </c>
      <c r="E249" t="s">
        <v>39</v>
      </c>
      <c r="F249" t="s">
        <v>40</v>
      </c>
      <c r="G249" t="s">
        <v>41</v>
      </c>
      <c r="H249" s="3" t="str">
        <f>HYPERLINK("https://www.avito.ru/krasnoyarsk/bytovaya_elektronika/bambu_lab_h2d_eu_slozhnye_prototipy_s_podderzhkami_8071735072","Bambu Lab H2D EU — сложные прототипы с поддержками")</f>
      </c>
      <c r="I249" t="s">
        <v>67</v>
      </c>
      <c r="J249" t="s">
        <v>55</v>
      </c>
      <c r="K249" t="s">
        <v>56</v>
      </c>
      <c r="L249">
        <v>30</v>
      </c>
      <c r="M249">
        <v>60</v>
      </c>
      <c r="N249" s="4">
        <v>0.15</v>
      </c>
      <c r="O249">
        <v>9</v>
      </c>
      <c r="P249" s="5">
        <v>6.22</v>
      </c>
      <c r="Q249" s="4">
        <v>0</v>
      </c>
      <c r="R249">
        <v>0</v>
      </c>
      <c r="S249">
        <v>0</v>
      </c>
      <c r="T249">
        <v>0</v>
      </c>
      <c r="U249">
        <v>0</v>
      </c>
      <c r="V249">
        <v>0</v>
      </c>
      <c r="W249">
        <v>0</v>
      </c>
      <c r="X249" s="5" t="s">
        <v>54</v>
      </c>
      <c r="Y249">
        <v>0</v>
      </c>
      <c r="Z249" s="4">
        <v>0</v>
      </c>
      <c r="AA249">
        <v>0</v>
      </c>
      <c r="AB249" s="5">
        <v>0</v>
      </c>
      <c r="AC249">
        <v>0</v>
      </c>
      <c r="AD249" s="5">
        <v>0</v>
      </c>
      <c r="AE249" s="5">
        <v>56</v>
      </c>
      <c r="AF249" s="5">
        <v>0</v>
      </c>
      <c r="AG249" s="5">
        <v>56</v>
      </c>
      <c r="AH249" s="5">
        <v>0</v>
      </c>
      <c r="AI249" s="5">
        <v>0</v>
      </c>
      <c r="AJ249" s="5">
        <v>0</v>
      </c>
    </row>
    <row r="250">
      <c r="A250" s="2" t="str">
        <f>HYPERLINK("https://www.avito.ru/ekaterinburg/bytovaya_elektronika/h2s_eu_bambu_lab_mnogotsvetnaya_pechat_sdek_2527_dney_8071735562","8071735562")</f>
      </c>
      <c r="B250" t="s">
        <v>182</v>
      </c>
      <c r="C250" t="s">
        <v>183</v>
      </c>
      <c r="D250" t="s">
        <v>184</v>
      </c>
      <c r="E250" t="s">
        <v>39</v>
      </c>
      <c r="F250" t="s">
        <v>40</v>
      </c>
      <c r="G250" t="s">
        <v>41</v>
      </c>
      <c r="H250" s="3" t="str">
        <f>HYPERLINK("https://www.avito.ru/ekaterinburg/bytovaya_elektronika/h2s_eu_bambu_lab_mnogotsvetnaya_pechat_sdek_2527_dney_8071735562","H2S EU Bambu Lab — многоцветная печать, сдэк 25–27 дней")</f>
      </c>
      <c r="I250" t="s">
        <v>77</v>
      </c>
      <c r="J250" t="s">
        <v>55</v>
      </c>
      <c r="K250" t="s">
        <v>56</v>
      </c>
      <c r="L250">
        <v>30</v>
      </c>
      <c r="M250">
        <v>94</v>
      </c>
      <c r="N250" s="4">
        <v>0.0957</v>
      </c>
      <c r="O250">
        <v>9</v>
      </c>
      <c r="P250" s="5">
        <v>6.22</v>
      </c>
      <c r="Q250" s="4">
        <v>0</v>
      </c>
      <c r="R250">
        <v>0</v>
      </c>
      <c r="S250">
        <v>0</v>
      </c>
      <c r="T250">
        <v>0</v>
      </c>
      <c r="U250">
        <v>0</v>
      </c>
      <c r="V250">
        <v>0</v>
      </c>
      <c r="W250">
        <v>0</v>
      </c>
      <c r="X250" s="5" t="s">
        <v>54</v>
      </c>
      <c r="Y250">
        <v>0</v>
      </c>
      <c r="Z250" s="4">
        <v>0</v>
      </c>
      <c r="AA250">
        <v>0</v>
      </c>
      <c r="AB250" s="5">
        <v>0</v>
      </c>
      <c r="AC250">
        <v>0</v>
      </c>
      <c r="AD250" s="5">
        <v>0</v>
      </c>
      <c r="AE250" s="5">
        <v>56</v>
      </c>
      <c r="AF250" s="5">
        <v>0</v>
      </c>
      <c r="AG250" s="5">
        <v>56</v>
      </c>
      <c r="AH250" s="5">
        <v>0</v>
      </c>
      <c r="AI250" s="5">
        <v>0</v>
      </c>
      <c r="AJ250" s="5">
        <v>0</v>
      </c>
    </row>
    <row r="251">
      <c r="A251" s="2" t="str">
        <f>HYPERLINK("https://www.avito.ru/voronezh/bytovaya_elektronika/3d_printer_h2d_laser_10w_eu_ams_2_pro_gravirovka_8071738196","8071738196")</f>
      </c>
      <c r="B251" t="s">
        <v>169</v>
      </c>
      <c r="C251" t="s">
        <v>170</v>
      </c>
      <c r="D251" t="s">
        <v>171</v>
      </c>
      <c r="E251" t="s">
        <v>39</v>
      </c>
      <c r="F251" t="s">
        <v>40</v>
      </c>
      <c r="G251" t="s">
        <v>41</v>
      </c>
      <c r="H251" s="3" t="str">
        <f>HYPERLINK("https://www.avito.ru/voronezh/bytovaya_elektronika/3d_printer_h2d_laser_10w_eu_ams_2_pro_gravirovka_8071738196","3D принтер H2D Laser 10W EU — AMS 2 Pro, гравировка")</f>
      </c>
      <c r="I251" t="s">
        <v>272</v>
      </c>
      <c r="J251" t="s">
        <v>89</v>
      </c>
      <c r="K251" t="s">
        <v>84</v>
      </c>
      <c r="L251">
        <v>28</v>
      </c>
      <c r="M251">
        <v>74</v>
      </c>
      <c r="N251" s="4">
        <v>0.0135</v>
      </c>
      <c r="O251">
        <v>1</v>
      </c>
      <c r="P251" s="5">
        <v>56</v>
      </c>
      <c r="Q251" s="4">
        <v>0</v>
      </c>
      <c r="R251">
        <v>0</v>
      </c>
      <c r="S251">
        <v>0</v>
      </c>
      <c r="T251">
        <v>0</v>
      </c>
      <c r="U251">
        <v>0</v>
      </c>
      <c r="V251">
        <v>0</v>
      </c>
      <c r="W251">
        <v>0</v>
      </c>
      <c r="X251" s="5" t="s">
        <v>54</v>
      </c>
      <c r="Y251">
        <v>0</v>
      </c>
      <c r="Z251" s="4">
        <v>0</v>
      </c>
      <c r="AA251">
        <v>0</v>
      </c>
      <c r="AB251" s="5">
        <v>0</v>
      </c>
      <c r="AC251">
        <v>0</v>
      </c>
      <c r="AD251" s="5">
        <v>0</v>
      </c>
      <c r="AE251" s="5">
        <v>56</v>
      </c>
      <c r="AF251" s="5">
        <v>0</v>
      </c>
      <c r="AG251" s="5">
        <v>56</v>
      </c>
      <c r="AH251" s="5">
        <v>0</v>
      </c>
      <c r="AI251" s="5">
        <v>0</v>
      </c>
      <c r="AJ251" s="5">
        <v>0</v>
      </c>
    </row>
    <row r="252">
      <c r="A252" s="2" t="str">
        <f>HYPERLINK("https://www.avito.ru/krasnodar/bytovaya_elektronika/3d_printer_h2c_combo_eu_est_v_nalichii_vortek_ams_8071743703","8071743703")</f>
      </c>
      <c r="B252" t="s">
        <v>58</v>
      </c>
      <c r="C252" t="s">
        <v>59</v>
      </c>
      <c r="D252" t="s">
        <v>66</v>
      </c>
      <c r="E252" t="s">
        <v>39</v>
      </c>
      <c r="F252" t="s">
        <v>40</v>
      </c>
      <c r="G252" t="s">
        <v>41</v>
      </c>
      <c r="H252" s="3" t="str">
        <f>HYPERLINK("https://www.avito.ru/krasnodar/bytovaya_elektronika/3d_printer_h2c_combo_eu_est_v_nalichii_vortek_ams_8071743703","3D принтер H2C Combo EU — есть в наличии, Vortek + AMS")</f>
      </c>
      <c r="I252" t="s">
        <v>61</v>
      </c>
      <c r="J252" t="s">
        <v>55</v>
      </c>
      <c r="K252" t="s">
        <v>56</v>
      </c>
      <c r="L252">
        <v>30</v>
      </c>
      <c r="M252">
        <v>84</v>
      </c>
      <c r="N252" s="4">
        <v>0.2619</v>
      </c>
      <c r="O252">
        <v>22</v>
      </c>
      <c r="P252" s="5">
        <v>2.54</v>
      </c>
      <c r="Q252" s="4">
        <v>0</v>
      </c>
      <c r="R252">
        <v>0</v>
      </c>
      <c r="S252">
        <v>0</v>
      </c>
      <c r="T252">
        <v>0</v>
      </c>
      <c r="U252">
        <v>0</v>
      </c>
      <c r="V252">
        <v>0</v>
      </c>
      <c r="W252">
        <v>0</v>
      </c>
      <c r="X252" s="5" t="s">
        <v>54</v>
      </c>
      <c r="Y252">
        <v>0</v>
      </c>
      <c r="Z252" s="4">
        <v>0</v>
      </c>
      <c r="AA252">
        <v>0</v>
      </c>
      <c r="AB252" s="5">
        <v>0</v>
      </c>
      <c r="AC252">
        <v>0</v>
      </c>
      <c r="AD252" s="5">
        <v>0</v>
      </c>
      <c r="AE252" s="5">
        <v>56</v>
      </c>
      <c r="AF252" s="5">
        <v>0</v>
      </c>
      <c r="AG252" s="5">
        <v>56</v>
      </c>
      <c r="AH252" s="5">
        <v>0</v>
      </c>
      <c r="AI252" s="5">
        <v>0</v>
      </c>
      <c r="AJ252" s="5">
        <v>0</v>
      </c>
    </row>
    <row r="253">
      <c r="A253" s="2" t="str">
        <f>HYPERLINK("https://www.avito.ru/habarovsk/bytovaya_elektronika/3d_printer_h2d_eu_bambu_lab_1000_mms_pod_zakaz_8071751003","8071751003")</f>
      </c>
      <c r="B253" t="s">
        <v>150</v>
      </c>
      <c r="C253" t="s">
        <v>151</v>
      </c>
      <c r="D253" t="s">
        <v>152</v>
      </c>
      <c r="E253" t="s">
        <v>39</v>
      </c>
      <c r="F253" t="s">
        <v>40</v>
      </c>
      <c r="G253" t="s">
        <v>41</v>
      </c>
      <c r="H253" s="3" t="str">
        <f>HYPERLINK("https://www.avito.ru/habarovsk/bytovaya_elektronika/3d_printer_h2d_eu_bambu_lab_1000_mms_pod_zakaz_8071751003","3D принтер H2D EU Bambu Lab — 1000 мм/с, под заказ")</f>
      </c>
      <c r="I253" t="s">
        <v>67</v>
      </c>
      <c r="J253" t="s">
        <v>78</v>
      </c>
      <c r="K253" t="s">
        <v>84</v>
      </c>
      <c r="L253">
        <v>29</v>
      </c>
      <c r="M253">
        <v>7</v>
      </c>
      <c r="N253" s="4">
        <v>0</v>
      </c>
      <c r="O253">
        <v>0</v>
      </c>
      <c r="P253" s="5" t="s">
        <v>54</v>
      </c>
      <c r="Q253" s="4" t="s">
        <v>54</v>
      </c>
      <c r="R253">
        <v>0</v>
      </c>
      <c r="S253">
        <v>0</v>
      </c>
      <c r="T253">
        <v>0</v>
      </c>
      <c r="U253">
        <v>0</v>
      </c>
      <c r="V253">
        <v>0</v>
      </c>
      <c r="W253">
        <v>0</v>
      </c>
      <c r="X253" s="5" t="s">
        <v>54</v>
      </c>
      <c r="Y253">
        <v>0</v>
      </c>
      <c r="Z253" s="4" t="s">
        <v>54</v>
      </c>
      <c r="AA253">
        <v>0</v>
      </c>
      <c r="AB253" s="5">
        <v>0</v>
      </c>
      <c r="AC253">
        <v>0</v>
      </c>
      <c r="AD253" s="5">
        <v>0</v>
      </c>
      <c r="AE253" s="5">
        <v>56</v>
      </c>
      <c r="AF253" s="5">
        <v>0</v>
      </c>
      <c r="AG253" s="5">
        <v>56</v>
      </c>
      <c r="AH253" s="5">
        <v>0</v>
      </c>
      <c r="AI253" s="5">
        <v>0</v>
      </c>
      <c r="AJ253" s="5">
        <v>0</v>
      </c>
    </row>
    <row r="254">
      <c r="A254" s="2" t="str">
        <f>HYPERLINK("https://www.avito.ru/novosibirsk/bytovaya_elektronika/bambu_lab_p2s_combo_ams_dlya_doma_i_studii_sdek_8071756935","8071756935")</f>
      </c>
      <c r="B254" t="s">
        <v>122</v>
      </c>
      <c r="C254" t="s">
        <v>123</v>
      </c>
      <c r="D254" t="s">
        <v>124</v>
      </c>
      <c r="E254" t="s">
        <v>39</v>
      </c>
      <c r="F254" t="s">
        <v>40</v>
      </c>
      <c r="G254" t="s">
        <v>41</v>
      </c>
      <c r="H254" s="3" t="str">
        <f>HYPERLINK("https://www.avito.ru/novosibirsk/bytovaya_elektronika/bambu_lab_p2s_combo_ams_dlya_doma_i_studii_sdek_8071756935","Bambu Lab P2S Combo AMS — для дома и студии, сдэк")</f>
      </c>
      <c r="I254" t="s">
        <v>273</v>
      </c>
      <c r="J254" t="s">
        <v>89</v>
      </c>
      <c r="K254" t="s">
        <v>84</v>
      </c>
      <c r="L254">
        <v>28</v>
      </c>
      <c r="M254">
        <v>159</v>
      </c>
      <c r="N254" s="4">
        <v>0.0503</v>
      </c>
      <c r="O254">
        <v>8</v>
      </c>
      <c r="P254" s="5">
        <v>7</v>
      </c>
      <c r="Q254" s="4">
        <v>0</v>
      </c>
      <c r="R254">
        <v>0</v>
      </c>
      <c r="S254">
        <v>0</v>
      </c>
      <c r="T254">
        <v>0</v>
      </c>
      <c r="U254">
        <v>0</v>
      </c>
      <c r="V254">
        <v>0</v>
      </c>
      <c r="W254">
        <v>0</v>
      </c>
      <c r="X254" s="5" t="s">
        <v>54</v>
      </c>
      <c r="Y254">
        <v>0</v>
      </c>
      <c r="Z254" s="4">
        <v>0</v>
      </c>
      <c r="AA254">
        <v>0</v>
      </c>
      <c r="AB254" s="5">
        <v>0</v>
      </c>
      <c r="AC254">
        <v>0</v>
      </c>
      <c r="AD254" s="5">
        <v>0</v>
      </c>
      <c r="AE254" s="5">
        <v>56</v>
      </c>
      <c r="AF254" s="5">
        <v>0</v>
      </c>
      <c r="AG254" s="5">
        <v>56</v>
      </c>
      <c r="AH254" s="5">
        <v>0</v>
      </c>
      <c r="AI254" s="5">
        <v>0</v>
      </c>
      <c r="AJ254" s="5">
        <v>0</v>
      </c>
    </row>
    <row r="255">
      <c r="A255" s="2" t="str">
        <f>HYPERLINK("https://www.avito.ru/perm/bytovaya_elektronika/h2d_combo_ams_2_pro_eu_dvoynoy_ekstruder_ai-kamera_8071756999","8071756999")</f>
      </c>
      <c r="B255" t="s">
        <v>126</v>
      </c>
      <c r="C255" t="s">
        <v>127</v>
      </c>
      <c r="D255" t="s">
        <v>128</v>
      </c>
      <c r="E255" t="s">
        <v>39</v>
      </c>
      <c r="F255" t="s">
        <v>40</v>
      </c>
      <c r="G255" t="s">
        <v>41</v>
      </c>
      <c r="H255" s="3" t="str">
        <f>HYPERLINK("https://www.avito.ru/perm/bytovaya_elektronika/h2d_combo_ams_2_pro_eu_dvoynoy_ekstruder_ai-kamera_8071756999","H2D Combo AMS 2 Pro EU — двойной экструдер, AI-камера")</f>
      </c>
      <c r="I255" t="s">
        <v>274</v>
      </c>
      <c r="J255" t="s">
        <v>89</v>
      </c>
      <c r="K255" t="s">
        <v>84</v>
      </c>
      <c r="L255">
        <v>28</v>
      </c>
      <c r="M255">
        <v>46</v>
      </c>
      <c r="N255" s="4">
        <v>0.0652</v>
      </c>
      <c r="O255">
        <v>3</v>
      </c>
      <c r="P255" s="5">
        <v>18.66</v>
      </c>
      <c r="Q255" s="4">
        <v>0</v>
      </c>
      <c r="R255">
        <v>0</v>
      </c>
      <c r="S255">
        <v>0</v>
      </c>
      <c r="T255">
        <v>0</v>
      </c>
      <c r="U255">
        <v>0</v>
      </c>
      <c r="V255">
        <v>0</v>
      </c>
      <c r="W255">
        <v>0</v>
      </c>
      <c r="X255" s="5" t="s">
        <v>54</v>
      </c>
      <c r="Y255">
        <v>0</v>
      </c>
      <c r="Z255" s="4">
        <v>0</v>
      </c>
      <c r="AA255">
        <v>0</v>
      </c>
      <c r="AB255" s="5">
        <v>0</v>
      </c>
      <c r="AC255">
        <v>0</v>
      </c>
      <c r="AD255" s="5">
        <v>0</v>
      </c>
      <c r="AE255" s="5">
        <v>56</v>
      </c>
      <c r="AF255" s="5">
        <v>0</v>
      </c>
      <c r="AG255" s="5">
        <v>56</v>
      </c>
      <c r="AH255" s="5">
        <v>0</v>
      </c>
      <c r="AI255" s="5">
        <v>0</v>
      </c>
      <c r="AJ255" s="5">
        <v>0</v>
      </c>
    </row>
    <row r="256">
      <c r="A256" s="2" t="str">
        <f>HYPERLINK("https://www.avito.ru/moskva/bytovaya_elektronika/bambu_lab_h2d_combo_ams_2_pro_eu_1000_mms_ai-kamera_8071759101","8071759101")</f>
      </c>
      <c r="B256" t="s">
        <v>36</v>
      </c>
      <c r="C256" t="s">
        <v>37</v>
      </c>
      <c r="D256" t="s">
        <v>68</v>
      </c>
      <c r="E256" t="s">
        <v>39</v>
      </c>
      <c r="F256" t="s">
        <v>40</v>
      </c>
      <c r="G256" t="s">
        <v>41</v>
      </c>
      <c r="H256" s="3" t="str">
        <f>HYPERLINK("https://www.avito.ru/moskva/bytovaya_elektronika/bambu_lab_h2d_combo_ams_2_pro_eu_1000_mms_ai-kamera_8071759101","Bambu Lab H2D Combo AMS 2 Pro EU — 1000 мм/с, AI-камера")</f>
      </c>
      <c r="I256" t="s">
        <v>67</v>
      </c>
      <c r="J256" t="s">
        <v>55</v>
      </c>
      <c r="K256" t="s">
        <v>56</v>
      </c>
      <c r="L256">
        <v>30</v>
      </c>
      <c r="M256">
        <v>40</v>
      </c>
      <c r="N256" s="4">
        <v>0.2</v>
      </c>
      <c r="O256">
        <v>8</v>
      </c>
      <c r="P256" s="5">
        <v>10.62</v>
      </c>
      <c r="Q256" s="4">
        <v>0</v>
      </c>
      <c r="R256">
        <v>0</v>
      </c>
      <c r="S256">
        <v>0</v>
      </c>
      <c r="T256">
        <v>0</v>
      </c>
      <c r="U256">
        <v>0</v>
      </c>
      <c r="V256">
        <v>0</v>
      </c>
      <c r="W256">
        <v>0</v>
      </c>
      <c r="X256" s="5" t="s">
        <v>54</v>
      </c>
      <c r="Y256">
        <v>1</v>
      </c>
      <c r="Z256" s="4">
        <v>0</v>
      </c>
      <c r="AA256">
        <v>0</v>
      </c>
      <c r="AB256" s="5">
        <v>0</v>
      </c>
      <c r="AC256">
        <v>0</v>
      </c>
      <c r="AD256" s="5">
        <v>0</v>
      </c>
      <c r="AE256" s="5">
        <v>85</v>
      </c>
      <c r="AF256" s="5">
        <v>0</v>
      </c>
      <c r="AG256" s="5">
        <v>85</v>
      </c>
      <c r="AH256" s="5">
        <v>0</v>
      </c>
      <c r="AI256" s="5">
        <v>0</v>
      </c>
      <c r="AJ256" s="5">
        <v>0</v>
      </c>
    </row>
    <row r="257">
      <c r="A257" s="2" t="str">
        <f>HYPERLINK("https://www.avito.ru/perm/bytovaya_elektronika/bambu_lab_h2s_combo_ams_2_pro_eu_dostavka_po_rf_8071760070","8071760070")</f>
      </c>
      <c r="B257" t="s">
        <v>126</v>
      </c>
      <c r="C257" t="s">
        <v>127</v>
      </c>
      <c r="D257" t="s">
        <v>128</v>
      </c>
      <c r="E257" t="s">
        <v>39</v>
      </c>
      <c r="F257" t="s">
        <v>40</v>
      </c>
      <c r="G257" t="s">
        <v>41</v>
      </c>
      <c r="H257" s="3" t="str">
        <f>HYPERLINK("https://www.avito.ru/perm/bytovaya_elektronika/bambu_lab_h2s_combo_ams_2_pro_eu_dostavka_po_rf_8071760070","Bambu Lab H2S Combo AMS 2 Pro EU — доставка по РФ")</f>
      </c>
      <c r="I257" t="s">
        <v>275</v>
      </c>
      <c r="J257" t="s">
        <v>89</v>
      </c>
      <c r="K257" t="s">
        <v>84</v>
      </c>
      <c r="L257">
        <v>28</v>
      </c>
      <c r="M257">
        <v>131</v>
      </c>
      <c r="N257" s="4">
        <v>0.0381</v>
      </c>
      <c r="O257">
        <v>5</v>
      </c>
      <c r="P257" s="5">
        <v>11.2</v>
      </c>
      <c r="Q257" s="4">
        <v>0</v>
      </c>
      <c r="R257">
        <v>0</v>
      </c>
      <c r="S257">
        <v>0</v>
      </c>
      <c r="T257">
        <v>0</v>
      </c>
      <c r="U257">
        <v>0</v>
      </c>
      <c r="V257">
        <v>0</v>
      </c>
      <c r="W257">
        <v>0</v>
      </c>
      <c r="X257" s="5" t="s">
        <v>54</v>
      </c>
      <c r="Y257">
        <v>0</v>
      </c>
      <c r="Z257" s="4">
        <v>0</v>
      </c>
      <c r="AA257">
        <v>0</v>
      </c>
      <c r="AB257" s="5">
        <v>0</v>
      </c>
      <c r="AC257">
        <v>0</v>
      </c>
      <c r="AD257" s="5">
        <v>0</v>
      </c>
      <c r="AE257" s="5">
        <v>56</v>
      </c>
      <c r="AF257" s="5">
        <v>0</v>
      </c>
      <c r="AG257" s="5">
        <v>56</v>
      </c>
      <c r="AH257" s="5">
        <v>0</v>
      </c>
      <c r="AI257" s="5">
        <v>0</v>
      </c>
      <c r="AJ257" s="5">
        <v>0</v>
      </c>
    </row>
    <row r="258">
      <c r="A258" s="2" t="str">
        <f>HYPERLINK("https://www.avito.ru/krasnodar/bytovaya_elektronika/3d_printer_h2d_pro_combo_eu_proizvodstvo_i_rd_8071760090","8071760090")</f>
      </c>
      <c r="B258" t="s">
        <v>58</v>
      </c>
      <c r="C258" t="s">
        <v>59</v>
      </c>
      <c r="D258" t="s">
        <v>66</v>
      </c>
      <c r="E258" t="s">
        <v>39</v>
      </c>
      <c r="F258" t="s">
        <v>40</v>
      </c>
      <c r="G258" t="s">
        <v>41</v>
      </c>
      <c r="H258" s="3" t="str">
        <f>HYPERLINK("https://www.avito.ru/krasnodar/bytovaya_elektronika/3d_printer_h2d_pro_combo_eu_proizvodstvo_i_rd_8071760090","3D принтер H2D PRO Combo EU — производство и R&amp;D")</f>
      </c>
      <c r="I258" t="s">
        <v>201</v>
      </c>
      <c r="J258" t="s">
        <v>78</v>
      </c>
      <c r="K258" t="s">
        <v>79</v>
      </c>
      <c r="L258">
        <v>29</v>
      </c>
      <c r="M258">
        <v>17</v>
      </c>
      <c r="N258" s="4">
        <v>0.0588</v>
      </c>
      <c r="O258">
        <v>1</v>
      </c>
      <c r="P258" s="5">
        <v>56</v>
      </c>
      <c r="Q258" s="4">
        <v>0</v>
      </c>
      <c r="R258">
        <v>0</v>
      </c>
      <c r="S258">
        <v>0</v>
      </c>
      <c r="T258">
        <v>0</v>
      </c>
      <c r="U258">
        <v>0</v>
      </c>
      <c r="V258">
        <v>0</v>
      </c>
      <c r="W258">
        <v>0</v>
      </c>
      <c r="X258" s="5" t="s">
        <v>54</v>
      </c>
      <c r="Y258">
        <v>0</v>
      </c>
      <c r="Z258" s="4">
        <v>0</v>
      </c>
      <c r="AA258">
        <v>0</v>
      </c>
      <c r="AB258" s="5">
        <v>0</v>
      </c>
      <c r="AC258">
        <v>0</v>
      </c>
      <c r="AD258" s="5">
        <v>0</v>
      </c>
      <c r="AE258" s="5">
        <v>56</v>
      </c>
      <c r="AF258" s="5">
        <v>0</v>
      </c>
      <c r="AG258" s="5">
        <v>56</v>
      </c>
      <c r="AH258" s="5">
        <v>0</v>
      </c>
      <c r="AI258" s="5">
        <v>0</v>
      </c>
      <c r="AJ258" s="5">
        <v>0</v>
      </c>
    </row>
    <row r="259">
      <c r="A259" s="2" t="str">
        <f>HYPERLINK("https://www.avito.ru/samara/bytovaya_elektronika/bambu_lab_h2d_laser_10w_cn_vygodnaya_cn-versiya_8071760772","8071760772")</f>
      </c>
      <c r="B259" t="s">
        <v>143</v>
      </c>
      <c r="C259" t="s">
        <v>144</v>
      </c>
      <c r="D259" t="s">
        <v>145</v>
      </c>
      <c r="E259" t="s">
        <v>39</v>
      </c>
      <c r="F259" t="s">
        <v>40</v>
      </c>
      <c r="G259" t="s">
        <v>41</v>
      </c>
      <c r="H259" s="3" t="str">
        <f>HYPERLINK("https://www.avito.ru/samara/bytovaya_elektronika/bambu_lab_h2d_laser_10w_cn_vygodnaya_cn-versiya_8071760772","Bambu Lab H2D Laser 10W CN — выгодная CN-версия")</f>
      </c>
      <c r="I259" t="s">
        <v>125</v>
      </c>
      <c r="J259" t="s">
        <v>78</v>
      </c>
      <c r="K259" t="s">
        <v>84</v>
      </c>
      <c r="L259">
        <v>29</v>
      </c>
      <c r="M259">
        <v>3</v>
      </c>
      <c r="N259" s="4">
        <v>0.3333</v>
      </c>
      <c r="O259">
        <v>1</v>
      </c>
      <c r="P259" s="5">
        <v>56</v>
      </c>
      <c r="Q259" s="4">
        <v>0</v>
      </c>
      <c r="R259">
        <v>0</v>
      </c>
      <c r="S259">
        <v>0</v>
      </c>
      <c r="T259">
        <v>0</v>
      </c>
      <c r="U259">
        <v>0</v>
      </c>
      <c r="V259">
        <v>0</v>
      </c>
      <c r="W259">
        <v>0</v>
      </c>
      <c r="X259" s="5" t="s">
        <v>54</v>
      </c>
      <c r="Y259">
        <v>0</v>
      </c>
      <c r="Z259" s="4">
        <v>0</v>
      </c>
      <c r="AA259">
        <v>0</v>
      </c>
      <c r="AB259" s="5">
        <v>0</v>
      </c>
      <c r="AC259">
        <v>0</v>
      </c>
      <c r="AD259" s="5">
        <v>0</v>
      </c>
      <c r="AE259" s="5">
        <v>56</v>
      </c>
      <c r="AF259" s="5">
        <v>0</v>
      </c>
      <c r="AG259" s="5">
        <v>56</v>
      </c>
      <c r="AH259" s="5">
        <v>0</v>
      </c>
      <c r="AI259" s="5">
        <v>0</v>
      </c>
      <c r="AJ259" s="5">
        <v>0</v>
      </c>
    </row>
    <row r="260">
      <c r="A260" s="2" t="str">
        <f>HYPERLINK("https://www.avito.ru/krasnodar/bytovaya_elektronika/bambu_lab_h2d_eu_laser_10w_3_v_1_pod_zakaz_sdek_8071762090","8071762090")</f>
      </c>
      <c r="B260" t="s">
        <v>58</v>
      </c>
      <c r="C260" t="s">
        <v>59</v>
      </c>
      <c r="D260" t="s">
        <v>66</v>
      </c>
      <c r="E260" t="s">
        <v>39</v>
      </c>
      <c r="F260" t="s">
        <v>40</v>
      </c>
      <c r="G260" t="s">
        <v>41</v>
      </c>
      <c r="H260" s="3" t="str">
        <f>HYPERLINK("https://www.avito.ru/krasnodar/bytovaya_elektronika/bambu_lab_h2d_eu_laser_10w_3_v_1_pod_zakaz_sdek_8071762090","Bambu Lab H2D EU Laser 10W — 3 в 1, под заказ сдэк")</f>
      </c>
      <c r="I260" t="s">
        <v>276</v>
      </c>
      <c r="J260" t="s">
        <v>55</v>
      </c>
      <c r="K260" t="s">
        <v>56</v>
      </c>
      <c r="L260">
        <v>30</v>
      </c>
      <c r="M260">
        <v>32</v>
      </c>
      <c r="N260" s="4">
        <v>0.0937</v>
      </c>
      <c r="O260">
        <v>3</v>
      </c>
      <c r="P260" s="5">
        <v>18.66</v>
      </c>
      <c r="Q260" s="4">
        <v>0</v>
      </c>
      <c r="R260">
        <v>0</v>
      </c>
      <c r="S260">
        <v>0</v>
      </c>
      <c r="T260">
        <v>0</v>
      </c>
      <c r="U260">
        <v>0</v>
      </c>
      <c r="V260">
        <v>0</v>
      </c>
      <c r="W260">
        <v>0</v>
      </c>
      <c r="X260" s="5" t="s">
        <v>54</v>
      </c>
      <c r="Y260">
        <v>0</v>
      </c>
      <c r="Z260" s="4">
        <v>0</v>
      </c>
      <c r="AA260">
        <v>0</v>
      </c>
      <c r="AB260" s="5">
        <v>0</v>
      </c>
      <c r="AC260">
        <v>0</v>
      </c>
      <c r="AD260" s="5">
        <v>0</v>
      </c>
      <c r="AE260" s="5">
        <v>56</v>
      </c>
      <c r="AF260" s="5">
        <v>0</v>
      </c>
      <c r="AG260" s="5">
        <v>56</v>
      </c>
      <c r="AH260" s="5">
        <v>0</v>
      </c>
      <c r="AI260" s="5">
        <v>0</v>
      </c>
      <c r="AJ260" s="5">
        <v>0</v>
      </c>
    </row>
    <row r="261">
      <c r="A261" s="2" t="str">
        <f>HYPERLINK("https://www.avito.ru/perm/bytovaya_elektronika/bambu_h2c_full_combo_laser_40w_promyshlennyy_lazer_8071766787","8071766787")</f>
      </c>
      <c r="B261" t="s">
        <v>126</v>
      </c>
      <c r="C261" t="s">
        <v>127</v>
      </c>
      <c r="D261" t="s">
        <v>128</v>
      </c>
      <c r="E261" t="s">
        <v>39</v>
      </c>
      <c r="F261" t="s">
        <v>40</v>
      </c>
      <c r="G261" t="s">
        <v>41</v>
      </c>
      <c r="H261" s="3" t="str">
        <f>HYPERLINK("https://www.avito.ru/perm/bytovaya_elektronika/bambu_h2c_full_combo_laser_40w_promyshlennyy_lazer_8071766787","Bambu H2C Full Combo Laser 40W — промышленный лазер")</f>
      </c>
      <c r="I261" t="s">
        <v>146</v>
      </c>
      <c r="J261" t="s">
        <v>89</v>
      </c>
      <c r="K261" t="s">
        <v>84</v>
      </c>
      <c r="L261">
        <v>28</v>
      </c>
      <c r="M261">
        <v>19</v>
      </c>
      <c r="N261" s="4">
        <v>0</v>
      </c>
      <c r="O261">
        <v>0</v>
      </c>
      <c r="P261" s="5" t="s">
        <v>54</v>
      </c>
      <c r="Q261" s="4" t="s">
        <v>54</v>
      </c>
      <c r="R261">
        <v>0</v>
      </c>
      <c r="S261">
        <v>0</v>
      </c>
      <c r="T261">
        <v>0</v>
      </c>
      <c r="U261">
        <v>0</v>
      </c>
      <c r="V261">
        <v>0</v>
      </c>
      <c r="W261">
        <v>0</v>
      </c>
      <c r="X261" s="5" t="s">
        <v>54</v>
      </c>
      <c r="Y261">
        <v>0</v>
      </c>
      <c r="Z261" s="4" t="s">
        <v>54</v>
      </c>
      <c r="AA261">
        <v>0</v>
      </c>
      <c r="AB261" s="5">
        <v>0</v>
      </c>
      <c r="AC261">
        <v>0</v>
      </c>
      <c r="AD261" s="5">
        <v>0</v>
      </c>
      <c r="AE261" s="5">
        <v>56</v>
      </c>
      <c r="AF261" s="5">
        <v>0</v>
      </c>
      <c r="AG261" s="5">
        <v>56</v>
      </c>
      <c r="AH261" s="5">
        <v>0</v>
      </c>
      <c r="AI261" s="5">
        <v>0</v>
      </c>
      <c r="AJ261" s="5">
        <v>0</v>
      </c>
    </row>
    <row r="262">
      <c r="A262" s="2" t="str">
        <f>HYPERLINK("https://www.avito.ru/kazan/bytovaya_elektronika/bambu_lab_h2d_laser_40w_cn_vygodnaya_cn-versiya_8071767031","8071767031")</f>
      </c>
      <c r="B262" t="s">
        <v>97</v>
      </c>
      <c r="C262" t="s">
        <v>98</v>
      </c>
      <c r="D262" t="s">
        <v>99</v>
      </c>
      <c r="E262" t="s">
        <v>39</v>
      </c>
      <c r="F262" t="s">
        <v>40</v>
      </c>
      <c r="G262" t="s">
        <v>41</v>
      </c>
      <c r="H262" s="3" t="str">
        <f>HYPERLINK("https://www.avito.ru/kazan/bytovaya_elektronika/bambu_lab_h2d_laser_40w_cn_vygodnaya_cn-versiya_8071767031","Bambu Lab H2D Laser 40W CN — выгодная CN-версия")</f>
      </c>
      <c r="I262" t="s">
        <v>220</v>
      </c>
      <c r="J262" t="s">
        <v>78</v>
      </c>
      <c r="K262" t="s">
        <v>79</v>
      </c>
      <c r="L262">
        <v>29</v>
      </c>
      <c r="M262">
        <v>152</v>
      </c>
      <c r="N262" s="4">
        <v>0.0263</v>
      </c>
      <c r="O262">
        <v>4</v>
      </c>
      <c r="P262" s="5">
        <v>14</v>
      </c>
      <c r="Q262" s="4">
        <v>0</v>
      </c>
      <c r="R262">
        <v>0</v>
      </c>
      <c r="S262">
        <v>0</v>
      </c>
      <c r="T262">
        <v>0</v>
      </c>
      <c r="U262">
        <v>0</v>
      </c>
      <c r="V262">
        <v>0</v>
      </c>
      <c r="W262">
        <v>0</v>
      </c>
      <c r="X262" s="5" t="s">
        <v>54</v>
      </c>
      <c r="Y262">
        <v>0</v>
      </c>
      <c r="Z262" s="4">
        <v>0</v>
      </c>
      <c r="AA262">
        <v>0</v>
      </c>
      <c r="AB262" s="5">
        <v>0</v>
      </c>
      <c r="AC262">
        <v>0</v>
      </c>
      <c r="AD262" s="5">
        <v>0</v>
      </c>
      <c r="AE262" s="5">
        <v>56</v>
      </c>
      <c r="AF262" s="5">
        <v>0</v>
      </c>
      <c r="AG262" s="5">
        <v>56</v>
      </c>
      <c r="AH262" s="5">
        <v>0</v>
      </c>
      <c r="AI262" s="5">
        <v>0</v>
      </c>
      <c r="AJ262" s="5">
        <v>0</v>
      </c>
    </row>
    <row r="263">
      <c r="A263">
        <v>8071770143</v>
      </c>
      <c r="B263" t="s">
        <v>36</v>
      </c>
      <c r="C263" t="s">
        <v>37</v>
      </c>
      <c r="D263" t="s">
        <v>38</v>
      </c>
      <c r="E263" t="s">
        <v>39</v>
      </c>
      <c r="F263" t="s">
        <v>40</v>
      </c>
      <c r="G263" t="s">
        <v>41</v>
      </c>
      <c r="H263" t="s">
        <v>53</v>
      </c>
      <c r="I263" t="s">
        <v>54</v>
      </c>
      <c r="J263" t="s">
        <v>89</v>
      </c>
      <c r="K263" t="s">
        <v>84</v>
      </c>
      <c r="L263">
        <v>28</v>
      </c>
      <c r="M263">
        <v>22</v>
      </c>
      <c r="N263" s="4">
        <v>0</v>
      </c>
      <c r="O263">
        <v>0</v>
      </c>
      <c r="P263" s="5" t="s">
        <v>54</v>
      </c>
      <c r="Q263" s="4" t="s">
        <v>54</v>
      </c>
      <c r="R263">
        <v>0</v>
      </c>
      <c r="S263">
        <v>0</v>
      </c>
      <c r="T263">
        <v>0</v>
      </c>
      <c r="U263">
        <v>0</v>
      </c>
      <c r="V263">
        <v>0</v>
      </c>
      <c r="W263">
        <v>0</v>
      </c>
      <c r="X263" s="5" t="s">
        <v>54</v>
      </c>
      <c r="Y263">
        <v>0</v>
      </c>
      <c r="Z263" s="4" t="s">
        <v>54</v>
      </c>
      <c r="AA263">
        <v>0</v>
      </c>
      <c r="AB263" s="5">
        <v>0</v>
      </c>
      <c r="AC263">
        <v>0</v>
      </c>
      <c r="AD263" s="5">
        <v>0</v>
      </c>
      <c r="AE263" s="5">
        <v>85</v>
      </c>
      <c r="AF263" s="5">
        <v>0</v>
      </c>
      <c r="AG263" s="5">
        <v>85</v>
      </c>
      <c r="AH263" s="5">
        <v>0</v>
      </c>
      <c r="AI263" s="5">
        <v>0</v>
      </c>
      <c r="AJ263" s="5">
        <v>0</v>
      </c>
    </row>
    <row r="264">
      <c r="A264" s="2" t="str">
        <f>HYPERLINK("https://www.avito.ru/sankt-peterburg/bytovaya_elektronika/3d_printer_h2c_combo_eu_nalichie_dostavka_37_dney_8071772821","8071772821")</f>
      </c>
      <c r="B264" t="s">
        <v>36</v>
      </c>
      <c r="C264" t="s">
        <v>90</v>
      </c>
      <c r="D264" t="s">
        <v>115</v>
      </c>
      <c r="E264" t="s">
        <v>39</v>
      </c>
      <c r="F264" t="s">
        <v>40</v>
      </c>
      <c r="G264" t="s">
        <v>41</v>
      </c>
      <c r="H264" s="3" t="str">
        <f>HYPERLINK("https://www.avito.ru/sankt-peterburg/bytovaya_elektronika/3d_printer_h2c_combo_eu_nalichie_dostavka_37_dney_8071772821","3D принтер H2C Combo EU — наличие, доставка 3–7 дней")</f>
      </c>
      <c r="I264" t="s">
        <v>61</v>
      </c>
      <c r="J264" t="s">
        <v>55</v>
      </c>
      <c r="K264" t="s">
        <v>56</v>
      </c>
      <c r="L264">
        <v>30</v>
      </c>
      <c r="M264">
        <v>24</v>
      </c>
      <c r="N264" s="4">
        <v>0.1666</v>
      </c>
      <c r="O264">
        <v>4</v>
      </c>
      <c r="P264" s="5">
        <v>14</v>
      </c>
      <c r="Q264" s="4">
        <v>0</v>
      </c>
      <c r="R264">
        <v>0</v>
      </c>
      <c r="S264">
        <v>0</v>
      </c>
      <c r="T264">
        <v>0</v>
      </c>
      <c r="U264">
        <v>0</v>
      </c>
      <c r="V264">
        <v>0</v>
      </c>
      <c r="W264">
        <v>0</v>
      </c>
      <c r="X264" s="5" t="s">
        <v>54</v>
      </c>
      <c r="Y264">
        <v>1</v>
      </c>
      <c r="Z264" s="4">
        <v>0</v>
      </c>
      <c r="AA264">
        <v>0</v>
      </c>
      <c r="AB264" s="5">
        <v>0</v>
      </c>
      <c r="AC264">
        <v>0</v>
      </c>
      <c r="AD264" s="5">
        <v>0</v>
      </c>
      <c r="AE264" s="5">
        <v>56</v>
      </c>
      <c r="AF264" s="5">
        <v>0</v>
      </c>
      <c r="AG264" s="5">
        <v>56</v>
      </c>
      <c r="AH264" s="5">
        <v>0</v>
      </c>
      <c r="AI264" s="5">
        <v>0</v>
      </c>
      <c r="AJ264" s="5">
        <v>0</v>
      </c>
    </row>
    <row r="265">
      <c r="A265" s="2" t="str">
        <f>HYPERLINK("https://www.avito.ru/tyumen/bytovaya_elektronika/3d_printer_h2c_combo_eu_nalichie_dostavka_37_dney_8071776169","8071776169")</f>
      </c>
      <c r="B265" t="s">
        <v>243</v>
      </c>
      <c r="C265" t="s">
        <v>244</v>
      </c>
      <c r="D265" t="s">
        <v>245</v>
      </c>
      <c r="E265" t="s">
        <v>39</v>
      </c>
      <c r="F265" t="s">
        <v>40</v>
      </c>
      <c r="G265" t="s">
        <v>41</v>
      </c>
      <c r="H265" s="3" t="str">
        <f>HYPERLINK("https://www.avito.ru/tyumen/bytovaya_elektronika/3d_printer_h2c_combo_eu_nalichie_dostavka_37_dney_8071776169","3D принтер H2C Combo EU — наличие, доставка 3–7 дней")</f>
      </c>
      <c r="I265" t="s">
        <v>61</v>
      </c>
      <c r="J265" t="s">
        <v>89</v>
      </c>
      <c r="K265" t="s">
        <v>84</v>
      </c>
      <c r="L265">
        <v>28</v>
      </c>
      <c r="M265">
        <v>248</v>
      </c>
      <c r="N265" s="4">
        <v>0.0282</v>
      </c>
      <c r="O265">
        <v>7</v>
      </c>
      <c r="P265" s="5">
        <v>8</v>
      </c>
      <c r="Q265" s="4">
        <v>0</v>
      </c>
      <c r="R265">
        <v>0</v>
      </c>
      <c r="S265">
        <v>0</v>
      </c>
      <c r="T265">
        <v>0</v>
      </c>
      <c r="U265">
        <v>0</v>
      </c>
      <c r="V265">
        <v>0</v>
      </c>
      <c r="W265">
        <v>0</v>
      </c>
      <c r="X265" s="5" t="s">
        <v>54</v>
      </c>
      <c r="Y265">
        <v>0</v>
      </c>
      <c r="Z265" s="4">
        <v>0</v>
      </c>
      <c r="AA265">
        <v>0</v>
      </c>
      <c r="AB265" s="5">
        <v>0</v>
      </c>
      <c r="AC265">
        <v>0</v>
      </c>
      <c r="AD265" s="5">
        <v>0</v>
      </c>
      <c r="AE265" s="5">
        <v>56</v>
      </c>
      <c r="AF265" s="5">
        <v>0</v>
      </c>
      <c r="AG265" s="5">
        <v>56</v>
      </c>
      <c r="AH265" s="5">
        <v>0</v>
      </c>
      <c r="AI265" s="5">
        <v>0</v>
      </c>
      <c r="AJ265" s="5">
        <v>0</v>
      </c>
    </row>
    <row r="266">
      <c r="A266" s="2" t="str">
        <f>HYPERLINK("https://www.avito.ru/ekaterinburg/bytovaya_elektronika/h2c_combo_cn_bambu_lab_vortek_vygodnaya_tsena_pod_zakaz_8071776315","8071776315")</f>
      </c>
      <c r="B266" t="s">
        <v>182</v>
      </c>
      <c r="C266" t="s">
        <v>183</v>
      </c>
      <c r="D266" t="s">
        <v>277</v>
      </c>
      <c r="E266" t="s">
        <v>39</v>
      </c>
      <c r="F266" t="s">
        <v>40</v>
      </c>
      <c r="G266" t="s">
        <v>41</v>
      </c>
      <c r="H266" s="3" t="str">
        <f>HYPERLINK("https://www.avito.ru/ekaterinburg/bytovaya_elektronika/h2c_combo_cn_bambu_lab_vortek_vygodnaya_tsena_pod_zakaz_8071776315","H2C Combo CN Bambu Lab — Vortek, выгодная цена, под заказ")</f>
      </c>
      <c r="I266" t="s">
        <v>228</v>
      </c>
      <c r="J266" t="s">
        <v>55</v>
      </c>
      <c r="K266" t="s">
        <v>56</v>
      </c>
      <c r="L266">
        <v>30</v>
      </c>
      <c r="M266">
        <v>47</v>
      </c>
      <c r="N266" s="4">
        <v>0.234</v>
      </c>
      <c r="O266">
        <v>11</v>
      </c>
      <c r="P266" s="5">
        <v>5.09</v>
      </c>
      <c r="Q266" s="4">
        <v>0</v>
      </c>
      <c r="R266">
        <v>0</v>
      </c>
      <c r="S266">
        <v>0</v>
      </c>
      <c r="T266">
        <v>0</v>
      </c>
      <c r="U266">
        <v>0</v>
      </c>
      <c r="V266">
        <v>0</v>
      </c>
      <c r="W266">
        <v>0</v>
      </c>
      <c r="X266" s="5" t="s">
        <v>54</v>
      </c>
      <c r="Y266">
        <v>0</v>
      </c>
      <c r="Z266" s="4">
        <v>0</v>
      </c>
      <c r="AA266">
        <v>0</v>
      </c>
      <c r="AB266" s="5">
        <v>0</v>
      </c>
      <c r="AC266">
        <v>0</v>
      </c>
      <c r="AD266" s="5">
        <v>0</v>
      </c>
      <c r="AE266" s="5">
        <v>56</v>
      </c>
      <c r="AF266" s="5">
        <v>0</v>
      </c>
      <c r="AG266" s="5">
        <v>56</v>
      </c>
      <c r="AH266" s="5">
        <v>0</v>
      </c>
      <c r="AI266" s="5">
        <v>0</v>
      </c>
      <c r="AJ266" s="5">
        <v>0</v>
      </c>
    </row>
    <row r="267">
      <c r="A267" s="2" t="str">
        <f>HYPERLINK("https://www.avito.ru/moskva/bytovaya_elektronika/h2d_combo_ams_2_pro_eu_dvoynoy_ekstruder_ai-kamera_8071778364","8071778364")</f>
      </c>
      <c r="B267" t="s">
        <v>36</v>
      </c>
      <c r="C267" t="s">
        <v>37</v>
      </c>
      <c r="D267" t="s">
        <v>230</v>
      </c>
      <c r="E267" t="s">
        <v>39</v>
      </c>
      <c r="F267" t="s">
        <v>40</v>
      </c>
      <c r="G267" t="s">
        <v>41</v>
      </c>
      <c r="H267" s="3" t="str">
        <f>HYPERLINK("https://www.avito.ru/moskva/bytovaya_elektronika/h2d_combo_ams_2_pro_eu_dvoynoy_ekstruder_ai-kamera_8071778364","H2D Combo AMS 2 Pro EU — двойной экструдер, AI-камера")</f>
      </c>
      <c r="I267" t="s">
        <v>142</v>
      </c>
      <c r="J267" t="s">
        <v>55</v>
      </c>
      <c r="K267" t="s">
        <v>56</v>
      </c>
      <c r="L267">
        <v>30</v>
      </c>
      <c r="M267">
        <v>31</v>
      </c>
      <c r="N267" s="4">
        <v>0.1935</v>
      </c>
      <c r="O267">
        <v>6</v>
      </c>
      <c r="P267" s="5">
        <v>14.16</v>
      </c>
      <c r="Q267" s="4">
        <v>0</v>
      </c>
      <c r="R267">
        <v>0</v>
      </c>
      <c r="S267">
        <v>0</v>
      </c>
      <c r="T267">
        <v>0</v>
      </c>
      <c r="U267">
        <v>0</v>
      </c>
      <c r="V267">
        <v>0</v>
      </c>
      <c r="W267">
        <v>0</v>
      </c>
      <c r="X267" s="5" t="s">
        <v>54</v>
      </c>
      <c r="Y267">
        <v>0</v>
      </c>
      <c r="Z267" s="4">
        <v>0</v>
      </c>
      <c r="AA267">
        <v>0</v>
      </c>
      <c r="AB267" s="5">
        <v>0</v>
      </c>
      <c r="AC267">
        <v>0</v>
      </c>
      <c r="AD267" s="5">
        <v>0</v>
      </c>
      <c r="AE267" s="5">
        <v>85</v>
      </c>
      <c r="AF267" s="5">
        <v>0</v>
      </c>
      <c r="AG267" s="5">
        <v>85</v>
      </c>
      <c r="AH267" s="5">
        <v>0</v>
      </c>
      <c r="AI267" s="5">
        <v>0</v>
      </c>
      <c r="AJ267" s="5">
        <v>0</v>
      </c>
    </row>
    <row r="268">
      <c r="A268" s="2" t="str">
        <f>HYPERLINK("https://www.avito.ru/samara/bytovaya_elektronika/3d_printer_h2d_combo_cn_ekonomiya_bez_poteri_kachestva_8071780458","8071780458")</f>
      </c>
      <c r="B268" t="s">
        <v>143</v>
      </c>
      <c r="C268" t="s">
        <v>144</v>
      </c>
      <c r="D268" t="s">
        <v>145</v>
      </c>
      <c r="E268" t="s">
        <v>39</v>
      </c>
      <c r="F268" t="s">
        <v>40</v>
      </c>
      <c r="G268" t="s">
        <v>41</v>
      </c>
      <c r="H268" s="3" t="str">
        <f>HYPERLINK("https://www.avito.ru/samara/bytovaya_elektronika/3d_printer_h2d_combo_cn_ekonomiya_bez_poteri_kachestva_8071780458","3D принтер H2D Combo CN — экономия без потери качества")</f>
      </c>
      <c r="I268" t="s">
        <v>103</v>
      </c>
      <c r="J268" t="s">
        <v>89</v>
      </c>
      <c r="K268" t="s">
        <v>84</v>
      </c>
      <c r="L268">
        <v>28</v>
      </c>
      <c r="M268">
        <v>25</v>
      </c>
      <c r="N268" s="4">
        <v>0.12</v>
      </c>
      <c r="O268">
        <v>3</v>
      </c>
      <c r="P268" s="5">
        <v>18.66</v>
      </c>
      <c r="Q268" s="4">
        <v>0</v>
      </c>
      <c r="R268">
        <v>0</v>
      </c>
      <c r="S268">
        <v>0</v>
      </c>
      <c r="T268">
        <v>0</v>
      </c>
      <c r="U268">
        <v>0</v>
      </c>
      <c r="V268">
        <v>0</v>
      </c>
      <c r="W268">
        <v>0</v>
      </c>
      <c r="X268" s="5" t="s">
        <v>54</v>
      </c>
      <c r="Y268">
        <v>0</v>
      </c>
      <c r="Z268" s="4">
        <v>0</v>
      </c>
      <c r="AA268">
        <v>0</v>
      </c>
      <c r="AB268" s="5">
        <v>0</v>
      </c>
      <c r="AC268">
        <v>0</v>
      </c>
      <c r="AD268" s="5">
        <v>0</v>
      </c>
      <c r="AE268" s="5">
        <v>56</v>
      </c>
      <c r="AF268" s="5">
        <v>0</v>
      </c>
      <c r="AG268" s="5">
        <v>56</v>
      </c>
      <c r="AH268" s="5">
        <v>0</v>
      </c>
      <c r="AI268" s="5">
        <v>0</v>
      </c>
      <c r="AJ268" s="5">
        <v>0</v>
      </c>
    </row>
    <row r="269">
      <c r="A269" s="2" t="str">
        <f>HYPERLINK("https://www.avito.ru/sankt-peterburg/bytovaya_elektronika/h2s_eu_bambu_lab_mnogotsvetnaya_pechat_sdek_2527_dney_8071782930","8071782930")</f>
      </c>
      <c r="B269" t="s">
        <v>36</v>
      </c>
      <c r="C269" t="s">
        <v>90</v>
      </c>
      <c r="D269" t="s">
        <v>115</v>
      </c>
      <c r="E269" t="s">
        <v>39</v>
      </c>
      <c r="F269" t="s">
        <v>40</v>
      </c>
      <c r="G269" t="s">
        <v>41</v>
      </c>
      <c r="H269" s="3" t="str">
        <f>HYPERLINK("https://www.avito.ru/sankt-peterburg/bytovaya_elektronika/h2s_eu_bambu_lab_mnogotsvetnaya_pechat_sdek_2527_dney_8071782930","H2S EU Bambu Lab — многоцветная печать, сдэк 25–27 дней")</f>
      </c>
      <c r="I269" t="s">
        <v>77</v>
      </c>
      <c r="J269" t="s">
        <v>43</v>
      </c>
      <c r="K269" t="s">
        <v>44</v>
      </c>
      <c r="L269">
        <v>35</v>
      </c>
      <c r="M269">
        <v>70</v>
      </c>
      <c r="N269" s="4">
        <v>0.2142</v>
      </c>
      <c r="O269">
        <v>15</v>
      </c>
      <c r="P269" s="5">
        <v>3.73</v>
      </c>
      <c r="Q269" s="4">
        <v>0</v>
      </c>
      <c r="R269">
        <v>0</v>
      </c>
      <c r="S269">
        <v>0</v>
      </c>
      <c r="T269">
        <v>0</v>
      </c>
      <c r="U269">
        <v>0</v>
      </c>
      <c r="V269">
        <v>0</v>
      </c>
      <c r="W269">
        <v>0</v>
      </c>
      <c r="X269" s="5" t="s">
        <v>54</v>
      </c>
      <c r="Y269">
        <v>1</v>
      </c>
      <c r="Z269" s="4">
        <v>0</v>
      </c>
      <c r="AA269">
        <v>0</v>
      </c>
      <c r="AB269" s="5">
        <v>0</v>
      </c>
      <c r="AC269">
        <v>0</v>
      </c>
      <c r="AD269" s="5">
        <v>0</v>
      </c>
      <c r="AE269" s="5">
        <v>56</v>
      </c>
      <c r="AF269" s="5">
        <v>0</v>
      </c>
      <c r="AG269" s="5">
        <v>56</v>
      </c>
      <c r="AH269" s="5">
        <v>0</v>
      </c>
      <c r="AI269" s="5">
        <v>0</v>
      </c>
      <c r="AJ269" s="5">
        <v>0</v>
      </c>
    </row>
    <row r="270">
      <c r="A270" s="2" t="str">
        <f>HYPERLINK("https://www.avito.ru/ekaterinburg/bytovaya_elektronika/3d_printer_lazer_10w_bambu_lab_cn_tsena_nizhe_eu-versii_8071784067","8071784067")</f>
      </c>
      <c r="B270" t="s">
        <v>182</v>
      </c>
      <c r="C270" t="s">
        <v>183</v>
      </c>
      <c r="D270" t="s">
        <v>184</v>
      </c>
      <c r="E270" t="s">
        <v>39</v>
      </c>
      <c r="F270" t="s">
        <v>40</v>
      </c>
      <c r="G270" t="s">
        <v>41</v>
      </c>
      <c r="H270" s="3" t="str">
        <f>HYPERLINK("https://www.avito.ru/ekaterinburg/bytovaya_elektronika/3d_printer_lazer_10w_bambu_lab_cn_tsena_nizhe_eu-versii_8071784067","3D принтер + лазер 10W Bambu Lab CN — цена ниже EU-версии")</f>
      </c>
      <c r="I270" t="s">
        <v>278</v>
      </c>
      <c r="J270" t="s">
        <v>89</v>
      </c>
      <c r="K270" t="s">
        <v>84</v>
      </c>
      <c r="L270">
        <v>28</v>
      </c>
      <c r="M270">
        <v>29</v>
      </c>
      <c r="N270" s="4">
        <v>0.0344</v>
      </c>
      <c r="O270">
        <v>1</v>
      </c>
      <c r="P270" s="5">
        <v>56</v>
      </c>
      <c r="Q270" s="4">
        <v>0</v>
      </c>
      <c r="R270">
        <v>0</v>
      </c>
      <c r="S270">
        <v>0</v>
      </c>
      <c r="T270">
        <v>0</v>
      </c>
      <c r="U270">
        <v>0</v>
      </c>
      <c r="V270">
        <v>0</v>
      </c>
      <c r="W270">
        <v>0</v>
      </c>
      <c r="X270" s="5" t="s">
        <v>54</v>
      </c>
      <c r="Y270">
        <v>0</v>
      </c>
      <c r="Z270" s="4">
        <v>0</v>
      </c>
      <c r="AA270">
        <v>0</v>
      </c>
      <c r="AB270" s="5">
        <v>0</v>
      </c>
      <c r="AC270">
        <v>0</v>
      </c>
      <c r="AD270" s="5">
        <v>0</v>
      </c>
      <c r="AE270" s="5">
        <v>56</v>
      </c>
      <c r="AF270" s="5">
        <v>0</v>
      </c>
      <c r="AG270" s="5">
        <v>56</v>
      </c>
      <c r="AH270" s="5">
        <v>0</v>
      </c>
      <c r="AI270" s="5">
        <v>0</v>
      </c>
      <c r="AJ270" s="5">
        <v>0</v>
      </c>
    </row>
    <row r="271">
      <c r="A271" s="2" t="str">
        <f>HYPERLINK("https://www.avito.ru/ekaterinburg/bytovaya_elektronika/3d_printer_h2c_combo_eu_est_v_nalichii_vortek_ams_8071785209","8071785209")</f>
      </c>
      <c r="B271" t="s">
        <v>182</v>
      </c>
      <c r="C271" t="s">
        <v>183</v>
      </c>
      <c r="D271" t="s">
        <v>184</v>
      </c>
      <c r="E271" t="s">
        <v>39</v>
      </c>
      <c r="F271" t="s">
        <v>40</v>
      </c>
      <c r="G271" t="s">
        <v>41</v>
      </c>
      <c r="H271" s="3" t="str">
        <f>HYPERLINK("https://www.avito.ru/ekaterinburg/bytovaya_elektronika/3d_printer_h2c_combo_eu_est_v_nalichii_vortek_ams_8071785209","3D принтер H2C Combo EU — есть в наличии, Vortek + AMS")</f>
      </c>
      <c r="I271" t="s">
        <v>61</v>
      </c>
      <c r="J271" t="s">
        <v>55</v>
      </c>
      <c r="K271" t="s">
        <v>56</v>
      </c>
      <c r="L271">
        <v>30</v>
      </c>
      <c r="M271">
        <v>163</v>
      </c>
      <c r="N271" s="4">
        <v>0.0674</v>
      </c>
      <c r="O271">
        <v>11</v>
      </c>
      <c r="P271" s="5">
        <v>5.09</v>
      </c>
      <c r="Q271" s="4">
        <v>0</v>
      </c>
      <c r="R271">
        <v>0</v>
      </c>
      <c r="S271">
        <v>0</v>
      </c>
      <c r="T271">
        <v>0</v>
      </c>
      <c r="U271">
        <v>0</v>
      </c>
      <c r="V271">
        <v>0</v>
      </c>
      <c r="W271">
        <v>0</v>
      </c>
      <c r="X271" s="5" t="s">
        <v>54</v>
      </c>
      <c r="Y271">
        <v>0</v>
      </c>
      <c r="Z271" s="4">
        <v>0</v>
      </c>
      <c r="AA271">
        <v>0</v>
      </c>
      <c r="AB271" s="5">
        <v>0</v>
      </c>
      <c r="AC271">
        <v>0</v>
      </c>
      <c r="AD271" s="5">
        <v>0</v>
      </c>
      <c r="AE271" s="5">
        <v>56</v>
      </c>
      <c r="AF271" s="5">
        <v>0</v>
      </c>
      <c r="AG271" s="5">
        <v>56</v>
      </c>
      <c r="AH271" s="5">
        <v>0</v>
      </c>
      <c r="AI271" s="5">
        <v>0</v>
      </c>
      <c r="AJ271" s="5">
        <v>0</v>
      </c>
    </row>
    <row r="272">
      <c r="A272" s="2" t="str">
        <f>HYPERLINK("https://www.avito.ru/kazan/bytovaya_elektronika/bambu_lab_h2d_cn_dvoynoy_ekstruder_vygodnaya_tsena_8071786026","8071786026")</f>
      </c>
      <c r="B272" t="s">
        <v>97</v>
      </c>
      <c r="C272" t="s">
        <v>98</v>
      </c>
      <c r="D272" t="s">
        <v>99</v>
      </c>
      <c r="E272" t="s">
        <v>39</v>
      </c>
      <c r="F272" t="s">
        <v>40</v>
      </c>
      <c r="G272" t="s">
        <v>41</v>
      </c>
      <c r="H272" s="3" t="str">
        <f>HYPERLINK("https://www.avito.ru/kazan/bytovaya_elektronika/bambu_lab_h2d_cn_dvoynoy_ekstruder_vygodnaya_tsena_8071786026","Bambu Lab H2D CN — двойной экструдер, выгодная цена")</f>
      </c>
      <c r="I272" t="s">
        <v>279</v>
      </c>
      <c r="J272" t="s">
        <v>89</v>
      </c>
      <c r="K272" t="s">
        <v>84</v>
      </c>
      <c r="L272">
        <v>28</v>
      </c>
      <c r="M272">
        <v>65</v>
      </c>
      <c r="N272" s="4">
        <v>0.0307</v>
      </c>
      <c r="O272">
        <v>2</v>
      </c>
      <c r="P272" s="5">
        <v>28</v>
      </c>
      <c r="Q272" s="4">
        <v>0</v>
      </c>
      <c r="R272">
        <v>0</v>
      </c>
      <c r="S272">
        <v>0</v>
      </c>
      <c r="T272">
        <v>0</v>
      </c>
      <c r="U272">
        <v>0</v>
      </c>
      <c r="V272">
        <v>0</v>
      </c>
      <c r="W272">
        <v>0</v>
      </c>
      <c r="X272" s="5" t="s">
        <v>54</v>
      </c>
      <c r="Y272">
        <v>0</v>
      </c>
      <c r="Z272" s="4">
        <v>0</v>
      </c>
      <c r="AA272">
        <v>0</v>
      </c>
      <c r="AB272" s="5">
        <v>0</v>
      </c>
      <c r="AC272">
        <v>0</v>
      </c>
      <c r="AD272" s="5">
        <v>0</v>
      </c>
      <c r="AE272" s="5">
        <v>56</v>
      </c>
      <c r="AF272" s="5">
        <v>0</v>
      </c>
      <c r="AG272" s="5">
        <v>56</v>
      </c>
      <c r="AH272" s="5">
        <v>0</v>
      </c>
      <c r="AI272" s="5">
        <v>0</v>
      </c>
      <c r="AJ272" s="5">
        <v>0</v>
      </c>
    </row>
    <row r="273">
      <c r="A273" s="2" t="str">
        <f>HYPERLINK("https://www.avito.ru/ryazan/bytovaya_elektronika/3d_printer_h2s_eu_bambu_lab_ams_2_pro_pod_zakaz_8071788963","8071788963")</f>
      </c>
      <c r="B273" t="s">
        <v>179</v>
      </c>
      <c r="C273" t="s">
        <v>180</v>
      </c>
      <c r="D273" t="s">
        <v>211</v>
      </c>
      <c r="E273" t="s">
        <v>39</v>
      </c>
      <c r="F273" t="s">
        <v>40</v>
      </c>
      <c r="G273" t="s">
        <v>41</v>
      </c>
      <c r="H273" s="3" t="str">
        <f>HYPERLINK("https://www.avito.ru/ryazan/bytovaya_elektronika/3d_printer_h2s_eu_bambu_lab_ams_2_pro_pod_zakaz_8071788963","3D принтер H2S EU Bambu Lab — AMS 2 Pro, под заказ")</f>
      </c>
      <c r="I273" t="s">
        <v>77</v>
      </c>
      <c r="J273" t="s">
        <v>78</v>
      </c>
      <c r="K273" t="s">
        <v>79</v>
      </c>
      <c r="L273">
        <v>29</v>
      </c>
      <c r="M273">
        <v>473</v>
      </c>
      <c r="N273" s="4">
        <v>0.0528</v>
      </c>
      <c r="O273">
        <v>25</v>
      </c>
      <c r="P273" s="5">
        <v>2.24</v>
      </c>
      <c r="Q273" s="4">
        <v>0</v>
      </c>
      <c r="R273">
        <v>0</v>
      </c>
      <c r="S273">
        <v>0</v>
      </c>
      <c r="T273">
        <v>0</v>
      </c>
      <c r="U273">
        <v>0</v>
      </c>
      <c r="V273">
        <v>0</v>
      </c>
      <c r="W273">
        <v>0</v>
      </c>
      <c r="X273" s="5" t="s">
        <v>54</v>
      </c>
      <c r="Y273">
        <v>0</v>
      </c>
      <c r="Z273" s="4">
        <v>0</v>
      </c>
      <c r="AA273">
        <v>0</v>
      </c>
      <c r="AB273" s="5">
        <v>0</v>
      </c>
      <c r="AC273">
        <v>0</v>
      </c>
      <c r="AD273" s="5">
        <v>0</v>
      </c>
      <c r="AE273" s="5">
        <v>56</v>
      </c>
      <c r="AF273" s="5">
        <v>0</v>
      </c>
      <c r="AG273" s="5">
        <v>56</v>
      </c>
      <c r="AH273" s="5">
        <v>0</v>
      </c>
      <c r="AI273" s="5">
        <v>0</v>
      </c>
      <c r="AJ273" s="5">
        <v>0</v>
      </c>
    </row>
    <row r="274">
      <c r="A274" s="2" t="str">
        <f>HYPERLINK("https://www.avito.ru/ekaterinburg/bytovaya_elektronika/3d_printer_h2d_pro_combo_eu_proizvodstvo_i_rd_8071790993","8071790993")</f>
      </c>
      <c r="B274" t="s">
        <v>182</v>
      </c>
      <c r="C274" t="s">
        <v>183</v>
      </c>
      <c r="D274" t="s">
        <v>184</v>
      </c>
      <c r="E274" t="s">
        <v>39</v>
      </c>
      <c r="F274" t="s">
        <v>40</v>
      </c>
      <c r="G274" t="s">
        <v>41</v>
      </c>
      <c r="H274" s="3" t="str">
        <f>HYPERLINK("https://www.avito.ru/ekaterinburg/bytovaya_elektronika/3d_printer_h2d_pro_combo_eu_proizvodstvo_i_rd_8071790993","3D принтер H2D PRO Combo EU — производство и R&amp;D")</f>
      </c>
      <c r="I274" t="s">
        <v>221</v>
      </c>
      <c r="J274" t="s">
        <v>78</v>
      </c>
      <c r="K274" t="s">
        <v>79</v>
      </c>
      <c r="L274">
        <v>29</v>
      </c>
      <c r="M274">
        <v>294</v>
      </c>
      <c r="N274" s="4">
        <v>0.0238</v>
      </c>
      <c r="O274">
        <v>7</v>
      </c>
      <c r="P274" s="5">
        <v>8</v>
      </c>
      <c r="Q274" s="4">
        <v>0</v>
      </c>
      <c r="R274">
        <v>0</v>
      </c>
      <c r="S274">
        <v>0</v>
      </c>
      <c r="T274">
        <v>0</v>
      </c>
      <c r="U274">
        <v>0</v>
      </c>
      <c r="V274">
        <v>0</v>
      </c>
      <c r="W274">
        <v>0</v>
      </c>
      <c r="X274" s="5" t="s">
        <v>54</v>
      </c>
      <c r="Y274">
        <v>0</v>
      </c>
      <c r="Z274" s="4">
        <v>0</v>
      </c>
      <c r="AA274">
        <v>0</v>
      </c>
      <c r="AB274" s="5">
        <v>0</v>
      </c>
      <c r="AC274">
        <v>0</v>
      </c>
      <c r="AD274" s="5">
        <v>0</v>
      </c>
      <c r="AE274" s="5">
        <v>56</v>
      </c>
      <c r="AF274" s="5">
        <v>0</v>
      </c>
      <c r="AG274" s="5">
        <v>56</v>
      </c>
      <c r="AH274" s="5">
        <v>0</v>
      </c>
      <c r="AI274" s="5">
        <v>0</v>
      </c>
      <c r="AJ274" s="5">
        <v>0</v>
      </c>
    </row>
    <row r="275">
      <c r="A275" s="2" t="str">
        <f>HYPERLINK("https://www.avito.ru/krasnodar/bytovaya_elektronika/3d_printer_h2d_laser_10w_eu_ams_2_pro_gravirovka_8071803588","8071803588")</f>
      </c>
      <c r="B275" t="s">
        <v>58</v>
      </c>
      <c r="C275" t="s">
        <v>59</v>
      </c>
      <c r="D275" t="s">
        <v>66</v>
      </c>
      <c r="E275" t="s">
        <v>39</v>
      </c>
      <c r="F275" t="s">
        <v>40</v>
      </c>
      <c r="G275" t="s">
        <v>41</v>
      </c>
      <c r="H275" s="3" t="str">
        <f>HYPERLINK("https://www.avito.ru/krasnodar/bytovaya_elektronika/3d_printer_h2d_laser_10w_eu_ams_2_pro_gravirovka_8071803588","3D принтер H2D Laser 10W EU — AMS 2 Pro, гравировка")</f>
      </c>
      <c r="I275" t="s">
        <v>73</v>
      </c>
      <c r="J275" t="s">
        <v>55</v>
      </c>
      <c r="K275" t="s">
        <v>56</v>
      </c>
      <c r="L275">
        <v>30</v>
      </c>
      <c r="M275">
        <v>55</v>
      </c>
      <c r="N275" s="4">
        <v>0.1818</v>
      </c>
      <c r="O275">
        <v>10</v>
      </c>
      <c r="P275" s="5">
        <v>5.6</v>
      </c>
      <c r="Q275" s="4">
        <v>0</v>
      </c>
      <c r="R275">
        <v>0</v>
      </c>
      <c r="S275">
        <v>0</v>
      </c>
      <c r="T275">
        <v>0</v>
      </c>
      <c r="U275">
        <v>0</v>
      </c>
      <c r="V275">
        <v>0</v>
      </c>
      <c r="W275">
        <v>0</v>
      </c>
      <c r="X275" s="5" t="s">
        <v>54</v>
      </c>
      <c r="Y275">
        <v>1</v>
      </c>
      <c r="Z275" s="4">
        <v>0</v>
      </c>
      <c r="AA275">
        <v>0</v>
      </c>
      <c r="AB275" s="5">
        <v>0</v>
      </c>
      <c r="AC275">
        <v>0</v>
      </c>
      <c r="AD275" s="5">
        <v>0</v>
      </c>
      <c r="AE275" s="5">
        <v>56</v>
      </c>
      <c r="AF275" s="5">
        <v>0</v>
      </c>
      <c r="AG275" s="5">
        <v>56</v>
      </c>
      <c r="AH275" s="5">
        <v>0</v>
      </c>
      <c r="AI275" s="5">
        <v>0</v>
      </c>
      <c r="AJ275" s="5">
        <v>0</v>
      </c>
    </row>
    <row r="276">
      <c r="A276" s="2" t="str">
        <f>HYPERLINK("https://www.avito.ru/moskva/bytovaya_elektronika/bambu_lab_h2d_combo_eu_dvoynoy_ekstruder_ams_2_pro_8071806855","8071806855")</f>
      </c>
      <c r="B276" t="s">
        <v>36</v>
      </c>
      <c r="C276" t="s">
        <v>37</v>
      </c>
      <c r="D276" t="s">
        <v>38</v>
      </c>
      <c r="E276" t="s">
        <v>39</v>
      </c>
      <c r="F276" t="s">
        <v>40</v>
      </c>
      <c r="G276" t="s">
        <v>41</v>
      </c>
      <c r="H276" s="3" t="str">
        <f>HYPERLINK("https://www.avito.ru/moskva/bytovaya_elektronika/bambu_lab_h2d_combo_eu_dvoynoy_ekstruder_ams_2_pro_8071806855","Bambu Lab H2D Combo EU — двойной экструдер + AMS 2 Pro")</f>
      </c>
      <c r="I276" t="s">
        <v>96</v>
      </c>
      <c r="J276" t="s">
        <v>43</v>
      </c>
      <c r="K276" t="s">
        <v>44</v>
      </c>
      <c r="L276">
        <v>35</v>
      </c>
      <c r="M276">
        <v>141</v>
      </c>
      <c r="N276" s="4">
        <v>0.2695</v>
      </c>
      <c r="O276">
        <v>38</v>
      </c>
      <c r="P276" s="5">
        <v>2.23</v>
      </c>
      <c r="Q276" s="4">
        <v>0</v>
      </c>
      <c r="R276">
        <v>0</v>
      </c>
      <c r="S276">
        <v>0</v>
      </c>
      <c r="T276">
        <v>0</v>
      </c>
      <c r="U276">
        <v>0</v>
      </c>
      <c r="V276">
        <v>0</v>
      </c>
      <c r="W276">
        <v>0</v>
      </c>
      <c r="X276" s="5" t="s">
        <v>54</v>
      </c>
      <c r="Y276">
        <v>1</v>
      </c>
      <c r="Z276" s="4">
        <v>0</v>
      </c>
      <c r="AA276">
        <v>0</v>
      </c>
      <c r="AB276" s="5">
        <v>0</v>
      </c>
      <c r="AC276">
        <v>0</v>
      </c>
      <c r="AD276" s="5">
        <v>0</v>
      </c>
      <c r="AE276" s="5">
        <v>85</v>
      </c>
      <c r="AF276" s="5">
        <v>0</v>
      </c>
      <c r="AG276" s="5">
        <v>85</v>
      </c>
      <c r="AH276" s="5">
        <v>0</v>
      </c>
      <c r="AI276" s="5">
        <v>0</v>
      </c>
      <c r="AJ276" s="5">
        <v>0</v>
      </c>
    </row>
    <row r="277">
      <c r="A277" s="2" t="str">
        <f>HYPERLINK("https://www.avito.ru/rostov-na-donu/bytovaya_elektronika/bambu_h2c_full_combo_laser_10w_eu_sdek_2527_dney_8071807217","8071807217")</f>
      </c>
      <c r="B277" t="s">
        <v>70</v>
      </c>
      <c r="C277" t="s">
        <v>71</v>
      </c>
      <c r="D277" t="s">
        <v>72</v>
      </c>
      <c r="E277" t="s">
        <v>39</v>
      </c>
      <c r="F277" t="s">
        <v>40</v>
      </c>
      <c r="G277" t="s">
        <v>41</v>
      </c>
      <c r="H277" s="3" t="str">
        <f>HYPERLINK("https://www.avito.ru/rostov-na-donu/bytovaya_elektronika/bambu_h2c_full_combo_laser_10w_eu_sdek_2527_dney_8071807217","Bambu H2C Full Combo Laser 10W EU — сдэк 25–27 дней")</f>
      </c>
      <c r="I277" t="s">
        <v>218</v>
      </c>
      <c r="J277" t="s">
        <v>55</v>
      </c>
      <c r="K277" t="s">
        <v>56</v>
      </c>
      <c r="L277">
        <v>30</v>
      </c>
      <c r="M277">
        <v>75</v>
      </c>
      <c r="N277" s="4">
        <v>0.0266</v>
      </c>
      <c r="O277">
        <v>2</v>
      </c>
      <c r="P277" s="5">
        <v>28</v>
      </c>
      <c r="Q277" s="4">
        <v>0</v>
      </c>
      <c r="R277">
        <v>0</v>
      </c>
      <c r="S277">
        <v>0</v>
      </c>
      <c r="T277">
        <v>0</v>
      </c>
      <c r="U277">
        <v>0</v>
      </c>
      <c r="V277">
        <v>0</v>
      </c>
      <c r="W277">
        <v>0</v>
      </c>
      <c r="X277" s="5" t="s">
        <v>54</v>
      </c>
      <c r="Y277">
        <v>0</v>
      </c>
      <c r="Z277" s="4">
        <v>0</v>
      </c>
      <c r="AA277">
        <v>0</v>
      </c>
      <c r="AB277" s="5">
        <v>0</v>
      </c>
      <c r="AC277">
        <v>0</v>
      </c>
      <c r="AD277" s="5">
        <v>0</v>
      </c>
      <c r="AE277" s="5">
        <v>56</v>
      </c>
      <c r="AF277" s="5">
        <v>0</v>
      </c>
      <c r="AG277" s="5">
        <v>56</v>
      </c>
      <c r="AH277" s="5">
        <v>0</v>
      </c>
      <c r="AI277" s="5">
        <v>0</v>
      </c>
      <c r="AJ277" s="5">
        <v>0</v>
      </c>
    </row>
    <row r="278">
      <c r="A278">
        <v>8071808332</v>
      </c>
      <c r="B278" t="s">
        <v>122</v>
      </c>
      <c r="C278" t="s">
        <v>123</v>
      </c>
      <c r="D278" t="s">
        <v>280</v>
      </c>
      <c r="E278" t="s">
        <v>39</v>
      </c>
      <c r="F278" t="s">
        <v>40</v>
      </c>
      <c r="G278" t="s">
        <v>41</v>
      </c>
      <c r="H278" t="s">
        <v>53</v>
      </c>
      <c r="I278" t="s">
        <v>54</v>
      </c>
      <c r="J278" t="s">
        <v>55</v>
      </c>
      <c r="K278" t="s">
        <v>56</v>
      </c>
      <c r="L278">
        <v>30</v>
      </c>
      <c r="M278">
        <v>69</v>
      </c>
      <c r="N278" s="4">
        <v>0.0724</v>
      </c>
      <c r="O278">
        <v>5</v>
      </c>
      <c r="P278" s="5">
        <v>11.2</v>
      </c>
      <c r="Q278" s="4">
        <v>0</v>
      </c>
      <c r="R278">
        <v>0</v>
      </c>
      <c r="S278">
        <v>0</v>
      </c>
      <c r="T278">
        <v>0</v>
      </c>
      <c r="U278">
        <v>0</v>
      </c>
      <c r="V278">
        <v>0</v>
      </c>
      <c r="W278">
        <v>0</v>
      </c>
      <c r="X278" s="5" t="s">
        <v>54</v>
      </c>
      <c r="Y278">
        <v>0</v>
      </c>
      <c r="Z278" s="4">
        <v>0</v>
      </c>
      <c r="AA278">
        <v>0</v>
      </c>
      <c r="AB278" s="5">
        <v>0</v>
      </c>
      <c r="AC278">
        <v>0</v>
      </c>
      <c r="AD278" s="5">
        <v>0</v>
      </c>
      <c r="AE278" s="5">
        <v>56</v>
      </c>
      <c r="AF278" s="5">
        <v>0</v>
      </c>
      <c r="AG278" s="5">
        <v>56</v>
      </c>
      <c r="AH278" s="5">
        <v>0</v>
      </c>
      <c r="AI278" s="5">
        <v>0</v>
      </c>
      <c r="AJ278" s="5">
        <v>0</v>
      </c>
    </row>
    <row r="279">
      <c r="A279" s="2" t="str">
        <f>HYPERLINK("https://www.avito.ru/ekaterinburg/bytovaya_elektronika/bambu_h2c_full_combo_laser_40w_promyshlennyy_lazer_8071812159","8071812159")</f>
      </c>
      <c r="B279" t="s">
        <v>182</v>
      </c>
      <c r="C279" t="s">
        <v>183</v>
      </c>
      <c r="D279" t="s">
        <v>184</v>
      </c>
      <c r="E279" t="s">
        <v>39</v>
      </c>
      <c r="F279" t="s">
        <v>40</v>
      </c>
      <c r="G279" t="s">
        <v>41</v>
      </c>
      <c r="H279" s="3" t="str">
        <f>HYPERLINK("https://www.avito.ru/ekaterinburg/bytovaya_elektronika/bambu_h2c_full_combo_laser_40w_promyshlennyy_lazer_8071812159","Bambu H2C Full Combo Laser 40W — промышленный лазер")</f>
      </c>
      <c r="I279" t="s">
        <v>51</v>
      </c>
      <c r="J279" t="s">
        <v>78</v>
      </c>
      <c r="K279" t="s">
        <v>79</v>
      </c>
      <c r="L279">
        <v>29</v>
      </c>
      <c r="M279">
        <v>110</v>
      </c>
      <c r="N279" s="4">
        <v>0.0272</v>
      </c>
      <c r="O279">
        <v>3</v>
      </c>
      <c r="P279" s="5">
        <v>18.66</v>
      </c>
      <c r="Q279" s="4">
        <v>0</v>
      </c>
      <c r="R279">
        <v>0</v>
      </c>
      <c r="S279">
        <v>0</v>
      </c>
      <c r="T279">
        <v>0</v>
      </c>
      <c r="U279">
        <v>0</v>
      </c>
      <c r="V279">
        <v>0</v>
      </c>
      <c r="W279">
        <v>0</v>
      </c>
      <c r="X279" s="5" t="s">
        <v>54</v>
      </c>
      <c r="Y279">
        <v>0</v>
      </c>
      <c r="Z279" s="4">
        <v>0</v>
      </c>
      <c r="AA279">
        <v>0</v>
      </c>
      <c r="AB279" s="5">
        <v>0</v>
      </c>
      <c r="AC279">
        <v>0</v>
      </c>
      <c r="AD279" s="5">
        <v>0</v>
      </c>
      <c r="AE279" s="5">
        <v>56</v>
      </c>
      <c r="AF279" s="5">
        <v>0</v>
      </c>
      <c r="AG279" s="5">
        <v>56</v>
      </c>
      <c r="AH279" s="5">
        <v>0</v>
      </c>
      <c r="AI279" s="5">
        <v>0</v>
      </c>
      <c r="AJ279" s="5">
        <v>0</v>
      </c>
    </row>
    <row r="280">
      <c r="A280" s="2" t="str">
        <f>HYPERLINK("https://www.avito.ru/voronezh/bytovaya_elektronika/bambu_h2d_ams_2_pro_cn_bystraya_okupaemost_pod_zakaz_8071812241","8071812241")</f>
      </c>
      <c r="B280" t="s">
        <v>169</v>
      </c>
      <c r="C280" t="s">
        <v>170</v>
      </c>
      <c r="D280" t="s">
        <v>171</v>
      </c>
      <c r="E280" t="s">
        <v>39</v>
      </c>
      <c r="F280" t="s">
        <v>40</v>
      </c>
      <c r="G280" t="s">
        <v>41</v>
      </c>
      <c r="H280" s="3" t="str">
        <f>HYPERLINK("https://www.avito.ru/voronezh/bytovaya_elektronika/bambu_h2d_ams_2_pro_cn_bystraya_okupaemost_pod_zakaz_8071812241","Bambu H2D AMS 2 Pro CN — быстрая окупаемость, под заказ")</f>
      </c>
      <c r="I280" t="s">
        <v>103</v>
      </c>
      <c r="J280" t="s">
        <v>55</v>
      </c>
      <c r="K280" t="s">
        <v>56</v>
      </c>
      <c r="L280">
        <v>30</v>
      </c>
      <c r="M280">
        <v>114</v>
      </c>
      <c r="N280" s="4">
        <v>0.114</v>
      </c>
      <c r="O280">
        <v>13</v>
      </c>
      <c r="P280" s="5">
        <v>4.3</v>
      </c>
      <c r="Q280" s="4">
        <v>0</v>
      </c>
      <c r="R280">
        <v>0</v>
      </c>
      <c r="S280">
        <v>0</v>
      </c>
      <c r="T280">
        <v>0</v>
      </c>
      <c r="U280">
        <v>0</v>
      </c>
      <c r="V280">
        <v>0</v>
      </c>
      <c r="W280">
        <v>0</v>
      </c>
      <c r="X280" s="5" t="s">
        <v>54</v>
      </c>
      <c r="Y280">
        <v>1</v>
      </c>
      <c r="Z280" s="4">
        <v>0</v>
      </c>
      <c r="AA280">
        <v>0</v>
      </c>
      <c r="AB280" s="5">
        <v>0</v>
      </c>
      <c r="AC280">
        <v>0</v>
      </c>
      <c r="AD280" s="5">
        <v>0</v>
      </c>
      <c r="AE280" s="5">
        <v>56</v>
      </c>
      <c r="AF280" s="5">
        <v>0</v>
      </c>
      <c r="AG280" s="5">
        <v>56</v>
      </c>
      <c r="AH280" s="5">
        <v>0</v>
      </c>
      <c r="AI280" s="5">
        <v>0</v>
      </c>
      <c r="AJ280" s="5">
        <v>0</v>
      </c>
    </row>
    <row r="281">
      <c r="A281" s="2" t="str">
        <f>HYPERLINK("https://www.avito.ru/nizhniy_novgorod/bytovaya_elektronika/bambu_lab_h2d_eu_laser_10w_3_v_1_pod_zakaz_sdek_8071814534","8071814534")</f>
      </c>
      <c r="B281" t="s">
        <v>137</v>
      </c>
      <c r="C281" t="s">
        <v>138</v>
      </c>
      <c r="D281" t="s">
        <v>139</v>
      </c>
      <c r="E281" t="s">
        <v>39</v>
      </c>
      <c r="F281" t="s">
        <v>40</v>
      </c>
      <c r="G281" t="s">
        <v>41</v>
      </c>
      <c r="H281" s="3" t="str">
        <f>HYPERLINK("https://www.avito.ru/nizhniy_novgorod/bytovaya_elektronika/bambu_lab_h2d_eu_laser_10w_3_v_1_pod_zakaz_sdek_8071814534","Bambu Lab H2D EU Laser 10W — 3 в 1, под заказ сдэк")</f>
      </c>
      <c r="I281" t="s">
        <v>281</v>
      </c>
      <c r="J281" t="s">
        <v>89</v>
      </c>
      <c r="K281" t="s">
        <v>84</v>
      </c>
      <c r="L281">
        <v>28</v>
      </c>
      <c r="M281">
        <v>7</v>
      </c>
      <c r="N281" s="4">
        <v>0</v>
      </c>
      <c r="O281">
        <v>0</v>
      </c>
      <c r="P281" s="5" t="s">
        <v>54</v>
      </c>
      <c r="Q281" s="4" t="s">
        <v>54</v>
      </c>
      <c r="R281">
        <v>0</v>
      </c>
      <c r="S281">
        <v>0</v>
      </c>
      <c r="T281">
        <v>0</v>
      </c>
      <c r="U281">
        <v>0</v>
      </c>
      <c r="V281">
        <v>0</v>
      </c>
      <c r="W281">
        <v>0</v>
      </c>
      <c r="X281" s="5" t="s">
        <v>54</v>
      </c>
      <c r="Y281">
        <v>0</v>
      </c>
      <c r="Z281" s="4" t="s">
        <v>54</v>
      </c>
      <c r="AA281">
        <v>0</v>
      </c>
      <c r="AB281" s="5">
        <v>0</v>
      </c>
      <c r="AC281">
        <v>0</v>
      </c>
      <c r="AD281" s="5">
        <v>0</v>
      </c>
      <c r="AE281" s="5">
        <v>56</v>
      </c>
      <c r="AF281" s="5">
        <v>0</v>
      </c>
      <c r="AG281" s="5">
        <v>56</v>
      </c>
      <c r="AH281" s="5">
        <v>0</v>
      </c>
      <c r="AI281" s="5">
        <v>0</v>
      </c>
      <c r="AJ281" s="5">
        <v>0</v>
      </c>
    </row>
    <row r="282">
      <c r="A282" s="2" t="str">
        <f>HYPERLINK("https://www.avito.ru/moskva/bytovaya_elektronika/3d_printer_bambu_lab_h2d_combo_ams_2_pro_eu_ai-kamera_8071815026","8071815026")</f>
      </c>
      <c r="B282" t="s">
        <v>36</v>
      </c>
      <c r="C282" t="s">
        <v>37</v>
      </c>
      <c r="D282" t="s">
        <v>167</v>
      </c>
      <c r="E282" t="s">
        <v>39</v>
      </c>
      <c r="F282" t="s">
        <v>40</v>
      </c>
      <c r="G282" t="s">
        <v>41</v>
      </c>
      <c r="H282" s="3" t="str">
        <f>HYPERLINK("https://www.avito.ru/moskva/bytovaya_elektronika/3d_printer_bambu_lab_h2d_combo_ams_2_pro_eu_ai-kamera_8071815026","3D принтер Bambu Lab H2D Combo AMS 2 Pro EU — AI-камера")</f>
      </c>
      <c r="I282" t="s">
        <v>96</v>
      </c>
      <c r="J282" t="s">
        <v>55</v>
      </c>
      <c r="K282" t="s">
        <v>56</v>
      </c>
      <c r="L282">
        <v>30</v>
      </c>
      <c r="M282">
        <v>267</v>
      </c>
      <c r="N282" s="4">
        <v>0.0561</v>
      </c>
      <c r="O282">
        <v>15</v>
      </c>
      <c r="P282" s="5">
        <v>5.66</v>
      </c>
      <c r="Q282" s="4">
        <v>0</v>
      </c>
      <c r="R282">
        <v>0</v>
      </c>
      <c r="S282">
        <v>0</v>
      </c>
      <c r="T282">
        <v>0</v>
      </c>
      <c r="U282">
        <v>0</v>
      </c>
      <c r="V282">
        <v>0</v>
      </c>
      <c r="W282">
        <v>0</v>
      </c>
      <c r="X282" s="5" t="s">
        <v>54</v>
      </c>
      <c r="Y282">
        <v>1</v>
      </c>
      <c r="Z282" s="4">
        <v>0</v>
      </c>
      <c r="AA282">
        <v>0</v>
      </c>
      <c r="AB282" s="5">
        <v>0</v>
      </c>
      <c r="AC282">
        <v>0</v>
      </c>
      <c r="AD282" s="5">
        <v>0</v>
      </c>
      <c r="AE282" s="5">
        <v>85</v>
      </c>
      <c r="AF282" s="5">
        <v>0</v>
      </c>
      <c r="AG282" s="5">
        <v>85</v>
      </c>
      <c r="AH282" s="5">
        <v>0</v>
      </c>
      <c r="AI282" s="5">
        <v>0</v>
      </c>
      <c r="AJ282" s="5">
        <v>0</v>
      </c>
    </row>
    <row r="283">
      <c r="A283" s="2" t="str">
        <f>HYPERLINK("https://www.avito.ru/moskva/bytovaya_elektronika/3d_printer_h2c_full_combo_laser_10w_eu_3_v_1_8071815494","8071815494")</f>
      </c>
      <c r="B283" t="s">
        <v>36</v>
      </c>
      <c r="C283" t="s">
        <v>37</v>
      </c>
      <c r="D283" t="s">
        <v>246</v>
      </c>
      <c r="E283" t="s">
        <v>39</v>
      </c>
      <c r="F283" t="s">
        <v>40</v>
      </c>
      <c r="G283" t="s">
        <v>41</v>
      </c>
      <c r="H283" s="3" t="str">
        <f>HYPERLINK("https://www.avito.ru/moskva/bytovaya_elektronika/3d_printer_h2c_full_combo_laser_10w_eu_3_v_1_8071815494","3D принтер H2C Full Combo Laser 10W EU — 3 в 1")</f>
      </c>
      <c r="I283" t="s">
        <v>218</v>
      </c>
      <c r="J283" t="s">
        <v>78</v>
      </c>
      <c r="K283" t="s">
        <v>84</v>
      </c>
      <c r="L283">
        <v>29</v>
      </c>
      <c r="M283">
        <v>2</v>
      </c>
      <c r="N283" s="4">
        <v>0</v>
      </c>
      <c r="O283">
        <v>0</v>
      </c>
      <c r="P283" s="5" t="s">
        <v>54</v>
      </c>
      <c r="Q283" s="4" t="s">
        <v>54</v>
      </c>
      <c r="R283">
        <v>0</v>
      </c>
      <c r="S283">
        <v>0</v>
      </c>
      <c r="T283">
        <v>0</v>
      </c>
      <c r="U283">
        <v>0</v>
      </c>
      <c r="V283">
        <v>0</v>
      </c>
      <c r="W283">
        <v>0</v>
      </c>
      <c r="X283" s="5" t="s">
        <v>54</v>
      </c>
      <c r="Y283">
        <v>0</v>
      </c>
      <c r="Z283" s="4" t="s">
        <v>54</v>
      </c>
      <c r="AA283">
        <v>0</v>
      </c>
      <c r="AB283" s="5">
        <v>0</v>
      </c>
      <c r="AC283">
        <v>0</v>
      </c>
      <c r="AD283" s="5">
        <v>0</v>
      </c>
      <c r="AE283" s="5">
        <v>85</v>
      </c>
      <c r="AF283" s="5">
        <v>0</v>
      </c>
      <c r="AG283" s="5">
        <v>85</v>
      </c>
      <c r="AH283" s="5">
        <v>0</v>
      </c>
      <c r="AI283" s="5">
        <v>0</v>
      </c>
      <c r="AJ283" s="5">
        <v>0</v>
      </c>
    </row>
    <row r="284">
      <c r="A284" s="2" t="str">
        <f>HYPERLINK("https://www.avito.ru/stavropol/bytovaya_elektronika/bambu_h2s_eu_ams_2_pro_prototipy_i_proizvodstvo_8071816885","8071816885")</f>
      </c>
      <c r="B284" t="s">
        <v>196</v>
      </c>
      <c r="C284" t="s">
        <v>197</v>
      </c>
      <c r="D284" t="s">
        <v>198</v>
      </c>
      <c r="E284" t="s">
        <v>39</v>
      </c>
      <c r="F284" t="s">
        <v>40</v>
      </c>
      <c r="G284" t="s">
        <v>41</v>
      </c>
      <c r="H284" s="3" t="str">
        <f>HYPERLINK("https://www.avito.ru/stavropol/bytovaya_elektronika/bambu_h2s_eu_ams_2_pro_prototipy_i_proizvodstvo_8071816885","Bambu H2S EU AMS 2 Pro — прототипы и производство")</f>
      </c>
      <c r="I284" t="s">
        <v>69</v>
      </c>
      <c r="J284" t="s">
        <v>89</v>
      </c>
      <c r="K284" t="s">
        <v>84</v>
      </c>
      <c r="L284">
        <v>28</v>
      </c>
      <c r="M284">
        <v>167</v>
      </c>
      <c r="N284" s="4">
        <v>0.0598</v>
      </c>
      <c r="O284">
        <v>10</v>
      </c>
      <c r="P284" s="5">
        <v>5.6</v>
      </c>
      <c r="Q284" s="4">
        <v>0</v>
      </c>
      <c r="R284">
        <v>0</v>
      </c>
      <c r="S284">
        <v>0</v>
      </c>
      <c r="T284">
        <v>0</v>
      </c>
      <c r="U284">
        <v>0</v>
      </c>
      <c r="V284">
        <v>0</v>
      </c>
      <c r="W284">
        <v>0</v>
      </c>
      <c r="X284" s="5" t="s">
        <v>54</v>
      </c>
      <c r="Y284">
        <v>3</v>
      </c>
      <c r="Z284" s="4">
        <v>0</v>
      </c>
      <c r="AA284">
        <v>0</v>
      </c>
      <c r="AB284" s="5">
        <v>0</v>
      </c>
      <c r="AC284">
        <v>0</v>
      </c>
      <c r="AD284" s="5">
        <v>0</v>
      </c>
      <c r="AE284" s="5">
        <v>56</v>
      </c>
      <c r="AF284" s="5">
        <v>0</v>
      </c>
      <c r="AG284" s="5">
        <v>56</v>
      </c>
      <c r="AH284" s="5">
        <v>0</v>
      </c>
      <c r="AI284" s="5">
        <v>0</v>
      </c>
      <c r="AJ284" s="5">
        <v>0</v>
      </c>
    </row>
    <row r="285">
      <c r="A285" s="2" t="str">
        <f>HYPERLINK("https://www.avito.ru/sankt-peterburg/bytovaya_elektronika/3d_printer_h2c_combo_eu_est_v_nalichii_vortek_ams_2_pro_8071819166","8071819166")</f>
      </c>
      <c r="B285" t="s">
        <v>36</v>
      </c>
      <c r="C285" t="s">
        <v>90</v>
      </c>
      <c r="D285" t="s">
        <v>91</v>
      </c>
      <c r="E285" t="s">
        <v>39</v>
      </c>
      <c r="F285" t="s">
        <v>40</v>
      </c>
      <c r="G285" t="s">
        <v>41</v>
      </c>
      <c r="H285" s="3" t="str">
        <f>HYPERLINK("https://www.avito.ru/sankt-peterburg/bytovaya_elektronika/3d_printer_h2c_combo_eu_est_v_nalichii_vortek_ams_2_pro_8071819166","3D принтер H2C Combo EU — есть в наличии, Vortek + AMS 2 Pro")</f>
      </c>
      <c r="I285" t="s">
        <v>61</v>
      </c>
      <c r="J285" t="s">
        <v>43</v>
      </c>
      <c r="K285" t="s">
        <v>62</v>
      </c>
      <c r="L285">
        <v>35</v>
      </c>
      <c r="M285">
        <v>103</v>
      </c>
      <c r="N285" s="4">
        <v>0.1747</v>
      </c>
      <c r="O285">
        <v>18</v>
      </c>
      <c r="P285" s="5">
        <v>3.11</v>
      </c>
      <c r="Q285" s="4">
        <v>0</v>
      </c>
      <c r="R285">
        <v>0</v>
      </c>
      <c r="S285">
        <v>0</v>
      </c>
      <c r="T285">
        <v>0</v>
      </c>
      <c r="U285">
        <v>0</v>
      </c>
      <c r="V285">
        <v>0</v>
      </c>
      <c r="W285">
        <v>0</v>
      </c>
      <c r="X285" s="5" t="s">
        <v>54</v>
      </c>
      <c r="Y285">
        <v>1</v>
      </c>
      <c r="Z285" s="4">
        <v>0</v>
      </c>
      <c r="AA285">
        <v>0</v>
      </c>
      <c r="AB285" s="5">
        <v>0</v>
      </c>
      <c r="AC285">
        <v>0</v>
      </c>
      <c r="AD285" s="5">
        <v>0</v>
      </c>
      <c r="AE285" s="5">
        <v>56</v>
      </c>
      <c r="AF285" s="5">
        <v>0</v>
      </c>
      <c r="AG285" s="5">
        <v>56</v>
      </c>
      <c r="AH285" s="5">
        <v>0</v>
      </c>
      <c r="AI285" s="5">
        <v>0</v>
      </c>
      <c r="AJ285" s="5">
        <v>0</v>
      </c>
    </row>
    <row r="286">
      <c r="A286" s="2" t="str">
        <f>HYPERLINK("https://www.avito.ru/ufa/bytovaya_elektronika/3d_printer_h2c_combo_eu_est_v_nalichii_vortek_ams_8071821219","8071821219")</f>
      </c>
      <c r="B286" t="s">
        <v>162</v>
      </c>
      <c r="C286" t="s">
        <v>163</v>
      </c>
      <c r="D286" t="s">
        <v>164</v>
      </c>
      <c r="E286" t="s">
        <v>39</v>
      </c>
      <c r="F286" t="s">
        <v>40</v>
      </c>
      <c r="G286" t="s">
        <v>41</v>
      </c>
      <c r="H286" s="3" t="str">
        <f>HYPERLINK("https://www.avito.ru/ufa/bytovaya_elektronika/3d_printer_h2c_combo_eu_est_v_nalichii_vortek_ams_8071821219","3D принтер H2C Combo EU — есть в наличии, Vortek + AMS")</f>
      </c>
      <c r="I286" t="s">
        <v>61</v>
      </c>
      <c r="J286" t="s">
        <v>78</v>
      </c>
      <c r="K286" t="s">
        <v>84</v>
      </c>
      <c r="L286">
        <v>29</v>
      </c>
      <c r="M286">
        <v>0</v>
      </c>
      <c r="N286" s="4" t="s">
        <v>54</v>
      </c>
      <c r="O286">
        <v>0</v>
      </c>
      <c r="P286" s="5" t="s">
        <v>54</v>
      </c>
      <c r="Q286" s="4" t="s">
        <v>54</v>
      </c>
      <c r="R286">
        <v>0</v>
      </c>
      <c r="S286">
        <v>0</v>
      </c>
      <c r="T286">
        <v>0</v>
      </c>
      <c r="U286">
        <v>0</v>
      </c>
      <c r="V286">
        <v>0</v>
      </c>
      <c r="W286">
        <v>0</v>
      </c>
      <c r="X286" s="5" t="s">
        <v>54</v>
      </c>
      <c r="Y286">
        <v>0</v>
      </c>
      <c r="Z286" s="4" t="s">
        <v>54</v>
      </c>
      <c r="AA286">
        <v>0</v>
      </c>
      <c r="AB286" s="5">
        <v>0</v>
      </c>
      <c r="AC286">
        <v>0</v>
      </c>
      <c r="AD286" s="5">
        <v>0</v>
      </c>
      <c r="AE286" s="5">
        <v>56</v>
      </c>
      <c r="AF286" s="5">
        <v>0</v>
      </c>
      <c r="AG286" s="5">
        <v>56</v>
      </c>
      <c r="AH286" s="5">
        <v>0</v>
      </c>
      <c r="AI286" s="5">
        <v>0</v>
      </c>
      <c r="AJ286" s="5">
        <v>0</v>
      </c>
    </row>
    <row r="287">
      <c r="A287" s="2" t="str">
        <f>HYPERLINK("https://www.avito.ru/saratov/bytovaya_elektronika/h2s_eu_bambu_lab_mnogotsvetnaya_pechat_sdek_2527_dney_8071825001","8071825001")</f>
      </c>
      <c r="B287" t="s">
        <v>85</v>
      </c>
      <c r="C287" t="s">
        <v>86</v>
      </c>
      <c r="D287" t="s">
        <v>87</v>
      </c>
      <c r="E287" t="s">
        <v>39</v>
      </c>
      <c r="F287" t="s">
        <v>40</v>
      </c>
      <c r="G287" t="s">
        <v>41</v>
      </c>
      <c r="H287" s="3" t="str">
        <f>HYPERLINK("https://www.avito.ru/saratov/bytovaya_elektronika/h2s_eu_bambu_lab_mnogotsvetnaya_pechat_sdek_2527_dney_8071825001","H2S EU Bambu Lab — многоцветная печать, сдэк 25–27 дней")</f>
      </c>
      <c r="I287" t="s">
        <v>282</v>
      </c>
      <c r="J287" t="s">
        <v>89</v>
      </c>
      <c r="K287" t="s">
        <v>84</v>
      </c>
      <c r="L287">
        <v>28</v>
      </c>
      <c r="M287">
        <v>51</v>
      </c>
      <c r="N287" s="4">
        <v>0.0392</v>
      </c>
      <c r="O287">
        <v>2</v>
      </c>
      <c r="P287" s="5">
        <v>28</v>
      </c>
      <c r="Q287" s="4">
        <v>0</v>
      </c>
      <c r="R287">
        <v>0</v>
      </c>
      <c r="S287">
        <v>0</v>
      </c>
      <c r="T287">
        <v>0</v>
      </c>
      <c r="U287">
        <v>0</v>
      </c>
      <c r="V287">
        <v>0</v>
      </c>
      <c r="W287">
        <v>0</v>
      </c>
      <c r="X287" s="5" t="s">
        <v>54</v>
      </c>
      <c r="Y287">
        <v>0</v>
      </c>
      <c r="Z287" s="4">
        <v>0</v>
      </c>
      <c r="AA287">
        <v>0</v>
      </c>
      <c r="AB287" s="5">
        <v>0</v>
      </c>
      <c r="AC287">
        <v>0</v>
      </c>
      <c r="AD287" s="5">
        <v>0</v>
      </c>
      <c r="AE287" s="5">
        <v>56</v>
      </c>
      <c r="AF287" s="5">
        <v>0</v>
      </c>
      <c r="AG287" s="5">
        <v>56</v>
      </c>
      <c r="AH287" s="5">
        <v>0</v>
      </c>
      <c r="AI287" s="5">
        <v>0</v>
      </c>
      <c r="AJ287" s="5">
        <v>0</v>
      </c>
    </row>
    <row r="288">
      <c r="A288" s="2" t="str">
        <f>HYPERLINK("https://www.avito.ru/sankt-peterburg/bytovaya_elektronika/3d_printer_bambu_lab_h2c_laser_10w_eu_ams_lazer_8071826126","8071826126")</f>
      </c>
      <c r="B288" t="s">
        <v>36</v>
      </c>
      <c r="C288" t="s">
        <v>90</v>
      </c>
      <c r="D288" t="s">
        <v>165</v>
      </c>
      <c r="E288" t="s">
        <v>39</v>
      </c>
      <c r="F288" t="s">
        <v>40</v>
      </c>
      <c r="G288" t="s">
        <v>41</v>
      </c>
      <c r="H288" s="3" t="str">
        <f>HYPERLINK("https://www.avito.ru/sankt-peterburg/bytovaya_elektronika/3d_printer_bambu_lab_h2c_laser_10w_eu_ams_lazer_8071826126","3D принтер Bambu Lab H2C Laser 10W EU — AMS + лазер")</f>
      </c>
      <c r="I288" t="s">
        <v>229</v>
      </c>
      <c r="J288" t="s">
        <v>78</v>
      </c>
      <c r="K288" t="s">
        <v>84</v>
      </c>
      <c r="L288">
        <v>29</v>
      </c>
      <c r="M288">
        <v>5</v>
      </c>
      <c r="N288" s="4">
        <v>0</v>
      </c>
      <c r="O288">
        <v>0</v>
      </c>
      <c r="P288" s="5" t="s">
        <v>54</v>
      </c>
      <c r="Q288" s="4" t="s">
        <v>54</v>
      </c>
      <c r="R288">
        <v>0</v>
      </c>
      <c r="S288">
        <v>0</v>
      </c>
      <c r="T288">
        <v>0</v>
      </c>
      <c r="U288">
        <v>0</v>
      </c>
      <c r="V288">
        <v>0</v>
      </c>
      <c r="W288">
        <v>0</v>
      </c>
      <c r="X288" s="5" t="s">
        <v>54</v>
      </c>
      <c r="Y288">
        <v>0</v>
      </c>
      <c r="Z288" s="4" t="s">
        <v>54</v>
      </c>
      <c r="AA288">
        <v>0</v>
      </c>
      <c r="AB288" s="5">
        <v>0</v>
      </c>
      <c r="AC288">
        <v>0</v>
      </c>
      <c r="AD288" s="5">
        <v>0</v>
      </c>
      <c r="AE288" s="5">
        <v>56</v>
      </c>
      <c r="AF288" s="5">
        <v>0</v>
      </c>
      <c r="AG288" s="5">
        <v>56</v>
      </c>
      <c r="AH288" s="5">
        <v>0</v>
      </c>
      <c r="AI288" s="5">
        <v>0</v>
      </c>
      <c r="AJ288" s="5">
        <v>0</v>
      </c>
    </row>
    <row r="289">
      <c r="A289" s="2" t="str">
        <f>HYPERLINK("https://www.avito.ru/rostov-na-donu/bytovaya_elektronika/bambu_h2d_ams_2_pro_cn_bystraya_okupaemost_pod_zakaz_8071826818","8071826818")</f>
      </c>
      <c r="B289" t="s">
        <v>70</v>
      </c>
      <c r="C289" t="s">
        <v>71</v>
      </c>
      <c r="D289" t="s">
        <v>72</v>
      </c>
      <c r="E289" t="s">
        <v>39</v>
      </c>
      <c r="F289" t="s">
        <v>40</v>
      </c>
      <c r="G289" t="s">
        <v>41</v>
      </c>
      <c r="H289" s="3" t="str">
        <f>HYPERLINK("https://www.avito.ru/rostov-na-donu/bytovaya_elektronika/bambu_h2d_ams_2_pro_cn_bystraya_okupaemost_pod_zakaz_8071826818","Bambu H2D AMS 2 Pro CN — быстрая окупаемость, под заказ")</f>
      </c>
      <c r="I289" t="s">
        <v>283</v>
      </c>
      <c r="J289" t="s">
        <v>89</v>
      </c>
      <c r="K289" t="s">
        <v>84</v>
      </c>
      <c r="L289">
        <v>28</v>
      </c>
      <c r="M289">
        <v>13</v>
      </c>
      <c r="N289" s="4">
        <v>0</v>
      </c>
      <c r="O289">
        <v>0</v>
      </c>
      <c r="P289" s="5" t="s">
        <v>54</v>
      </c>
      <c r="Q289" s="4" t="s">
        <v>54</v>
      </c>
      <c r="R289">
        <v>0</v>
      </c>
      <c r="S289">
        <v>0</v>
      </c>
      <c r="T289">
        <v>0</v>
      </c>
      <c r="U289">
        <v>0</v>
      </c>
      <c r="V289">
        <v>0</v>
      </c>
      <c r="W289">
        <v>0</v>
      </c>
      <c r="X289" s="5" t="s">
        <v>54</v>
      </c>
      <c r="Y289">
        <v>0</v>
      </c>
      <c r="Z289" s="4" t="s">
        <v>54</v>
      </c>
      <c r="AA289">
        <v>0</v>
      </c>
      <c r="AB289" s="5">
        <v>0</v>
      </c>
      <c r="AC289">
        <v>0</v>
      </c>
      <c r="AD289" s="5">
        <v>0</v>
      </c>
      <c r="AE289" s="5">
        <v>56</v>
      </c>
      <c r="AF289" s="5">
        <v>0</v>
      </c>
      <c r="AG289" s="5">
        <v>56</v>
      </c>
      <c r="AH289" s="5">
        <v>0</v>
      </c>
      <c r="AI289" s="5">
        <v>0</v>
      </c>
      <c r="AJ289" s="5">
        <v>0</v>
      </c>
    </row>
    <row r="290">
      <c r="A290" s="2" t="str">
        <f>HYPERLINK("https://www.avito.ru/krasnoyarsk/bytovaya_elektronika/3d_printer_h2s_eu_bambu_lab_ams_2_pro_pod_zakaz_8071828852","8071828852")</f>
      </c>
      <c r="B290" t="s">
        <v>156</v>
      </c>
      <c r="C290" t="s">
        <v>157</v>
      </c>
      <c r="D290" t="s">
        <v>158</v>
      </c>
      <c r="E290" t="s">
        <v>39</v>
      </c>
      <c r="F290" t="s">
        <v>40</v>
      </c>
      <c r="G290" t="s">
        <v>41</v>
      </c>
      <c r="H290" s="3" t="str">
        <f>HYPERLINK("https://www.avito.ru/krasnoyarsk/bytovaya_elektronika/3d_printer_h2s_eu_bambu_lab_ams_2_pro_pod_zakaz_8071828852","3D принтер H2S EU Bambu Lab — AMS 2 Pro, под заказ")</f>
      </c>
      <c r="I290" t="s">
        <v>69</v>
      </c>
      <c r="J290" t="s">
        <v>55</v>
      </c>
      <c r="K290" t="s">
        <v>56</v>
      </c>
      <c r="L290">
        <v>30</v>
      </c>
      <c r="M290">
        <v>71</v>
      </c>
      <c r="N290" s="4">
        <v>0.0985</v>
      </c>
      <c r="O290">
        <v>7</v>
      </c>
      <c r="P290" s="5">
        <v>8</v>
      </c>
      <c r="Q290" s="4">
        <v>0</v>
      </c>
      <c r="R290">
        <v>0</v>
      </c>
      <c r="S290">
        <v>0</v>
      </c>
      <c r="T290">
        <v>0</v>
      </c>
      <c r="U290">
        <v>0</v>
      </c>
      <c r="V290">
        <v>0</v>
      </c>
      <c r="W290">
        <v>0</v>
      </c>
      <c r="X290" s="5" t="s">
        <v>54</v>
      </c>
      <c r="Y290">
        <v>0</v>
      </c>
      <c r="Z290" s="4">
        <v>0</v>
      </c>
      <c r="AA290">
        <v>0</v>
      </c>
      <c r="AB290" s="5">
        <v>0</v>
      </c>
      <c r="AC290">
        <v>0</v>
      </c>
      <c r="AD290" s="5">
        <v>0</v>
      </c>
      <c r="AE290" s="5">
        <v>56</v>
      </c>
      <c r="AF290" s="5">
        <v>0</v>
      </c>
      <c r="AG290" s="5">
        <v>56</v>
      </c>
      <c r="AH290" s="5">
        <v>0</v>
      </c>
      <c r="AI290" s="5">
        <v>0</v>
      </c>
      <c r="AJ290" s="5">
        <v>0</v>
      </c>
    </row>
    <row r="291">
      <c r="A291" s="2" t="str">
        <f>HYPERLINK("https://www.avito.ru/voronezh/bytovaya_elektronika/h2c_combo_cn_bambu_lab_vortek_vygodnaya_tsena_pod_zakaz_8071831832","8071831832")</f>
      </c>
      <c r="B291" t="s">
        <v>169</v>
      </c>
      <c r="C291" t="s">
        <v>170</v>
      </c>
      <c r="D291" t="s">
        <v>171</v>
      </c>
      <c r="E291" t="s">
        <v>39</v>
      </c>
      <c r="F291" t="s">
        <v>40</v>
      </c>
      <c r="G291" t="s">
        <v>41</v>
      </c>
      <c r="H291" s="3" t="str">
        <f>HYPERLINK("https://www.avito.ru/voronezh/bytovaya_elektronika/h2c_combo_cn_bambu_lab_vortek_vygodnaya_tsena_pod_zakaz_8071831832","H2C Combo CN Bambu Lab — Vortek, выгодная цена, под заказ")</f>
      </c>
      <c r="I291" t="s">
        <v>284</v>
      </c>
      <c r="J291" t="s">
        <v>89</v>
      </c>
      <c r="K291" t="s">
        <v>84</v>
      </c>
      <c r="L291">
        <v>28</v>
      </c>
      <c r="M291">
        <v>19</v>
      </c>
      <c r="N291" s="4">
        <v>0.0526</v>
      </c>
      <c r="O291">
        <v>1</v>
      </c>
      <c r="P291" s="5">
        <v>56</v>
      </c>
      <c r="Q291" s="4">
        <v>0</v>
      </c>
      <c r="R291">
        <v>0</v>
      </c>
      <c r="S291">
        <v>0</v>
      </c>
      <c r="T291">
        <v>0</v>
      </c>
      <c r="U291">
        <v>0</v>
      </c>
      <c r="V291">
        <v>0</v>
      </c>
      <c r="W291">
        <v>0</v>
      </c>
      <c r="X291" s="5" t="s">
        <v>54</v>
      </c>
      <c r="Y291">
        <v>0</v>
      </c>
      <c r="Z291" s="4">
        <v>0</v>
      </c>
      <c r="AA291">
        <v>0</v>
      </c>
      <c r="AB291" s="5">
        <v>0</v>
      </c>
      <c r="AC291">
        <v>0</v>
      </c>
      <c r="AD291" s="5">
        <v>0</v>
      </c>
      <c r="AE291" s="5">
        <v>56</v>
      </c>
      <c r="AF291" s="5">
        <v>0</v>
      </c>
      <c r="AG291" s="5">
        <v>56</v>
      </c>
      <c r="AH291" s="5">
        <v>0</v>
      </c>
      <c r="AI291" s="5">
        <v>0</v>
      </c>
      <c r="AJ291" s="5">
        <v>0</v>
      </c>
    </row>
    <row r="292">
      <c r="A292" s="2" t="str">
        <f>HYPERLINK("https://www.avito.ru/rostov-na-donu/bytovaya_elektronika/h2d_laser_40w_cn_rezka_metalla_3d-pechat_vygodnaya_tsena_8071834045","8071834045")</f>
      </c>
      <c r="B292" t="s">
        <v>70</v>
      </c>
      <c r="C292" t="s">
        <v>71</v>
      </c>
      <c r="D292" t="s">
        <v>72</v>
      </c>
      <c r="E292" t="s">
        <v>39</v>
      </c>
      <c r="F292" t="s">
        <v>40</v>
      </c>
      <c r="G292" t="s">
        <v>41</v>
      </c>
      <c r="H292" s="3" t="str">
        <f>HYPERLINK("https://www.avito.ru/rostov-na-donu/bytovaya_elektronika/h2d_laser_40w_cn_rezka_metalla_3d-pechat_vygodnaya_tsena_8071834045","H2D Laser 40W CN — резка металла + 3D-печать, выгодная цена")</f>
      </c>
      <c r="I292" t="s">
        <v>185</v>
      </c>
      <c r="J292" t="s">
        <v>89</v>
      </c>
      <c r="K292" t="s">
        <v>84</v>
      </c>
      <c r="L292">
        <v>28</v>
      </c>
      <c r="M292">
        <v>49</v>
      </c>
      <c r="N292" s="4">
        <v>0.0612</v>
      </c>
      <c r="O292">
        <v>3</v>
      </c>
      <c r="P292" s="5">
        <v>18.66</v>
      </c>
      <c r="Q292" s="4">
        <v>0</v>
      </c>
      <c r="R292">
        <v>0</v>
      </c>
      <c r="S292">
        <v>0</v>
      </c>
      <c r="T292">
        <v>0</v>
      </c>
      <c r="U292">
        <v>0</v>
      </c>
      <c r="V292">
        <v>0</v>
      </c>
      <c r="W292">
        <v>0</v>
      </c>
      <c r="X292" s="5" t="s">
        <v>54</v>
      </c>
      <c r="Y292">
        <v>0</v>
      </c>
      <c r="Z292" s="4">
        <v>0</v>
      </c>
      <c r="AA292">
        <v>0</v>
      </c>
      <c r="AB292" s="5">
        <v>0</v>
      </c>
      <c r="AC292">
        <v>0</v>
      </c>
      <c r="AD292" s="5">
        <v>0</v>
      </c>
      <c r="AE292" s="5">
        <v>56</v>
      </c>
      <c r="AF292" s="5">
        <v>0</v>
      </c>
      <c r="AG292" s="5">
        <v>56</v>
      </c>
      <c r="AH292" s="5">
        <v>0</v>
      </c>
      <c r="AI292" s="5">
        <v>0</v>
      </c>
      <c r="AJ292" s="5">
        <v>0</v>
      </c>
    </row>
    <row r="293">
      <c r="A293" s="2" t="str">
        <f>HYPERLINK("https://www.avito.ru/chelyabinsk/bytovaya_elektronika/bambu_lab_h2c_laser_10w_eu_vortek_ams_2_pro_lazer_8071846714","8071846714")</f>
      </c>
      <c r="B293" t="s">
        <v>175</v>
      </c>
      <c r="C293" t="s">
        <v>176</v>
      </c>
      <c r="D293" t="s">
        <v>177</v>
      </c>
      <c r="E293" t="s">
        <v>39</v>
      </c>
      <c r="F293" t="s">
        <v>40</v>
      </c>
      <c r="G293" t="s">
        <v>41</v>
      </c>
      <c r="H293" s="3" t="str">
        <f>HYPERLINK("https://www.avito.ru/chelyabinsk/bytovaya_elektronika/bambu_lab_h2c_laser_10w_eu_vortek_ams_2_pro_lazer_8071846714","Bambu Lab H2C Laser 10W EU — Vortek + AMS 2 Pro + лазер")</f>
      </c>
      <c r="I293" t="s">
        <v>285</v>
      </c>
      <c r="J293" t="s">
        <v>89</v>
      </c>
      <c r="K293" t="s">
        <v>84</v>
      </c>
      <c r="L293">
        <v>28</v>
      </c>
      <c r="M293">
        <v>1</v>
      </c>
      <c r="N293" s="4">
        <v>0</v>
      </c>
      <c r="O293">
        <v>0</v>
      </c>
      <c r="P293" s="5" t="s">
        <v>54</v>
      </c>
      <c r="Q293" s="4" t="s">
        <v>54</v>
      </c>
      <c r="R293">
        <v>0</v>
      </c>
      <c r="S293">
        <v>0</v>
      </c>
      <c r="T293">
        <v>0</v>
      </c>
      <c r="U293">
        <v>0</v>
      </c>
      <c r="V293">
        <v>0</v>
      </c>
      <c r="W293">
        <v>0</v>
      </c>
      <c r="X293" s="5" t="s">
        <v>54</v>
      </c>
      <c r="Y293">
        <v>0</v>
      </c>
      <c r="Z293" s="4" t="s">
        <v>54</v>
      </c>
      <c r="AA293">
        <v>0</v>
      </c>
      <c r="AB293" s="5">
        <v>0</v>
      </c>
      <c r="AC293">
        <v>0</v>
      </c>
      <c r="AD293" s="5">
        <v>0</v>
      </c>
      <c r="AE293" s="5">
        <v>56</v>
      </c>
      <c r="AF293" s="5">
        <v>0</v>
      </c>
      <c r="AG293" s="5">
        <v>56</v>
      </c>
      <c r="AH293" s="5">
        <v>0</v>
      </c>
      <c r="AI293" s="5">
        <v>0</v>
      </c>
      <c r="AJ293" s="5">
        <v>0</v>
      </c>
    </row>
    <row r="294">
      <c r="A294" s="2" t="str">
        <f>HYPERLINK("https://www.avito.ru/voronezh/bytovaya_elektronika/3d_printer_h2c_combo_eu_est_v_nalichii_vortek_ams_8071854805","8071854805")</f>
      </c>
      <c r="B294" t="s">
        <v>169</v>
      </c>
      <c r="C294" t="s">
        <v>170</v>
      </c>
      <c r="D294" t="s">
        <v>171</v>
      </c>
      <c r="E294" t="s">
        <v>39</v>
      </c>
      <c r="F294" t="s">
        <v>40</v>
      </c>
      <c r="G294" t="s">
        <v>41</v>
      </c>
      <c r="H294" s="3" t="str">
        <f>HYPERLINK("https://www.avito.ru/voronezh/bytovaya_elektronika/3d_printer_h2c_combo_eu_est_v_nalichii_vortek_ams_8071854805","3D принтер H2C Combo EU — есть в наличии, Vortek + AMS")</f>
      </c>
      <c r="I294" t="s">
        <v>61</v>
      </c>
      <c r="J294" t="s">
        <v>55</v>
      </c>
      <c r="K294" t="s">
        <v>56</v>
      </c>
      <c r="L294">
        <v>30</v>
      </c>
      <c r="M294">
        <v>223</v>
      </c>
      <c r="N294" s="4">
        <v>0.0493</v>
      </c>
      <c r="O294">
        <v>11</v>
      </c>
      <c r="P294" s="5">
        <v>5.09</v>
      </c>
      <c r="Q294" s="4">
        <v>0</v>
      </c>
      <c r="R294">
        <v>0</v>
      </c>
      <c r="S294">
        <v>0</v>
      </c>
      <c r="T294">
        <v>0</v>
      </c>
      <c r="U294">
        <v>0</v>
      </c>
      <c r="V294">
        <v>0</v>
      </c>
      <c r="W294">
        <v>0</v>
      </c>
      <c r="X294" s="5" t="s">
        <v>54</v>
      </c>
      <c r="Y294">
        <v>1</v>
      </c>
      <c r="Z294" s="4">
        <v>0</v>
      </c>
      <c r="AA294">
        <v>0</v>
      </c>
      <c r="AB294" s="5">
        <v>0</v>
      </c>
      <c r="AC294">
        <v>0</v>
      </c>
      <c r="AD294" s="5">
        <v>0</v>
      </c>
      <c r="AE294" s="5">
        <v>56</v>
      </c>
      <c r="AF294" s="5">
        <v>0</v>
      </c>
      <c r="AG294" s="5">
        <v>56</v>
      </c>
      <c r="AH294" s="5">
        <v>0</v>
      </c>
      <c r="AI294" s="5">
        <v>0</v>
      </c>
      <c r="AJ294" s="5">
        <v>0</v>
      </c>
    </row>
    <row r="295">
      <c r="A295" s="2" t="str">
        <f>HYPERLINK("https://www.avito.ru/nizhniy_novgorod/bytovaya_elektronika/h2d_pro_combo_ams_eu_topovyy_bambu_lab_pod_zakaz_8071855285","8071855285")</f>
      </c>
      <c r="B295" t="s">
        <v>137</v>
      </c>
      <c r="C295" t="s">
        <v>138</v>
      </c>
      <c r="D295" t="s">
        <v>139</v>
      </c>
      <c r="E295" t="s">
        <v>39</v>
      </c>
      <c r="F295" t="s">
        <v>40</v>
      </c>
      <c r="G295" t="s">
        <v>41</v>
      </c>
      <c r="H295" s="3" t="str">
        <f>HYPERLINK("https://www.avito.ru/nizhniy_novgorod/bytovaya_elektronika/h2d_pro_combo_ams_eu_topovyy_bambu_lab_pod_zakaz_8071855285","H2D PRO Combo AMS EU — топовый Bambu Lab под заказ")</f>
      </c>
      <c r="I295" t="s">
        <v>286</v>
      </c>
      <c r="J295" t="s">
        <v>89</v>
      </c>
      <c r="K295" t="s">
        <v>84</v>
      </c>
      <c r="L295">
        <v>28</v>
      </c>
      <c r="M295">
        <v>88</v>
      </c>
      <c r="N295" s="4">
        <v>0.0227</v>
      </c>
      <c r="O295">
        <v>2</v>
      </c>
      <c r="P295" s="5">
        <v>28</v>
      </c>
      <c r="Q295" s="4">
        <v>0</v>
      </c>
      <c r="R295">
        <v>0</v>
      </c>
      <c r="S295">
        <v>0</v>
      </c>
      <c r="T295">
        <v>0</v>
      </c>
      <c r="U295">
        <v>0</v>
      </c>
      <c r="V295">
        <v>0</v>
      </c>
      <c r="W295">
        <v>0</v>
      </c>
      <c r="X295" s="5" t="s">
        <v>54</v>
      </c>
      <c r="Y295">
        <v>0</v>
      </c>
      <c r="Z295" s="4">
        <v>0</v>
      </c>
      <c r="AA295">
        <v>0</v>
      </c>
      <c r="AB295" s="5">
        <v>0</v>
      </c>
      <c r="AC295">
        <v>0</v>
      </c>
      <c r="AD295" s="5">
        <v>0</v>
      </c>
      <c r="AE295" s="5">
        <v>56</v>
      </c>
      <c r="AF295" s="5">
        <v>0</v>
      </c>
      <c r="AG295" s="5">
        <v>56</v>
      </c>
      <c r="AH295" s="5">
        <v>0</v>
      </c>
      <c r="AI295" s="5">
        <v>0</v>
      </c>
      <c r="AJ295" s="5">
        <v>0</v>
      </c>
    </row>
    <row r="296">
      <c r="A296" s="2" t="str">
        <f>HYPERLINK("https://www.avito.ru/ufa/bytovaya_elektronika/bambu_lab_h2c_combo_cn_vortek_ams_2_pro_tsena_nizhe_eu_8071855784","8071855784")</f>
      </c>
      <c r="B296" t="s">
        <v>162</v>
      </c>
      <c r="C296" t="s">
        <v>163</v>
      </c>
      <c r="D296" t="s">
        <v>164</v>
      </c>
      <c r="E296" t="s">
        <v>39</v>
      </c>
      <c r="F296" t="s">
        <v>40</v>
      </c>
      <c r="G296" t="s">
        <v>41</v>
      </c>
      <c r="H296" s="3" t="str">
        <f>HYPERLINK("https://www.avito.ru/ufa/bytovaya_elektronika/bambu_lab_h2c_combo_cn_vortek_ams_2_pro_tsena_nizhe_eu_8071855784","Bambu Lab H2C Combo CN — Vortek + AMS 2 Pro, цена ниже EU")</f>
      </c>
      <c r="I296" t="s">
        <v>287</v>
      </c>
      <c r="J296" t="s">
        <v>89</v>
      </c>
      <c r="K296" t="s">
        <v>84</v>
      </c>
      <c r="L296">
        <v>28</v>
      </c>
      <c r="M296">
        <v>144</v>
      </c>
      <c r="N296" s="4">
        <v>0.0416</v>
      </c>
      <c r="O296">
        <v>6</v>
      </c>
      <c r="P296" s="5">
        <v>9.33</v>
      </c>
      <c r="Q296" s="4">
        <v>0</v>
      </c>
      <c r="R296">
        <v>0</v>
      </c>
      <c r="S296">
        <v>0</v>
      </c>
      <c r="T296">
        <v>0</v>
      </c>
      <c r="U296">
        <v>0</v>
      </c>
      <c r="V296">
        <v>0</v>
      </c>
      <c r="W296">
        <v>0</v>
      </c>
      <c r="X296" s="5" t="s">
        <v>54</v>
      </c>
      <c r="Y296">
        <v>0</v>
      </c>
      <c r="Z296" s="4">
        <v>0</v>
      </c>
      <c r="AA296">
        <v>0</v>
      </c>
      <c r="AB296" s="5">
        <v>0</v>
      </c>
      <c r="AC296">
        <v>0</v>
      </c>
      <c r="AD296" s="5">
        <v>0</v>
      </c>
      <c r="AE296" s="5">
        <v>56</v>
      </c>
      <c r="AF296" s="5">
        <v>0</v>
      </c>
      <c r="AG296" s="5">
        <v>56</v>
      </c>
      <c r="AH296" s="5">
        <v>0</v>
      </c>
      <c r="AI296" s="5">
        <v>0</v>
      </c>
      <c r="AJ296" s="5">
        <v>0</v>
      </c>
    </row>
    <row r="297">
      <c r="A297" s="2" t="str">
        <f>HYPERLINK("https://www.avito.ru/yaroslavl/bytovaya_elektronika/3d_printer_h2c_combo_eu_est_v_nalichii_vortek_ams_2_pro_8071859673","8071859673")</f>
      </c>
      <c r="B297" t="s">
        <v>133</v>
      </c>
      <c r="C297" t="s">
        <v>134</v>
      </c>
      <c r="D297" t="s">
        <v>135</v>
      </c>
      <c r="E297" t="s">
        <v>39</v>
      </c>
      <c r="F297" t="s">
        <v>40</v>
      </c>
      <c r="G297" t="s">
        <v>41</v>
      </c>
      <c r="H297" s="3" t="str">
        <f>HYPERLINK("https://www.avito.ru/yaroslavl/bytovaya_elektronika/3d_printer_h2c_combo_eu_est_v_nalichii_vortek_ams_2_pro_8071859673","3D принтер H2C Combo EU — есть в наличии, Vortek + AMS 2 Pro")</f>
      </c>
      <c r="I297" t="s">
        <v>61</v>
      </c>
      <c r="J297" t="s">
        <v>89</v>
      </c>
      <c r="K297" t="s">
        <v>84</v>
      </c>
      <c r="L297">
        <v>28</v>
      </c>
      <c r="M297">
        <v>104</v>
      </c>
      <c r="N297" s="4">
        <v>0.0865</v>
      </c>
      <c r="O297">
        <v>9</v>
      </c>
      <c r="P297" s="5">
        <v>6.22</v>
      </c>
      <c r="Q297" s="4">
        <v>0</v>
      </c>
      <c r="R297">
        <v>0</v>
      </c>
      <c r="S297">
        <v>0</v>
      </c>
      <c r="T297">
        <v>0</v>
      </c>
      <c r="U297">
        <v>0</v>
      </c>
      <c r="V297">
        <v>0</v>
      </c>
      <c r="W297">
        <v>0</v>
      </c>
      <c r="X297" s="5" t="s">
        <v>54</v>
      </c>
      <c r="Y297">
        <v>0</v>
      </c>
      <c r="Z297" s="4">
        <v>0</v>
      </c>
      <c r="AA297">
        <v>0</v>
      </c>
      <c r="AB297" s="5">
        <v>0</v>
      </c>
      <c r="AC297">
        <v>0</v>
      </c>
      <c r="AD297" s="5">
        <v>0</v>
      </c>
      <c r="AE297" s="5">
        <v>56</v>
      </c>
      <c r="AF297" s="5">
        <v>0</v>
      </c>
      <c r="AG297" s="5">
        <v>56</v>
      </c>
      <c r="AH297" s="5">
        <v>0</v>
      </c>
      <c r="AI297" s="5">
        <v>0</v>
      </c>
      <c r="AJ297" s="5">
        <v>0</v>
      </c>
    </row>
    <row r="298">
      <c r="A298" s="2" t="str">
        <f>HYPERLINK("https://www.avito.ru/belgorod/bytovaya_elektronika/3d_printer_h2c_combo_eu_est_v_nalichii_vortek_ams_2_pro_8071863712","8071863712")</f>
      </c>
      <c r="B298" t="s">
        <v>112</v>
      </c>
      <c r="C298" t="s">
        <v>113</v>
      </c>
      <c r="D298" t="s">
        <v>114</v>
      </c>
      <c r="E298" t="s">
        <v>39</v>
      </c>
      <c r="F298" t="s">
        <v>40</v>
      </c>
      <c r="G298" t="s">
        <v>41</v>
      </c>
      <c r="H298" s="3" t="str">
        <f>HYPERLINK("https://www.avito.ru/belgorod/bytovaya_elektronika/3d_printer_h2c_combo_eu_est_v_nalichii_vortek_ams_2_pro_8071863712","3D принтер H2C Combo EU — есть в наличии, Vortek + AMS 2 Pro")</f>
      </c>
      <c r="I298" t="s">
        <v>61</v>
      </c>
      <c r="J298" t="s">
        <v>78</v>
      </c>
      <c r="K298" t="s">
        <v>84</v>
      </c>
      <c r="L298">
        <v>29</v>
      </c>
      <c r="M298">
        <v>9</v>
      </c>
      <c r="N298" s="4">
        <v>0.3333</v>
      </c>
      <c r="O298">
        <v>3</v>
      </c>
      <c r="P298" s="5">
        <v>18.66</v>
      </c>
      <c r="Q298" s="4">
        <v>0</v>
      </c>
      <c r="R298">
        <v>0</v>
      </c>
      <c r="S298">
        <v>0</v>
      </c>
      <c r="T298">
        <v>0</v>
      </c>
      <c r="U298">
        <v>0</v>
      </c>
      <c r="V298">
        <v>0</v>
      </c>
      <c r="W298">
        <v>0</v>
      </c>
      <c r="X298" s="5" t="s">
        <v>54</v>
      </c>
      <c r="Y298">
        <v>0</v>
      </c>
      <c r="Z298" s="4">
        <v>0</v>
      </c>
      <c r="AA298">
        <v>0</v>
      </c>
      <c r="AB298" s="5">
        <v>0</v>
      </c>
      <c r="AC298">
        <v>0</v>
      </c>
      <c r="AD298" s="5">
        <v>0</v>
      </c>
      <c r="AE298" s="5">
        <v>56</v>
      </c>
      <c r="AF298" s="5">
        <v>0</v>
      </c>
      <c r="AG298" s="5">
        <v>56</v>
      </c>
      <c r="AH298" s="5">
        <v>0</v>
      </c>
      <c r="AI298" s="5">
        <v>0</v>
      </c>
      <c r="AJ298" s="5">
        <v>0</v>
      </c>
    </row>
    <row r="299">
      <c r="A299" s="2" t="str">
        <f>HYPERLINK("https://www.avito.ru/ekaterinburg/bytovaya_elektronika/3d_printer_h2c_combo_eu_est_v_nalichii_vortek_ams_2_pro_8071870400","8071870400")</f>
      </c>
      <c r="B299" t="s">
        <v>182</v>
      </c>
      <c r="C299" t="s">
        <v>183</v>
      </c>
      <c r="D299" t="s">
        <v>250</v>
      </c>
      <c r="E299" t="s">
        <v>39</v>
      </c>
      <c r="F299" t="s">
        <v>40</v>
      </c>
      <c r="G299" t="s">
        <v>41</v>
      </c>
      <c r="H299" s="3" t="str">
        <f>HYPERLINK("https://www.avito.ru/ekaterinburg/bytovaya_elektronika/3d_printer_h2c_combo_eu_est_v_nalichii_vortek_ams_2_pro_8071870400","3D принтер H2C Combo EU — есть в наличии, Vortek + AMS 2 Pro")</f>
      </c>
      <c r="I299" t="s">
        <v>61</v>
      </c>
      <c r="J299" t="s">
        <v>55</v>
      </c>
      <c r="K299" t="s">
        <v>56</v>
      </c>
      <c r="L299">
        <v>30</v>
      </c>
      <c r="M299">
        <v>50</v>
      </c>
      <c r="N299" s="4">
        <v>0.24</v>
      </c>
      <c r="O299">
        <v>12</v>
      </c>
      <c r="P299" s="5">
        <v>4.66</v>
      </c>
      <c r="Q299" s="4">
        <v>0</v>
      </c>
      <c r="R299">
        <v>0</v>
      </c>
      <c r="S299">
        <v>0</v>
      </c>
      <c r="T299">
        <v>0</v>
      </c>
      <c r="U299">
        <v>0</v>
      </c>
      <c r="V299">
        <v>0</v>
      </c>
      <c r="W299">
        <v>0</v>
      </c>
      <c r="X299" s="5" t="s">
        <v>54</v>
      </c>
      <c r="Y299">
        <v>1</v>
      </c>
      <c r="Z299" s="4">
        <v>0</v>
      </c>
      <c r="AA299">
        <v>0</v>
      </c>
      <c r="AB299" s="5">
        <v>0</v>
      </c>
      <c r="AC299">
        <v>0</v>
      </c>
      <c r="AD299" s="5">
        <v>0</v>
      </c>
      <c r="AE299" s="5">
        <v>56</v>
      </c>
      <c r="AF299" s="5">
        <v>0</v>
      </c>
      <c r="AG299" s="5">
        <v>56</v>
      </c>
      <c r="AH299" s="5">
        <v>0</v>
      </c>
      <c r="AI299" s="5">
        <v>0</v>
      </c>
      <c r="AJ299" s="5">
        <v>0</v>
      </c>
    </row>
    <row r="300">
      <c r="A300" s="2" t="str">
        <f>HYPERLINK("https://www.avito.ru/chelyabinsk/bytovaya_elektronika/bambu_lab_h2d_ams_2_pro_eu_dostavka_sdek_2527_dney_8071872728","8071872728")</f>
      </c>
      <c r="B300" t="s">
        <v>175</v>
      </c>
      <c r="C300" t="s">
        <v>176</v>
      </c>
      <c r="D300" t="s">
        <v>177</v>
      </c>
      <c r="E300" t="s">
        <v>39</v>
      </c>
      <c r="F300" t="s">
        <v>40</v>
      </c>
      <c r="G300" t="s">
        <v>41</v>
      </c>
      <c r="H300" s="3" t="str">
        <f>HYPERLINK("https://www.avito.ru/chelyabinsk/bytovaya_elektronika/bambu_lab_h2d_ams_2_pro_eu_dostavka_sdek_2527_dney_8071872728","Bambu Lab H2D AMS 2 Pro EU — доставка сдэк 25–27 дней")</f>
      </c>
      <c r="I300" t="s">
        <v>288</v>
      </c>
      <c r="J300" t="s">
        <v>89</v>
      </c>
      <c r="K300" t="s">
        <v>84</v>
      </c>
      <c r="L300">
        <v>28</v>
      </c>
      <c r="M300">
        <v>102</v>
      </c>
      <c r="N300" s="4">
        <v>0.0588</v>
      </c>
      <c r="O300">
        <v>6</v>
      </c>
      <c r="P300" s="5">
        <v>9.33</v>
      </c>
      <c r="Q300" s="4">
        <v>0</v>
      </c>
      <c r="R300">
        <v>0</v>
      </c>
      <c r="S300">
        <v>0</v>
      </c>
      <c r="T300">
        <v>0</v>
      </c>
      <c r="U300">
        <v>0</v>
      </c>
      <c r="V300">
        <v>0</v>
      </c>
      <c r="W300">
        <v>0</v>
      </c>
      <c r="X300" s="5" t="s">
        <v>54</v>
      </c>
      <c r="Y300">
        <v>1</v>
      </c>
      <c r="Z300" s="4">
        <v>0</v>
      </c>
      <c r="AA300">
        <v>0</v>
      </c>
      <c r="AB300" s="5">
        <v>0</v>
      </c>
      <c r="AC300">
        <v>0</v>
      </c>
      <c r="AD300" s="5">
        <v>0</v>
      </c>
      <c r="AE300" s="5">
        <v>56</v>
      </c>
      <c r="AF300" s="5">
        <v>0</v>
      </c>
      <c r="AG300" s="5">
        <v>56</v>
      </c>
      <c r="AH300" s="5">
        <v>0</v>
      </c>
      <c r="AI300" s="5">
        <v>0</v>
      </c>
      <c r="AJ300" s="5">
        <v>0</v>
      </c>
    </row>
    <row r="301">
      <c r="A301" s="2" t="str">
        <f>HYPERLINK("https://www.avito.ru/sankt-peterburg/bytovaya_elektronika/h2d_full_combo_laser_40w_eu_dvoynoy_ekstruder_40_vt_8071875681","8071875681")</f>
      </c>
      <c r="B301" t="s">
        <v>36</v>
      </c>
      <c r="C301" t="s">
        <v>90</v>
      </c>
      <c r="D301" t="s">
        <v>115</v>
      </c>
      <c r="E301" t="s">
        <v>39</v>
      </c>
      <c r="F301" t="s">
        <v>40</v>
      </c>
      <c r="G301" t="s">
        <v>41</v>
      </c>
      <c r="H301" s="3" t="str">
        <f>HYPERLINK("https://www.avito.ru/sankt-peterburg/bytovaya_elektronika/h2d_full_combo_laser_40w_eu_dvoynoy_ekstruder_40_vt_8071875681","H2D Full Combo Laser 40W EU — двойной экструдер + 40 Вт")</f>
      </c>
      <c r="I301" t="s">
        <v>238</v>
      </c>
      <c r="J301" t="s">
        <v>55</v>
      </c>
      <c r="K301" t="s">
        <v>56</v>
      </c>
      <c r="L301">
        <v>30</v>
      </c>
      <c r="M301">
        <v>22</v>
      </c>
      <c r="N301" s="4">
        <v>0.0454</v>
      </c>
      <c r="O301">
        <v>1</v>
      </c>
      <c r="P301" s="5">
        <v>56</v>
      </c>
      <c r="Q301" s="4">
        <v>0</v>
      </c>
      <c r="R301">
        <v>0</v>
      </c>
      <c r="S301">
        <v>0</v>
      </c>
      <c r="T301">
        <v>0</v>
      </c>
      <c r="U301">
        <v>0</v>
      </c>
      <c r="V301">
        <v>0</v>
      </c>
      <c r="W301">
        <v>0</v>
      </c>
      <c r="X301" s="5" t="s">
        <v>54</v>
      </c>
      <c r="Y301">
        <v>0</v>
      </c>
      <c r="Z301" s="4">
        <v>0</v>
      </c>
      <c r="AA301">
        <v>0</v>
      </c>
      <c r="AB301" s="5">
        <v>0</v>
      </c>
      <c r="AC301">
        <v>0</v>
      </c>
      <c r="AD301" s="5">
        <v>0</v>
      </c>
      <c r="AE301" s="5">
        <v>56</v>
      </c>
      <c r="AF301" s="5">
        <v>0</v>
      </c>
      <c r="AG301" s="5">
        <v>56</v>
      </c>
      <c r="AH301" s="5">
        <v>0</v>
      </c>
      <c r="AI301" s="5">
        <v>0</v>
      </c>
      <c r="AJ301" s="5">
        <v>0</v>
      </c>
    </row>
    <row r="302">
      <c r="A302" s="2" t="str">
        <f>HYPERLINK("https://www.avito.ru/penza/bytovaya_elektronika/3d_printer_h2c_combo_eu_est_v_nalichii_vortek_ams_8071876349","8071876349")</f>
      </c>
      <c r="B302" t="s">
        <v>202</v>
      </c>
      <c r="C302" t="s">
        <v>203</v>
      </c>
      <c r="D302" t="s">
        <v>204</v>
      </c>
      <c r="E302" t="s">
        <v>39</v>
      </c>
      <c r="F302" t="s">
        <v>40</v>
      </c>
      <c r="G302" t="s">
        <v>41</v>
      </c>
      <c r="H302" s="3" t="str">
        <f>HYPERLINK("https://www.avito.ru/penza/bytovaya_elektronika/3d_printer_h2c_combo_eu_est_v_nalichii_vortek_ams_8071876349","3D принтер H2C Combo EU — есть в наличии, Vortek + AMS")</f>
      </c>
      <c r="I302" t="s">
        <v>61</v>
      </c>
      <c r="J302" t="s">
        <v>78</v>
      </c>
      <c r="K302" t="s">
        <v>79</v>
      </c>
      <c r="L302">
        <v>29</v>
      </c>
      <c r="M302">
        <v>65</v>
      </c>
      <c r="N302" s="4">
        <v>0.0615</v>
      </c>
      <c r="O302">
        <v>4</v>
      </c>
      <c r="P302" s="5">
        <v>14</v>
      </c>
      <c r="Q302" s="4">
        <v>0</v>
      </c>
      <c r="R302">
        <v>0</v>
      </c>
      <c r="S302">
        <v>0</v>
      </c>
      <c r="T302">
        <v>0</v>
      </c>
      <c r="U302">
        <v>0</v>
      </c>
      <c r="V302">
        <v>0</v>
      </c>
      <c r="W302">
        <v>0</v>
      </c>
      <c r="X302" s="5" t="s">
        <v>54</v>
      </c>
      <c r="Y302">
        <v>0</v>
      </c>
      <c r="Z302" s="4">
        <v>0</v>
      </c>
      <c r="AA302">
        <v>0</v>
      </c>
      <c r="AB302" s="5">
        <v>0</v>
      </c>
      <c r="AC302">
        <v>0</v>
      </c>
      <c r="AD302" s="5">
        <v>0</v>
      </c>
      <c r="AE302" s="5">
        <v>56</v>
      </c>
      <c r="AF302" s="5">
        <v>0</v>
      </c>
      <c r="AG302" s="5">
        <v>56</v>
      </c>
      <c r="AH302" s="5">
        <v>0</v>
      </c>
      <c r="AI302" s="5">
        <v>0</v>
      </c>
      <c r="AJ302" s="5">
        <v>0</v>
      </c>
    </row>
    <row r="303">
      <c r="A303" s="2" t="str">
        <f>HYPERLINK("https://www.avito.ru/nizhniy_novgorod/bytovaya_elektronika/h2d_combo_ams_2_pro_eu_dvoynoy_ekstruder_ai-kamera_8071882787","8071882787")</f>
      </c>
      <c r="B303" t="s">
        <v>137</v>
      </c>
      <c r="C303" t="s">
        <v>138</v>
      </c>
      <c r="D303" t="s">
        <v>139</v>
      </c>
      <c r="E303" t="s">
        <v>39</v>
      </c>
      <c r="F303" t="s">
        <v>40</v>
      </c>
      <c r="G303" t="s">
        <v>41</v>
      </c>
      <c r="H303" s="3" t="str">
        <f>HYPERLINK("https://www.avito.ru/nizhniy_novgorod/bytovaya_elektronika/h2d_combo_ams_2_pro_eu_dvoynoy_ekstruder_ai-kamera_8071882787","H2D Combo AMS 2 Pro EU — двойной экструдер, AI-камера")</f>
      </c>
      <c r="I303" t="s">
        <v>142</v>
      </c>
      <c r="J303" t="s">
        <v>55</v>
      </c>
      <c r="K303" t="s">
        <v>56</v>
      </c>
      <c r="L303">
        <v>30</v>
      </c>
      <c r="M303">
        <v>451</v>
      </c>
      <c r="N303" s="4">
        <v>0.0554</v>
      </c>
      <c r="O303">
        <v>25</v>
      </c>
      <c r="P303" s="5">
        <v>2.24</v>
      </c>
      <c r="Q303" s="4">
        <v>0</v>
      </c>
      <c r="R303">
        <v>0</v>
      </c>
      <c r="S303">
        <v>0</v>
      </c>
      <c r="T303">
        <v>0</v>
      </c>
      <c r="U303">
        <v>0</v>
      </c>
      <c r="V303">
        <v>0</v>
      </c>
      <c r="W303">
        <v>0</v>
      </c>
      <c r="X303" s="5" t="s">
        <v>54</v>
      </c>
      <c r="Y303">
        <v>0</v>
      </c>
      <c r="Z303" s="4">
        <v>0</v>
      </c>
      <c r="AA303">
        <v>0</v>
      </c>
      <c r="AB303" s="5">
        <v>0</v>
      </c>
      <c r="AC303">
        <v>0</v>
      </c>
      <c r="AD303" s="5">
        <v>0</v>
      </c>
      <c r="AE303" s="5">
        <v>56</v>
      </c>
      <c r="AF303" s="5">
        <v>0</v>
      </c>
      <c r="AG303" s="5">
        <v>56</v>
      </c>
      <c r="AH303" s="5">
        <v>0</v>
      </c>
      <c r="AI303" s="5">
        <v>0</v>
      </c>
      <c r="AJ303" s="5">
        <v>0</v>
      </c>
    </row>
    <row r="304">
      <c r="A304" s="2" t="str">
        <f>HYPERLINK("https://www.avito.ru/ufa/bytovaya_elektronika/bambu_h2d_ams_2_pro_cn_bystraya_okupaemost_pod_zakaz_8071883162","8071883162")</f>
      </c>
      <c r="B304" t="s">
        <v>162</v>
      </c>
      <c r="C304" t="s">
        <v>163</v>
      </c>
      <c r="D304" t="s">
        <v>164</v>
      </c>
      <c r="E304" t="s">
        <v>39</v>
      </c>
      <c r="F304" t="s">
        <v>40</v>
      </c>
      <c r="G304" t="s">
        <v>41</v>
      </c>
      <c r="H304" s="3" t="str">
        <f>HYPERLINK("https://www.avito.ru/ufa/bytovaya_elektronika/bambu_h2d_ams_2_pro_cn_bystraya_okupaemost_pod_zakaz_8071883162","Bambu H2D AMS 2 Pro CN — быстрая окупаемость, под заказ")</f>
      </c>
      <c r="I304" t="s">
        <v>168</v>
      </c>
      <c r="J304" t="s">
        <v>89</v>
      </c>
      <c r="K304" t="s">
        <v>84</v>
      </c>
      <c r="L304">
        <v>28</v>
      </c>
      <c r="M304">
        <v>19</v>
      </c>
      <c r="N304" s="4">
        <v>0.0526</v>
      </c>
      <c r="O304">
        <v>1</v>
      </c>
      <c r="P304" s="5">
        <v>56</v>
      </c>
      <c r="Q304" s="4">
        <v>0</v>
      </c>
      <c r="R304">
        <v>0</v>
      </c>
      <c r="S304">
        <v>0</v>
      </c>
      <c r="T304">
        <v>0</v>
      </c>
      <c r="U304">
        <v>0</v>
      </c>
      <c r="V304">
        <v>0</v>
      </c>
      <c r="W304">
        <v>0</v>
      </c>
      <c r="X304" s="5" t="s">
        <v>54</v>
      </c>
      <c r="Y304">
        <v>0</v>
      </c>
      <c r="Z304" s="4">
        <v>0</v>
      </c>
      <c r="AA304">
        <v>0</v>
      </c>
      <c r="AB304" s="5">
        <v>0</v>
      </c>
      <c r="AC304">
        <v>0</v>
      </c>
      <c r="AD304" s="5">
        <v>0</v>
      </c>
      <c r="AE304" s="5">
        <v>56</v>
      </c>
      <c r="AF304" s="5">
        <v>0</v>
      </c>
      <c r="AG304" s="5">
        <v>56</v>
      </c>
      <c r="AH304" s="5">
        <v>0</v>
      </c>
      <c r="AI304" s="5">
        <v>0</v>
      </c>
      <c r="AJ304" s="5">
        <v>0</v>
      </c>
    </row>
    <row r="305">
      <c r="A305" s="2" t="str">
        <f>HYPERLINK("https://www.avito.ru/kazan/bytovaya_elektronika/h2d_full_combo_laser_10w_eu_dvoynoy_ekstruder_lazer_8071892178","8071892178")</f>
      </c>
      <c r="B305" t="s">
        <v>97</v>
      </c>
      <c r="C305" t="s">
        <v>98</v>
      </c>
      <c r="D305" t="s">
        <v>99</v>
      </c>
      <c r="E305" t="s">
        <v>39</v>
      </c>
      <c r="F305" t="s">
        <v>40</v>
      </c>
      <c r="G305" t="s">
        <v>41</v>
      </c>
      <c r="H305" s="3" t="str">
        <f>HYPERLINK("https://www.avito.ru/kazan/bytovaya_elektronika/h2d_full_combo_laser_10w_eu_dvoynoy_ekstruder_lazer_8071892178","H2D Full Combo Laser 10W EU — двойной экструдер + лазер")</f>
      </c>
      <c r="I305" t="s">
        <v>276</v>
      </c>
      <c r="J305" t="s">
        <v>55</v>
      </c>
      <c r="K305" t="s">
        <v>56</v>
      </c>
      <c r="L305">
        <v>30</v>
      </c>
      <c r="M305">
        <v>120</v>
      </c>
      <c r="N305" s="4">
        <v>0.1</v>
      </c>
      <c r="O305">
        <v>12</v>
      </c>
      <c r="P305" s="5">
        <v>4.66</v>
      </c>
      <c r="Q305" s="4">
        <v>0</v>
      </c>
      <c r="R305">
        <v>0</v>
      </c>
      <c r="S305">
        <v>0</v>
      </c>
      <c r="T305">
        <v>0</v>
      </c>
      <c r="U305">
        <v>0</v>
      </c>
      <c r="V305">
        <v>0</v>
      </c>
      <c r="W305">
        <v>0</v>
      </c>
      <c r="X305" s="5" t="s">
        <v>54</v>
      </c>
      <c r="Y305">
        <v>0</v>
      </c>
      <c r="Z305" s="4">
        <v>0</v>
      </c>
      <c r="AA305">
        <v>0</v>
      </c>
      <c r="AB305" s="5">
        <v>0</v>
      </c>
      <c r="AC305">
        <v>0</v>
      </c>
      <c r="AD305" s="5">
        <v>0</v>
      </c>
      <c r="AE305" s="5">
        <v>56</v>
      </c>
      <c r="AF305" s="5">
        <v>0</v>
      </c>
      <c r="AG305" s="5">
        <v>56</v>
      </c>
      <c r="AH305" s="5">
        <v>0</v>
      </c>
      <c r="AI305" s="5">
        <v>0</v>
      </c>
      <c r="AJ305" s="5">
        <v>0</v>
      </c>
    </row>
    <row r="306">
      <c r="A306" s="2" t="str">
        <f>HYPERLINK("https://www.avito.ru/krasnodar/bytovaya_elektronika/h2c_laser_40w_eu_bambu_lab_rezka_metalla_pod_zakaz_8071893028","8071893028")</f>
      </c>
      <c r="B306" t="s">
        <v>58</v>
      </c>
      <c r="C306" t="s">
        <v>59</v>
      </c>
      <c r="D306" t="s">
        <v>153</v>
      </c>
      <c r="E306" t="s">
        <v>39</v>
      </c>
      <c r="F306" t="s">
        <v>40</v>
      </c>
      <c r="G306" t="s">
        <v>41</v>
      </c>
      <c r="H306" s="3" t="str">
        <f>HYPERLINK("https://www.avito.ru/krasnodar/bytovaya_elektronika/h2c_laser_40w_eu_bambu_lab_rezka_metalla_pod_zakaz_8071893028","H2C Laser 40W EU Bambu Lab — резка металла, под заказ")</f>
      </c>
      <c r="I306" t="s">
        <v>51</v>
      </c>
      <c r="J306" t="s">
        <v>78</v>
      </c>
      <c r="K306" t="s">
        <v>84</v>
      </c>
      <c r="L306">
        <v>29</v>
      </c>
      <c r="M306">
        <v>2</v>
      </c>
      <c r="N306" s="4">
        <v>0</v>
      </c>
      <c r="O306">
        <v>0</v>
      </c>
      <c r="P306" s="5" t="s">
        <v>54</v>
      </c>
      <c r="Q306" s="4" t="s">
        <v>54</v>
      </c>
      <c r="R306">
        <v>0</v>
      </c>
      <c r="S306">
        <v>0</v>
      </c>
      <c r="T306">
        <v>0</v>
      </c>
      <c r="U306">
        <v>0</v>
      </c>
      <c r="V306">
        <v>0</v>
      </c>
      <c r="W306">
        <v>0</v>
      </c>
      <c r="X306" s="5" t="s">
        <v>54</v>
      </c>
      <c r="Y306">
        <v>0</v>
      </c>
      <c r="Z306" s="4" t="s">
        <v>54</v>
      </c>
      <c r="AA306">
        <v>0</v>
      </c>
      <c r="AB306" s="5">
        <v>0</v>
      </c>
      <c r="AC306">
        <v>0</v>
      </c>
      <c r="AD306" s="5">
        <v>0</v>
      </c>
      <c r="AE306" s="5">
        <v>56</v>
      </c>
      <c r="AF306" s="5">
        <v>0</v>
      </c>
      <c r="AG306" s="5">
        <v>56</v>
      </c>
      <c r="AH306" s="5">
        <v>0</v>
      </c>
      <c r="AI306" s="5">
        <v>0</v>
      </c>
      <c r="AJ306" s="5">
        <v>0</v>
      </c>
    </row>
    <row r="307">
      <c r="A307" s="2" t="str">
        <f>HYPERLINK("https://www.avito.ru/ekaterinburg/bytovaya_elektronika/3d_printer_h2d_combo_cn_ekonomiya_bez_poteri_kachestva_8071893328","8071893328")</f>
      </c>
      <c r="B307" t="s">
        <v>182</v>
      </c>
      <c r="C307" t="s">
        <v>183</v>
      </c>
      <c r="D307" t="s">
        <v>184</v>
      </c>
      <c r="E307" t="s">
        <v>39</v>
      </c>
      <c r="F307" t="s">
        <v>40</v>
      </c>
      <c r="G307" t="s">
        <v>41</v>
      </c>
      <c r="H307" s="3" t="str">
        <f>HYPERLINK("https://www.avito.ru/ekaterinburg/bytovaya_elektronika/3d_printer_h2d_combo_cn_ekonomiya_bez_poteri_kachestva_8071893328","3D принтер H2D Combo CN — экономия без потери качества")</f>
      </c>
      <c r="I307" t="s">
        <v>289</v>
      </c>
      <c r="J307" t="s">
        <v>89</v>
      </c>
      <c r="K307" t="s">
        <v>84</v>
      </c>
      <c r="L307">
        <v>28</v>
      </c>
      <c r="M307">
        <v>160</v>
      </c>
      <c r="N307" s="4">
        <v>0.0437</v>
      </c>
      <c r="O307">
        <v>7</v>
      </c>
      <c r="P307" s="5">
        <v>8</v>
      </c>
      <c r="Q307" s="4">
        <v>0</v>
      </c>
      <c r="R307">
        <v>0</v>
      </c>
      <c r="S307">
        <v>0</v>
      </c>
      <c r="T307">
        <v>0</v>
      </c>
      <c r="U307">
        <v>0</v>
      </c>
      <c r="V307">
        <v>0</v>
      </c>
      <c r="W307">
        <v>0</v>
      </c>
      <c r="X307" s="5" t="s">
        <v>54</v>
      </c>
      <c r="Y307">
        <v>0</v>
      </c>
      <c r="Z307" s="4">
        <v>0</v>
      </c>
      <c r="AA307">
        <v>0</v>
      </c>
      <c r="AB307" s="5">
        <v>0</v>
      </c>
      <c r="AC307">
        <v>0</v>
      </c>
      <c r="AD307" s="5">
        <v>0</v>
      </c>
      <c r="AE307" s="5">
        <v>56</v>
      </c>
      <c r="AF307" s="5">
        <v>0</v>
      </c>
      <c r="AG307" s="5">
        <v>56</v>
      </c>
      <c r="AH307" s="5">
        <v>0</v>
      </c>
      <c r="AI307" s="5">
        <v>0</v>
      </c>
      <c r="AJ307" s="5">
        <v>0</v>
      </c>
    </row>
  </sheetData>
  <autoFilter ref="$A$1:$AJ$308"/>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
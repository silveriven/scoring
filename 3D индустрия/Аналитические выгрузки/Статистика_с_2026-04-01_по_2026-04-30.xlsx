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'Sheet1'!$A$1:$AJ$12</definedName>
  </definedNames>
  <calcPr calcId="122211"/>
</workbook>
</file>

<file path=xl/sharedStrings.xml><?xml version="1.0" encoding="utf-8"?>
<sst xmlns="http://schemas.openxmlformats.org/spreadsheetml/2006/main" count="62" uniqueCount="62">
  <si>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</si>
  <si>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</si>
  <si>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</si>
  <si>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</si>
  <si>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</si>
  <si>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</si>
  <si>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</si>
  <si>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</si>
  <si>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</si>
  <si>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</si>
  <si>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</si>
  <si>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</si>
  <si>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Показы</t>
  </si>
  <si>
    <t>Конверсия из показов в просмотры</t>
  </si>
  <si>
    <t>Просмотры</t>
  </si>
  <si>
    <t>Средняя цена просмотра</t>
  </si>
  <si>
    <t>Конверсия из просмотров в контакты</t>
  </si>
  <si>
    <t>Целевые просмотры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</si>
  <si>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</si>
  <si>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</si>
  <si>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</si>
  <si>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</si>
  <si>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</si>
  <si>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</si>
  <si>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</si>
  <si>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Конверсия из просмотров в заказанные товары</t>
  </si>
  <si>
    <t>Заказано товаров</t>
  </si>
  <si>
    <t>Стоимость заказанных товаров</t>
  </si>
  <si>
    <t>Доставлено товаров</t>
  </si>
  <si>
    <t>Стоимость доставленных товаров</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</si>
  <si>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</si>
  <si>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</si>
  <si>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</si>
  <si>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</si>
  <si>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</si>
  <si>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Комиссия</t>
  </si>
  <si>
    <t>Все регионы</t>
  </si>
  <si>
    <t>Москва</t>
  </si>
  <si>
    <t>Москва, ул. Александра Солженицына, 18</t>
  </si>
  <si>
    <t>Электроника</t>
  </si>
  <si>
    <t>Оргтехника и расходники</t>
  </si>
  <si>
    <t>3D-принтеры</t>
  </si>
  <si>
    <t>109 900 ₽</t>
  </si>
  <si>
    <t>2026-03-26</t>
  </si>
  <si>
    <t>2026-04-25</t>
  </si>
  <si>
    <t>Москва, пр. Воскресенские Ворота</t>
  </si>
  <si>
    <t>239 900 ₽</t>
  </si>
  <si>
    <t>2026-02-18</t>
  </si>
  <si>
    <t>2026-07-09</t>
  </si>
  <si>
    <t>Москва, Стремянный пер., 36</t>
  </si>
  <si>
    <t>289 900 ₽</t>
  </si>
  <si>
    <t>199 900 ₽</t>
  </si>
  <si>
    <t>2026-05-01</t>
  </si>
  <si>
    <t>189 900 ₽</t>
  </si>
  <si>
    <t>151 900 ₽</t>
  </si>
  <si>
    <t>2026-05-23</t>
  </si>
  <si>
    <t>159 900 ₽</t>
  </si>
  <si>
    <t>268 900 ₽</t>
  </si>
  <si>
    <t>100 000 ₽</t>
  </si>
  <si>
    <t>2026-02-19</t>
  </si>
  <si>
    <t>96 000 ₽</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</si>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</sst>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K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2"/>
    <col customWidth="true" max="14" min="14" width="38"/>
    <col customWidth="true" max="15" min="15" width="15"/>
    <col customWidth="true" max="16" min="16" width="28"/>
    <col customWidth="true" max="17" min="17" width="40"/>
    <col customWidth="true" max="18" min="18" width="23"/>
    <col customWidth="true" max="19" min="19" width="14"/>
    <col customWidth="true" max="20" min="20" width="20"/>
    <col customWidth="true" max="21" min="21" width="24"/>
    <col customWidth="true" max="22" min="22" width="41"/>
    <col customWidth="true" max="23" min="23" width="35"/>
    <col customWidth="true" max="24" min="24" width="27"/>
    <col customWidth="true" max="25" min="25" width="26"/>
    <col customWidth="true" max="26" min="26" width="49"/>
    <col customWidth="true" max="27" min="27" width="22"/>
    <col customWidth="true" max="28" min="28" width="34"/>
    <col customWidth="true" max="29" min="29" width="24"/>
    <col customWidth="true" max="30" min="30" width="36"/>
    <col customWidth="true" max="31" min="31" width="27"/>
    <col customWidth="true" max="32" min="32" width="35"/>
    <col customWidth="true" max="33" min="33" width="46"/>
    <col customWidth="true" max="34" min="34" width="28"/>
    <col customWidth="true" max="35" min="35" width="23"/>
    <col customWidth="true" max="36" min="36"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 r="A2" s="2" t="str">
        <f>HYPERLINK("https://www.avito.ru/moskva/bytovaya_elektronika/3d-printer_bambu_lab_h2s_combo_ams_2_pro_cn_7943190250","7943190250")</f>
      </c>
      <c r="B2" t="s">
        <v>36</v>
      </c>
      <c r="C2" t="s">
        <v>37</v>
      </c>
      <c r="D2" t="s">
        <v>38</v>
      </c>
      <c r="E2" t="s">
        <v>39</v>
      </c>
      <c r="F2" t="s">
        <v>40</v>
      </c>
      <c r="G2" t="s">
        <v>41</v>
      </c>
      <c r="H2" s="3" t="str">
        <f>HYPERLINK("https://www.avito.ru/moskva/bytovaya_elektronika/3d-printer_bambu_lab_h2s_combo_ams_2_pro_cn_7943190250","3D-принтер Bambu Lab H2S Combo AMS 2 Pro CN")</f>
      </c>
      <c r="I2" t="s">
        <v>42</v>
      </c>
      <c r="J2" t="s">
        <v>43</v>
      </c>
      <c r="K2" t="s">
        <v>44</v>
      </c>
      <c r="L2">
        <v>92</v>
      </c>
      <c r="M2">
        <v>849</v>
      </c>
      <c r="N2" s="4">
        <v>0.5229</v>
      </c>
      <c r="O2">
        <v>444</v>
      </c>
      <c r="P2" s="5">
        <v>0.16</v>
      </c>
      <c r="Q2" s="4">
        <v>0.063</v>
      </c>
      <c r="R2">
        <v>0</v>
      </c>
      <c r="S2">
        <v>28</v>
      </c>
      <c r="T2">
        <v>22</v>
      </c>
      <c r="U2">
        <v>3</v>
      </c>
      <c r="V2">
        <v>3</v>
      </c>
      <c r="W2">
        <v>0</v>
      </c>
      <c r="X2" s="5">
        <v>2.68</v>
      </c>
      <c r="Y2">
        <v>28</v>
      </c>
      <c r="Z2" s="4">
        <v>0</v>
      </c>
      <c r="AA2">
        <v>0</v>
      </c>
      <c r="AB2" s="5">
        <v>0</v>
      </c>
      <c r="AC2">
        <v>0</v>
      </c>
      <c r="AD2" s="5">
        <v>0</v>
      </c>
      <c r="AE2" s="5">
        <v>75.16</v>
      </c>
      <c r="AF2" s="5">
        <v>0</v>
      </c>
      <c r="AG2" s="5">
        <v>75.16</v>
      </c>
      <c r="AH2" s="5">
        <v>0</v>
      </c>
      <c r="AI2" s="5">
        <v>0</v>
      </c>
      <c r="AJ2" s="5">
        <v>0</v>
      </c>
    </row>
    <row r="3">
      <c r="A3" s="2" t="str">
        <f>HYPERLINK("https://www.avito.ru/moskva/bytovaya_elektronika/v_nalichii_bambu_lab_h2c_eu_combo_7879814122","7879814122")</f>
      </c>
      <c r="B3" t="s">
        <v>36</v>
      </c>
      <c r="C3" t="s">
        <v>37</v>
      </c>
      <c r="D3" t="s">
        <v>45</v>
      </c>
      <c r="E3" t="s">
        <v>39</v>
      </c>
      <c r="F3" t="s">
        <v>40</v>
      </c>
      <c r="G3" t="s">
        <v>41</v>
      </c>
      <c r="H3" s="3" t="str">
        <f>HYPERLINK("https://www.avito.ru/moskva/bytovaya_elektronika/v_nalichii_bambu_lab_h2c_eu_combo_7879814122","В Наличии Bambu Lab H2C EU Combo")</f>
      </c>
      <c r="I3" t="s">
        <v>46</v>
      </c>
      <c r="J3" t="s">
        <v>47</v>
      </c>
      <c r="K3" t="s">
        <v>48</v>
      </c>
      <c r="L3">
        <v>128</v>
      </c>
      <c r="M3">
        <v>856</v>
      </c>
      <c r="N3" s="4">
        <v>0.2126</v>
      </c>
      <c r="O3">
        <v>182</v>
      </c>
      <c r="P3" s="5">
        <v>0.47</v>
      </c>
      <c r="Q3" s="4">
        <v>0.0604</v>
      </c>
      <c r="R3">
        <v>0</v>
      </c>
      <c r="S3">
        <v>11</v>
      </c>
      <c r="T3">
        <v>6</v>
      </c>
      <c r="U3">
        <v>4</v>
      </c>
      <c r="V3">
        <v>1</v>
      </c>
      <c r="W3">
        <v>0</v>
      </c>
      <c r="X3" s="5">
        <v>7.89</v>
      </c>
      <c r="Y3">
        <v>13</v>
      </c>
      <c r="Z3" s="4">
        <v>0</v>
      </c>
      <c r="AA3">
        <v>0</v>
      </c>
      <c r="AB3" s="5">
        <v>0</v>
      </c>
      <c r="AC3">
        <v>0</v>
      </c>
      <c r="AD3" s="5">
        <v>0</v>
      </c>
      <c r="AE3" s="5">
        <v>86.8</v>
      </c>
      <c r="AF3" s="5">
        <v>0</v>
      </c>
      <c r="AG3" s="5">
        <v>86.8</v>
      </c>
      <c r="AH3" s="5">
        <v>0</v>
      </c>
      <c r="AI3" s="5">
        <v>0</v>
      </c>
      <c r="AJ3" s="5">
        <v>0</v>
      </c>
    </row>
    <row r="4">
      <c r="A4" s="2" t="str">
        <f>HYPERLINK("https://www.avito.ru/moskva/bytovaya_elektronika/3d-printer_bambu_lab_h2d_laser_full_combo_40w_7943776951","7943776951")</f>
      </c>
      <c r="B4" t="s">
        <v>36</v>
      </c>
      <c r="C4" t="s">
        <v>37</v>
      </c>
      <c r="D4" t="s">
        <v>49</v>
      </c>
      <c r="E4" t="s">
        <v>39</v>
      </c>
      <c r="F4" t="s">
        <v>40</v>
      </c>
      <c r="G4" t="s">
        <v>41</v>
      </c>
      <c r="H4" s="3" t="str">
        <f>HYPERLINK("https://www.avito.ru/moskva/bytovaya_elektronika/3d-printer_bambu_lab_h2d_laser_full_combo_40w_7943776951","3D-принтер Bambu Lab H2D Laser Full Combo 40W")</f>
      </c>
      <c r="I4" t="s">
        <v>50</v>
      </c>
      <c r="J4" t="s">
        <v>43</v>
      </c>
      <c r="K4" t="s">
        <v>44</v>
      </c>
      <c r="L4">
        <v>92</v>
      </c>
      <c r="M4">
        <v>1065</v>
      </c>
      <c r="N4" s="4">
        <v>0.153</v>
      </c>
      <c r="O4">
        <v>163</v>
      </c>
      <c r="P4" s="5">
        <v>0.46</v>
      </c>
      <c r="Q4" s="4">
        <v>0.0674</v>
      </c>
      <c r="R4">
        <v>0</v>
      </c>
      <c r="S4">
        <v>11</v>
      </c>
      <c r="T4">
        <v>7</v>
      </c>
      <c r="U4">
        <v>1</v>
      </c>
      <c r="V4">
        <v>3</v>
      </c>
      <c r="W4">
        <v>0</v>
      </c>
      <c r="X4" s="5">
        <v>6.83</v>
      </c>
      <c r="Y4">
        <v>26</v>
      </c>
      <c r="Z4" s="4">
        <v>0</v>
      </c>
      <c r="AA4">
        <v>0</v>
      </c>
      <c r="AB4" s="5">
        <v>0</v>
      </c>
      <c r="AC4">
        <v>0</v>
      </c>
      <c r="AD4" s="5">
        <v>0</v>
      </c>
      <c r="AE4" s="5">
        <v>75.16</v>
      </c>
      <c r="AF4" s="5">
        <v>0</v>
      </c>
      <c r="AG4" s="5">
        <v>75.16</v>
      </c>
      <c r="AH4" s="5">
        <v>0</v>
      </c>
      <c r="AI4" s="5">
        <v>0</v>
      </c>
      <c r="AJ4" s="5">
        <v>0</v>
      </c>
    </row>
    <row r="5">
      <c r="A5" s="2" t="str">
        <f>HYPERLINK("https://www.avito.ru/moskva/bytovaya_elektronika/3d-printer_bambu_lab_h2d_eu_combo_ams_7879399282","7879399282")</f>
      </c>
      <c r="B5" t="s">
        <v>36</v>
      </c>
      <c r="C5" t="s">
        <v>37</v>
      </c>
      <c r="D5" t="s">
        <v>45</v>
      </c>
      <c r="E5" t="s">
        <v>39</v>
      </c>
      <c r="F5" t="s">
        <v>40</v>
      </c>
      <c r="G5" t="s">
        <v>41</v>
      </c>
      <c r="H5" s="3" t="str">
        <f>HYPERLINK("https://www.avito.ru/moskva/bytovaya_elektronika/3d-printer_bambu_lab_h2d_eu_combo_ams_7879399282","3D-принтер Bambu Lab H2D EU Combo (AMS)")</f>
      </c>
      <c r="I5" t="s">
        <v>51</v>
      </c>
      <c r="J5" t="s">
        <v>47</v>
      </c>
      <c r="K5" t="s">
        <v>52</v>
      </c>
      <c r="L5">
        <v>128</v>
      </c>
      <c r="M5">
        <v>772</v>
      </c>
      <c r="N5" s="4">
        <v>0.1243</v>
      </c>
      <c r="O5">
        <v>96</v>
      </c>
      <c r="P5" s="5">
        <v>6.08</v>
      </c>
      <c r="Q5" s="4">
        <v>0.1041</v>
      </c>
      <c r="R5">
        <v>0</v>
      </c>
      <c r="S5">
        <v>10</v>
      </c>
      <c r="T5">
        <v>10</v>
      </c>
      <c r="U5">
        <v>0</v>
      </c>
      <c r="V5">
        <v>0</v>
      </c>
      <c r="W5">
        <v>0</v>
      </c>
      <c r="X5" s="5">
        <v>58.4</v>
      </c>
      <c r="Y5">
        <v>12</v>
      </c>
      <c r="Z5" s="4">
        <v>0</v>
      </c>
      <c r="AA5">
        <v>0</v>
      </c>
      <c r="AB5" s="5">
        <v>0</v>
      </c>
      <c r="AC5">
        <v>0</v>
      </c>
      <c r="AD5" s="5">
        <v>0</v>
      </c>
      <c r="AE5" s="5">
        <v>584</v>
      </c>
      <c r="AF5" s="5">
        <v>0</v>
      </c>
      <c r="AG5" s="5">
        <v>94</v>
      </c>
      <c r="AH5" s="5">
        <v>490</v>
      </c>
      <c r="AI5" s="5">
        <v>0</v>
      </c>
      <c r="AJ5" s="5">
        <v>0</v>
      </c>
    </row>
    <row r="6">
      <c r="A6" s="2" t="str">
        <f>HYPERLINK("https://www.avito.ru/moskva/bytovaya_elektronika/3d-printer_bambu_lab_h2s_laser_full_combo_10w_7943671473","7943671473")</f>
      </c>
      <c r="B6" t="s">
        <v>36</v>
      </c>
      <c r="C6" t="s">
        <v>37</v>
      </c>
      <c r="D6" t="s">
        <v>49</v>
      </c>
      <c r="E6" t="s">
        <v>39</v>
      </c>
      <c r="F6" t="s">
        <v>40</v>
      </c>
      <c r="G6" t="s">
        <v>41</v>
      </c>
      <c r="H6" s="3" t="str">
        <f>HYPERLINK("https://www.avito.ru/moskva/bytovaya_elektronika/3d-printer_bambu_lab_h2s_laser_full_combo_10w_7943671473","3D-принтер Bambu Lab H2S Laser Full Combo 10W")</f>
      </c>
      <c r="I6" t="s">
        <v>53</v>
      </c>
      <c r="J6" t="s">
        <v>43</v>
      </c>
      <c r="K6" t="s">
        <v>44</v>
      </c>
      <c r="L6">
        <v>92</v>
      </c>
      <c r="M6">
        <v>652</v>
      </c>
      <c r="N6" s="4">
        <v>0.1963</v>
      </c>
      <c r="O6">
        <v>128</v>
      </c>
      <c r="P6" s="5">
        <v>0.58</v>
      </c>
      <c r="Q6" s="4">
        <v>0.0625</v>
      </c>
      <c r="R6">
        <v>0</v>
      </c>
      <c r="S6">
        <v>8</v>
      </c>
      <c r="T6">
        <v>4</v>
      </c>
      <c r="U6">
        <v>2</v>
      </c>
      <c r="V6">
        <v>2</v>
      </c>
      <c r="W6">
        <v>0</v>
      </c>
      <c r="X6" s="5">
        <v>9.39</v>
      </c>
      <c r="Y6">
        <v>15</v>
      </c>
      <c r="Z6" s="4">
        <v>0</v>
      </c>
      <c r="AA6">
        <v>0</v>
      </c>
      <c r="AB6" s="5">
        <v>0</v>
      </c>
      <c r="AC6">
        <v>0</v>
      </c>
      <c r="AD6" s="5">
        <v>0</v>
      </c>
      <c r="AE6" s="5">
        <v>75.16</v>
      </c>
      <c r="AF6" s="5">
        <v>0</v>
      </c>
      <c r="AG6" s="5">
        <v>75.16</v>
      </c>
      <c r="AH6" s="5">
        <v>0</v>
      </c>
      <c r="AI6" s="5">
        <v>0</v>
      </c>
      <c r="AJ6" s="5">
        <v>0</v>
      </c>
    </row>
    <row r="7">
      <c r="A7" s="2" t="str">
        <f>HYPERLINK("https://www.avito.ru/moskva/bytovaya_elektronika/3d-printer_bambu_lab_h2s_combo_ams_2_pro_7878984963","7878984963")</f>
      </c>
      <c r="B7" t="s">
        <v>36</v>
      </c>
      <c r="C7" t="s">
        <v>37</v>
      </c>
      <c r="D7" t="s">
        <v>45</v>
      </c>
      <c r="E7" t="s">
        <v>39</v>
      </c>
      <c r="F7" t="s">
        <v>40</v>
      </c>
      <c r="G7" t="s">
        <v>41</v>
      </c>
      <c r="H7" s="3" t="str">
        <f>HYPERLINK("https://www.avito.ru/moskva/bytovaya_elektronika/3d-printer_bambu_lab_h2s_combo_ams_2_pro_7878984963","3D-принтер Bambu Lab H2S Combo + AMS 2 Pro")</f>
      </c>
      <c r="I7" t="s">
        <v>54</v>
      </c>
      <c r="J7" t="s">
        <v>47</v>
      </c>
      <c r="K7" t="s">
        <v>55</v>
      </c>
      <c r="L7">
        <v>128</v>
      </c>
      <c r="M7">
        <v>1760</v>
      </c>
      <c r="N7" s="4">
        <v>0.1636</v>
      </c>
      <c r="O7">
        <v>288</v>
      </c>
      <c r="P7" s="5">
        <v>0.29</v>
      </c>
      <c r="Q7" s="4">
        <v>0.0138</v>
      </c>
      <c r="R7">
        <v>0</v>
      </c>
      <c r="S7">
        <v>4</v>
      </c>
      <c r="T7">
        <v>4</v>
      </c>
      <c r="U7">
        <v>0</v>
      </c>
      <c r="V7">
        <v>0</v>
      </c>
      <c r="W7">
        <v>0</v>
      </c>
      <c r="X7" s="5">
        <v>21</v>
      </c>
      <c r="Y7">
        <v>23</v>
      </c>
      <c r="Z7" s="4">
        <v>0</v>
      </c>
      <c r="AA7">
        <v>0</v>
      </c>
      <c r="AB7" s="5">
        <v>0</v>
      </c>
      <c r="AC7">
        <v>0</v>
      </c>
      <c r="AD7" s="5">
        <v>0</v>
      </c>
      <c r="AE7" s="5">
        <v>84</v>
      </c>
      <c r="AF7" s="5">
        <v>0</v>
      </c>
      <c r="AG7" s="5">
        <v>84</v>
      </c>
      <c r="AH7" s="5">
        <v>0</v>
      </c>
      <c r="AI7" s="5">
        <v>0</v>
      </c>
      <c r="AJ7" s="5">
        <v>0</v>
      </c>
    </row>
    <row r="8">
      <c r="A8" s="2" t="str">
        <f>HYPERLINK("https://www.avito.ru/moskva/bytovaya_elektronika/3d-printer_bambu_lab_h2d_combo_ams_cn_7943829661","7943829661")</f>
      </c>
      <c r="B8" t="s">
        <v>36</v>
      </c>
      <c r="C8" t="s">
        <v>37</v>
      </c>
      <c r="D8" t="s">
        <v>49</v>
      </c>
      <c r="E8" t="s">
        <v>39</v>
      </c>
      <c r="F8" t="s">
        <v>40</v>
      </c>
      <c r="G8" t="s">
        <v>41</v>
      </c>
      <c r="H8" s="3" t="str">
        <f>HYPERLINK("https://www.avito.ru/moskva/bytovaya_elektronika/3d-printer_bambu_lab_h2d_combo_ams_cn_7943829661","3D-принтер Bambu Lab H2D Combo (AMS) CN")</f>
      </c>
      <c r="I8" t="s">
        <v>56</v>
      </c>
      <c r="J8" t="s">
        <v>43</v>
      </c>
      <c r="K8" t="s">
        <v>44</v>
      </c>
      <c r="L8">
        <v>92</v>
      </c>
      <c r="M8">
        <v>917</v>
      </c>
      <c r="N8" s="4">
        <v>0.266</v>
      </c>
      <c r="O8">
        <v>244</v>
      </c>
      <c r="P8" s="5">
        <v>0.3</v>
      </c>
      <c r="Q8" s="4">
        <v>0.0163</v>
      </c>
      <c r="R8">
        <v>0</v>
      </c>
      <c r="S8">
        <v>4</v>
      </c>
      <c r="T8">
        <v>4</v>
      </c>
      <c r="U8">
        <v>0</v>
      </c>
      <c r="V8">
        <v>0</v>
      </c>
      <c r="W8">
        <v>0</v>
      </c>
      <c r="X8" s="5">
        <v>18.79</v>
      </c>
      <c r="Y8">
        <v>16</v>
      </c>
      <c r="Z8" s="4">
        <v>0</v>
      </c>
      <c r="AA8">
        <v>0</v>
      </c>
      <c r="AB8" s="5">
        <v>0</v>
      </c>
      <c r="AC8">
        <v>0</v>
      </c>
      <c r="AD8" s="5">
        <v>0</v>
      </c>
      <c r="AE8" s="5">
        <v>75.16</v>
      </c>
      <c r="AF8" s="5">
        <v>0</v>
      </c>
      <c r="AG8" s="5">
        <v>75.16</v>
      </c>
      <c r="AH8" s="5">
        <v>0</v>
      </c>
      <c r="AI8" s="5">
        <v>0</v>
      </c>
      <c r="AJ8" s="5">
        <v>0</v>
      </c>
    </row>
    <row r="9">
      <c r="A9" s="2" t="str">
        <f>HYPERLINK("https://www.avito.ru/moskva/bytovaya_elektronika/3d-printer_bambu_lab_h2d_laser_full_combo_10w_7879496987","7879496987")</f>
      </c>
      <c r="B9" t="s">
        <v>36</v>
      </c>
      <c r="C9" t="s">
        <v>37</v>
      </c>
      <c r="D9" t="s">
        <v>45</v>
      </c>
      <c r="E9" t="s">
        <v>39</v>
      </c>
      <c r="F9" t="s">
        <v>40</v>
      </c>
      <c r="G9" t="s">
        <v>41</v>
      </c>
      <c r="H9" s="3" t="str">
        <f>HYPERLINK("https://www.avito.ru/moskva/bytovaya_elektronika/3d-printer_bambu_lab_h2d_laser_full_combo_10w_7879496987","3D-принтер Bambu Lab H2D Laser Full Combo 10W")</f>
      </c>
      <c r="I9" t="s">
        <v>57</v>
      </c>
      <c r="J9" t="s">
        <v>47</v>
      </c>
      <c r="K9" t="s">
        <v>55</v>
      </c>
      <c r="L9">
        <v>128</v>
      </c>
      <c r="M9">
        <v>235</v>
      </c>
      <c r="N9" s="4">
        <v>0.1404</v>
      </c>
      <c r="O9">
        <v>33</v>
      </c>
      <c r="P9" s="5">
        <v>2.54</v>
      </c>
      <c r="Q9" s="4">
        <v>0.0909</v>
      </c>
      <c r="R9">
        <v>0</v>
      </c>
      <c r="S9">
        <v>3</v>
      </c>
      <c r="T9">
        <v>3</v>
      </c>
      <c r="U9">
        <v>0</v>
      </c>
      <c r="V9">
        <v>0</v>
      </c>
      <c r="W9">
        <v>0</v>
      </c>
      <c r="X9" s="5">
        <v>28</v>
      </c>
      <c r="Y9">
        <v>2</v>
      </c>
      <c r="Z9" s="4">
        <v>0</v>
      </c>
      <c r="AA9">
        <v>0</v>
      </c>
      <c r="AB9" s="5">
        <v>0</v>
      </c>
      <c r="AC9">
        <v>0</v>
      </c>
      <c r="AD9" s="5">
        <v>0</v>
      </c>
      <c r="AE9" s="5">
        <v>84</v>
      </c>
      <c r="AF9" s="5">
        <v>0</v>
      </c>
      <c r="AG9" s="5">
        <v>84</v>
      </c>
      <c r="AH9" s="5">
        <v>0</v>
      </c>
      <c r="AI9" s="5">
        <v>0</v>
      </c>
      <c r="AJ9" s="5">
        <v>0</v>
      </c>
    </row>
    <row r="10">
      <c r="A10" s="2" t="str">
        <f>HYPERLINK("https://www.avito.ru/moskva/bytovaya_elektronika/tsvetnoy_3d-printer_snapmaker_u1_7879904280","7879904280")</f>
      </c>
      <c r="B10" t="s">
        <v>36</v>
      </c>
      <c r="C10" t="s">
        <v>37</v>
      </c>
      <c r="D10" t="s">
        <v>37</v>
      </c>
      <c r="E10" t="s">
        <v>39</v>
      </c>
      <c r="F10" t="s">
        <v>40</v>
      </c>
      <c r="G10" t="s">
        <v>41</v>
      </c>
      <c r="H10" s="3" t="str">
        <f>HYPERLINK("https://www.avito.ru/moskva/bytovaya_elektronika/tsvetnoy_3d-printer_snapmaker_u1_7879904280","Цветной 3D-принтер Snapmaker U1")</f>
      </c>
      <c r="I10" t="s">
        <v>58</v>
      </c>
      <c r="J10" t="s">
        <v>59</v>
      </c>
      <c r="K10" t="s">
        <v>55</v>
      </c>
      <c r="L10">
        <v>127</v>
      </c>
      <c r="M10">
        <v>412</v>
      </c>
      <c r="N10" s="4">
        <v>0.1456</v>
      </c>
      <c r="O10">
        <v>60</v>
      </c>
      <c r="P10" s="5">
        <v>1.44</v>
      </c>
      <c r="Q10" s="4">
        <v>0.0333</v>
      </c>
      <c r="R10">
        <v>0</v>
      </c>
      <c r="S10">
        <v>2</v>
      </c>
      <c r="T10">
        <v>2</v>
      </c>
      <c r="U10">
        <v>0</v>
      </c>
      <c r="V10">
        <v>0</v>
      </c>
      <c r="W10">
        <v>0</v>
      </c>
      <c r="X10" s="5">
        <v>43.4</v>
      </c>
      <c r="Y10">
        <v>3</v>
      </c>
      <c r="Z10" s="4">
        <v>0</v>
      </c>
      <c r="AA10">
        <v>0</v>
      </c>
      <c r="AB10" s="5">
        <v>0</v>
      </c>
      <c r="AC10">
        <v>0</v>
      </c>
      <c r="AD10" s="5">
        <v>0</v>
      </c>
      <c r="AE10" s="5">
        <v>86.8</v>
      </c>
      <c r="AF10" s="5">
        <v>0</v>
      </c>
      <c r="AG10" s="5">
        <v>86.8</v>
      </c>
      <c r="AH10" s="5">
        <v>0</v>
      </c>
      <c r="AI10" s="5">
        <v>0</v>
      </c>
      <c r="AJ10" s="5">
        <v>0</v>
      </c>
    </row>
    <row r="11">
      <c r="A11" s="2" t="str">
        <f>HYPERLINK("https://www.avito.ru/moskva/bytovaya_elektronika/3d-printer_bambu_lab_p2s_combo_ams_7879812293","7879812293")</f>
      </c>
      <c r="B11" t="s">
        <v>36</v>
      </c>
      <c r="C11" t="s">
        <v>37</v>
      </c>
      <c r="D11" t="s">
        <v>37</v>
      </c>
      <c r="E11" t="s">
        <v>39</v>
      </c>
      <c r="F11" t="s">
        <v>40</v>
      </c>
      <c r="G11" t="s">
        <v>41</v>
      </c>
      <c r="H11" s="3" t="str">
        <f>HYPERLINK("https://www.avito.ru/moskva/bytovaya_elektronika/3d-printer_bambu_lab_p2s_combo_ams_7879812293","3D-принтер Bambu Lab P2S Combo (AMS)")</f>
      </c>
      <c r="I11" t="s">
        <v>60</v>
      </c>
      <c r="J11" t="s">
        <v>47</v>
      </c>
      <c r="K11" t="s">
        <v>55</v>
      </c>
      <c r="L11">
        <v>128</v>
      </c>
      <c r="M11">
        <v>87</v>
      </c>
      <c r="N11" s="4">
        <v>0.0804</v>
      </c>
      <c r="O11">
        <v>7</v>
      </c>
      <c r="P11" s="5">
        <v>12</v>
      </c>
      <c r="Q11" s="4">
        <v>0</v>
      </c>
      <c r="R11">
        <v>0</v>
      </c>
      <c r="S11">
        <v>0</v>
      </c>
      <c r="T11">
        <v>0</v>
      </c>
      <c r="U11">
        <v>0</v>
      </c>
      <c r="V11">
        <v>0</v>
      </c>
      <c r="W11">
        <v>0</v>
      </c>
      <c r="X11" s="5" t="s">
        <v>61</v>
      </c>
      <c r="Y11">
        <v>0</v>
      </c>
      <c r="Z11" s="4">
        <v>0</v>
      </c>
      <c r="AA11">
        <v>0</v>
      </c>
      <c r="AB11" s="5">
        <v>0</v>
      </c>
      <c r="AC11">
        <v>0</v>
      </c>
      <c r="AD11" s="5">
        <v>0</v>
      </c>
      <c r="AE11" s="5">
        <v>84</v>
      </c>
      <c r="AF11" s="5">
        <v>0</v>
      </c>
      <c r="AG11" s="5">
        <v>84</v>
      </c>
      <c r="AH11" s="5">
        <v>0</v>
      </c>
      <c r="AI11" s="5">
        <v>0</v>
      </c>
      <c r="AJ11" s="5">
        <v>0</v>
      </c>
    </row>
  </sheetData>
  <autoFilter ref="$A$1:$AJ$1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